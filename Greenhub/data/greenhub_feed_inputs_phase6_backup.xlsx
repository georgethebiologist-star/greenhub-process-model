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0d7a363c0e41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3d03e1b12af4178"/>
    <x:sheet xmlns:r="http://schemas.openxmlformats.org/officeDocument/2006/relationships" name="ModelControl" sheetId="2" r:id="R98bddd70122b4774"/>
    <x:sheet xmlns:r="http://schemas.openxmlformats.org/officeDocument/2006/relationships" name="MonthlyMass" sheetId="3" r:id="Rd89ccda6b8e14b01"/>
    <x:sheet xmlns:r="http://schemas.openxmlformats.org/officeDocument/2006/relationships" name="FeedMeasurements" sheetId="4" r:id="Ra3e8acd39abe4515"/>
    <x:sheet xmlns:r="http://schemas.openxmlformats.org/officeDocument/2006/relationships" name="Parameters" sheetId="5" r:id="R6aa94a63c95f4ff4"/>
    <x:sheet xmlns:r="http://schemas.openxmlformats.org/officeDocument/2006/relationships" name="GrassAvailability" sheetId="6" r:id="Rf07f4b710c47444a"/>
    <x:sheet xmlns:r="http://schemas.openxmlformats.org/officeDocument/2006/relationships" name="GrassMeasurements" sheetId="7" r:id="R43ac0faf5c2a4fb6"/>
    <x:sheet xmlns:r="http://schemas.openxmlformats.org/officeDocument/2006/relationships" name="Phase3Parameters" sheetId="8" r:id="R9593d1ad9a004f93"/>
    <x:sheet xmlns:r="http://schemas.openxmlformats.org/officeDocument/2006/relationships" name="Phase4Parameters" sheetId="9" r:id="R8bfd32fd3eb44cf5"/>
    <x:sheet xmlns:r="http://schemas.openxmlformats.org/officeDocument/2006/relationships" name="AcidTitration" sheetId="10" r:id="R318aa307e09d4ad8"/>
    <x:sheet xmlns:r="http://schemas.openxmlformats.org/officeDocument/2006/relationships" name="ProteinRecoveryData" sheetId="11" r:id="R139b606da57a45bc"/>
    <x:sheet xmlns:r="http://schemas.openxmlformats.org/officeDocument/2006/relationships" name="Phase5Parameters" sheetId="12" r:id="R9f429f178cb043f1"/>
    <x:sheet xmlns:r="http://schemas.openxmlformats.org/officeDocument/2006/relationships" name="Phase6Parameters" sheetId="15" r:id="Ra5a492895f784b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00"/>
    <x:numFmt numFmtId="201" formatCode="#,##0.000"/>
    <x:numFmt numFmtId="202" formatCode="#,##0"/>
    <x:numFmt numFmtId="203" formatCode="0.000000"/>
    <x:numFmt numFmtId="204" formatCode="0.0000"/>
    <x:numFmt numFmtId="205" formatCode="0"/>
    <x:numFmt numFmtId="206" formatCode="0.######"/>
  </x:numFmts>
  <x:fonts count="17">
    <x:font>
      <x:sz val="11"/>
      <x:name val="Carlito"/>
    </x:font>
    <x:font>
      <x:b/>
      <x:sz val="11"/>
      <x:color rgb="FFFFFFFF"/>
      <x:name val="Aptos Display"/>
    </x:font>
    <x:font>
      <x:b/>
      <x:sz val="11"/>
      <x:color rgb="FF174B3D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color rgb="FF18332B"/>
      <x:name val="Aptos"/>
    </x:font>
    <x:font>
      <x:sz val="11"/>
      <x:color rgb="FF165D9C"/>
      <x:name val="Aptos"/>
    </x:font>
    <x:font>
      <x:b/>
      <x:sz val="11"/>
      <x:color rgb="FF174B3D"/>
      <x:name val="Aptos"/>
    </x:font>
    <x:font>
      <x:sz val="11"/>
      <x:color rgb="FF18332B"/>
      <x:name val="Carlito"/>
    </x:font>
    <x:font>
      <x:sz val="11"/>
      <x:color rgb="FF165D9C"/>
      <x:name val="Carlito"/>
    </x:font>
    <x:font>
      <x:b/>
      <x:sz val="11"/>
      <x:color rgb="FF18332B"/>
      <x:name val="Carlito"/>
    </x:font>
    <x:font>
      <x:sz val="10"/>
      <x:color rgb="FF18332B"/>
      <x:name val="Aptos"/>
    </x:font>
    <x:font>
      <x:b/>
      <x:sz val="10"/>
      <x:color rgb="FF174B3D"/>
      <x:name val="Aptos"/>
    </x:font>
    <x:font>
      <x:sz val="10"/>
      <x:color rgb="FF165D9C"/>
      <x:name val="Aptos"/>
    </x:font>
    <x:font>
      <x:b/>
      <x:sz val="11"/>
      <x:color rgb="FF1F4E3D"/>
      <x:name val="Carlito"/>
    </x:font>
    <x:font>
      <x:sz val="9"/>
      <x:color rgb="FF1F2933"/>
      <x:name val="Aptos"/>
    </x:font>
    <x:font>
      <x:b/>
      <x:sz val="9"/>
      <x:color rgb="FFFFFFFF"/>
      <x:name val="Aptos"/>
    </x:font>
  </x:fonts>
  <x:fills count="35">
    <x:fill>
      <x:patternFill patternType="none"/>
    </x:fill>
    <x:fill>
      <x:patternFill patternType="gray125"/>
    </x:fill>
    <x:fill>
      <x:patternFill patternType="solid">
        <x:fgColor rgb="FF174B3D"/>
      </x:patternFill>
    </x:fill>
    <x:fill>
      <x:patternFill patternType="solid">
        <x:fgColor rgb="FFEAF3EF"/>
      </x:patternFill>
    </x:fill>
    <x:fill>
      <x:patternFill patternType="solid">
        <x:fgColor rgb="FFFFF4CC"/>
      </x:patternFill>
    </x:fill>
    <x:fill>
      <x:patternFill patternType="solid">
        <x:fgColor rgb="FFDCEFE6"/>
      </x:patternFill>
    </x:fill>
    <x:fill>
      <x:patternFill patternType="solid">
        <x:fgColor rgb="FFE7F3EE"/>
      </x:patternFill>
    </x:fill>
    <x:fill>
      <x:patternFill patternType="solid">
        <x:fgColor rgb="FFFFF4CC"/>
      </x:patternFill>
    </x:fill>
    <x:fill>
      <x:patternFill patternType="solid">
        <x:fgColor rgb="FFD9EAD3"/>
      </x:patternFill>
    </x:fill>
    <x:fill>
      <x:patternFill patternType="solid">
        <x:fgColor rgb="FF174B3D"/>
      </x:patternFill>
    </x:fill>
    <x:fill>
      <x:patternFill patternType="solid">
        <x:fgColor rgb="FFFCE4D6"/>
      </x:patternFill>
    </x:fill>
    <x:fill>
      <x:patternFill patternType="solid">
        <x:fgColor rgb="FFE6F2ED"/>
      </x:patternFill>
    </x:fill>
    <x:fill>
      <x:patternFill patternType="solid">
        <x:fgColor rgb="FFFFF4CC"/>
      </x:patternFill>
    </x:fill>
    <x:fill>
      <x:patternFill patternType="solid">
        <x:fgColor rgb="FFEAF2F8"/>
      </x:patternFill>
    </x:fill>
    <x:fill>
      <x:patternFill patternType="solid">
        <x:fgColor rgb="FF174B3D"/>
      </x:patternFill>
    </x:fill>
    <x:fill>
      <x:patternFill patternType="solid">
        <x:fgColor rgb="FFFFF2CC"/>
      </x:patternFill>
    </x:fill>
    <x:fill>
      <x:patternFill patternType="solid">
        <x:fgColor rgb="FF1F4E3D"/>
      </x:patternFill>
    </x:fill>
    <x:fill>
      <x:patternFill patternType="solid">
        <x:fgColor rgb="FFEAF2E3"/>
      </x:patternFill>
    </x:fill>
    <x:fill>
      <x:patternFill patternType="solid">
        <x:fgColor rgb="FFDDEBF7"/>
      </x:patternFill>
    </x:fill>
    <x:fill>
      <x:patternFill patternType="solid">
        <x:fgColor rgb="FFF2F2F2"/>
      </x:patternFill>
    </x:fill>
    <x:fill>
      <x:patternFill patternType="solid">
        <x:fgColor rgb="FF145A4A"/>
      </x:patternFill>
    </x:fill>
    <x:fill>
      <x:patternFill patternType="solid">
        <x:fgColor rgb="FFEAF3E5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F2F7EE"/>
      </x:patternFill>
    </x:fill>
    <x:fill>
      <x:patternFill patternType="solid">
        <x:fgColor rgb="FF145A4A"/>
      </x:patternFill>
    </x:fill>
    <x:fill>
      <x:patternFill patternType="solid">
        <x:fgColor rgb="FFEAF3E5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F2F7EE"/>
      </x:patternFill>
    </x:fill>
    <x:fill>
      <x:patternFill patternType="solid">
        <x:fgColor rgb="FF145A4A"/>
      </x:patternFill>
    </x:fill>
    <x:fill>
      <x:patternFill patternType="solid">
        <x:fgColor rgb="FFEAF3E5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F2F7EE"/>
      </x:patternFill>
    </x:fill>
  </x:fills>
  <x:borders count="10">
    <x:border/>
    <x:border>
      <x:left style="thin">
        <x:color rgb="FF174B3D"/>
      </x:left>
      <x:top style="thin">
        <x:color rgb="FF174B3D"/>
      </x:top>
      <x:bottom style="thin">
        <x:color rgb="FF174B3D"/>
      </x:bottom>
    </x:border>
    <x:border>
      <x:top style="thin">
        <x:color rgb="FF174B3D"/>
      </x:top>
      <x:bottom style="thin">
        <x:color rgb="FF174B3D"/>
      </x:bottom>
    </x:border>
    <x:border>
      <x:right style="thin">
        <x:color rgb="FF174B3D"/>
      </x:right>
      <x:top style="thin">
        <x:color rgb="FF174B3D"/>
      </x:top>
      <x:bottom style="thin">
        <x:color rgb="FF174B3D"/>
      </x:bottom>
    </x:border>
    <x:border>
      <x:bottom style="thin">
        <x:color rgb="FFCBD8D3"/>
      </x:bottom>
    </x:border>
    <x:border>
      <x:top style="thin">
        <x:color rgb="FFCBD8D3"/>
      </x:top>
      <x:bottom style="thin">
        <x:color rgb="FFCBD8D3"/>
      </x:bottom>
    </x:border>
    <x:border>
      <x:left style="thin">
        <x:color rgb="FF174B3D"/>
      </x:left>
      <x:right style="thin">
        <x:color rgb="FF174B3D"/>
      </x:right>
      <x:top style="thin">
        <x:color rgb="FF174B3D"/>
      </x:top>
      <x:bottom style="thin">
        <x:color rgb="FF174B3D"/>
      </x:bottom>
    </x:border>
    <x:border>
      <x:left style="thin">
        <x:color rgb="FFB7C9B7"/>
      </x:left>
      <x:right style="thin">
        <x:color rgb="FFB7C9B7"/>
      </x:right>
      <x:top style="thin">
        <x:color rgb="FFB7C9B7"/>
      </x:top>
      <x:bottom style="thin">
        <x:color rgb="FFB7C9B7"/>
      </x:bottom>
    </x:border>
    <x:border>
      <x:left style="thin">
        <x:color rgb="FFD9E2D0"/>
      </x:left>
      <x:right style="thin">
        <x:color rgb="FFD9E2D0"/>
      </x:right>
      <x:top style="thin">
        <x:color rgb="FFD9E2D0"/>
      </x:top>
      <x:bottom style="thin">
        <x:color rgb="FFD9E2D0"/>
      </x:bottom>
    </x:border>
    <x:border>
      <x:left style="thin">
        <x:color rgb="FFD8E1D8"/>
      </x:left>
      <x:right style="thin">
        <x:color rgb="FFD8E1D8"/>
      </x:right>
      <x:top style="thin">
        <x:color rgb="FFD8E1D8"/>
      </x:top>
      <x:bottom style="thin">
        <x:color rgb="FFD8E1D8"/>
      </x:bottom>
    </x:border>
  </x:borders>
  <x:cellStyleXfs count="1">
    <x:xf numFmtId="0" fontId="0" fillId="0" borderId="0"/>
  </x:cellStyleXfs>
  <x:cellXfs count="2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200" fontId="7" fillId="5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1" fontId="5" fillId="5" borderId="0" xfId="0" applyNumberFormat="1" applyFont="1" applyFill="1" applyBorder="1" applyAlignment="1">
      <x:alignment vertical="center"/>
    </x:xf>
    <x:xf numFmtId="202" fontId="6" fillId="4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vertical="top"/>
    </x:xf>
    <x:xf numFmtId="0" fontId="2" fillId="6" borderId="0" xfId="0" applyNumberFormat="1" applyFont="1" applyFill="1" applyBorder="1" applyAlignment="1">
      <x:alignment vertical="top"/>
    </x:xf>
    <x:xf numFmtId="0" fontId="0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6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7" borderId="0" xfId="0" applyNumberFormat="1" applyFont="1" applyFill="1" applyBorder="1" applyAlignment="1">
      <x:alignment vertical="top"/>
    </x:xf>
    <x:xf numFmtId="0" fontId="8" fillId="7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7" borderId="0" xfId="0" applyNumberFormat="1" applyFont="1" applyFill="1" applyBorder="1" applyAlignment="1">
      <x:alignment vertical="top"/>
    </x:xf>
    <x:xf numFmtId="0" fontId="9" fillId="7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8" borderId="0" xfId="0" applyNumberFormat="1" applyFont="1" applyFill="1" applyBorder="1" applyAlignment="1">
      <x:alignment vertical="top"/>
    </x:xf>
    <x:xf numFmtId="0" fontId="10" fillId="8" borderId="0" xfId="0" applyNumberFormat="1" applyFont="1" applyFill="1" applyBorder="1" applyAlignment="1">
      <x:alignment vertical="top"/>
    </x:xf>
    <x:xf numFmtId="201" fontId="10" fillId="8" borderId="0" xfId="0" applyNumberFormat="1" applyFont="1" applyFill="1" applyBorder="1" applyAlignment="1">
      <x:alignment vertical="top"/>
    </x:xf>
    <x:xf numFmtId="0" fontId="1" fillId="9" borderId="1" xfId="0" applyNumberFormat="1" applyFont="1" applyFill="1" applyBorder="1" applyAlignment="1">
      <x:alignment vertical="center" wrapText="1"/>
    </x:xf>
    <x:xf numFmtId="0" fontId="1" fillId="9" borderId="2" xfId="0" applyNumberFormat="1" applyFont="1" applyFill="1" applyBorder="1" applyAlignment="1">
      <x:alignment vertical="center" wrapText="1"/>
    </x:xf>
    <x:xf numFmtId="0" fontId="1" fillId="9" borderId="3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6" borderId="0" xfId="0" applyNumberFormat="1" applyFont="1" applyFill="1" applyBorder="1" applyAlignment="1">
      <x:alignment vertical="top"/>
    </x:xf>
    <x:xf numFmtId="0" fontId="5" fillId="6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7" borderId="0" xfId="0" applyNumberFormat="1" applyFont="1" applyFill="1" applyBorder="1" applyAlignment="1">
      <x:alignment vertical="top"/>
    </x:xf>
    <x:xf numFmtId="0" fontId="6" fillId="7" borderId="0" xfId="0" applyNumberFormat="1" applyFont="1" applyFill="1" applyBorder="1" applyAlignment="1">
      <x:alignment vertical="top"/>
    </x:xf>
    <x:xf numFmtId="203" fontId="6" fillId="7" borderId="0" xfId="0" applyNumberFormat="1" applyFont="1" applyFill="1" applyBorder="1" applyAlignment="1">
      <x:alignment vertical="top"/>
    </x:xf>
    <x:xf numFmtId="203" fontId="9" fillId="7" borderId="0" xfId="0" applyNumberFormat="1" applyFont="1" applyFill="1" applyBorder="1" applyAlignment="1">
      <x:alignment vertical="top"/>
    </x:xf>
    <x:xf numFmtId="0" fontId="5" fillId="6" borderId="0" xfId="0" applyNumberFormat="1" applyFont="1" applyFill="1" applyBorder="1" applyAlignment="1">
      <x:alignment vertical="top" wrapText="1"/>
    </x:xf>
    <x:xf numFmtId="203" fontId="6" fillId="7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6" borderId="0" xfId="0" applyNumberFormat="1" applyFont="1" applyFill="1" applyBorder="1" applyAlignment="1">
      <x:alignment vertical="top" wrapText="1"/>
    </x:xf>
    <x:xf numFmtId="203" fontId="9" fillId="7" borderId="0" xfId="0" applyNumberFormat="1" applyFont="1" applyFill="1" applyBorder="1" applyAlignment="1">
      <x:alignment vertical="top" wrapText="1"/>
    </x:xf>
    <x:xf numFmtId="0" fontId="8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vertical="center" wrapText="1"/>
    </x:xf>
    <x:xf numFmtId="202" fontId="9" fillId="7" borderId="0" xfId="0" applyNumberFormat="1" applyFont="1" applyFill="1" applyBorder="1" applyAlignment="1">
      <x:alignment vertical="top"/>
    </x:xf>
    <x:xf numFmtId="201" fontId="8" fillId="8" borderId="0" xfId="0" applyNumberFormat="1" applyFont="1" applyFill="1" applyBorder="1" applyAlignment="1">
      <x:alignment vertical="top"/>
    </x:xf>
    <x:xf numFmtId="0" fontId="8" fillId="10" borderId="0" xfId="0" applyNumberFormat="1" applyFont="1" applyFill="1" applyBorder="1" applyAlignment="1">
      <x:alignment vertical="top"/>
    </x:xf>
    <x:xf numFmtId="202" fontId="9" fillId="7" borderId="0" xfId="0" applyNumberFormat="1" applyFont="1" applyFill="1" applyBorder="1" applyAlignment="1">
      <x:alignment vertical="top" wrapText="1"/>
    </x:xf>
    <x:xf numFmtId="201" fontId="8" fillId="8" borderId="0" xfId="0" applyNumberFormat="1" applyFont="1" applyFill="1" applyBorder="1" applyAlignment="1">
      <x:alignment vertical="top" wrapText="1"/>
    </x:xf>
    <x:xf numFmtId="0" fontId="8" fillId="10" borderId="0" xfId="0" applyNumberFormat="1" applyFont="1" applyFill="1" applyBorder="1" applyAlignment="1">
      <x:alignment vertical="top" wrapText="1"/>
    </x:xf>
    <x:xf numFmtId="203" fontId="9" fillId="7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9" fillId="7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0" borderId="0" xfId="0" applyNumberFormat="1" applyFont="1" applyFill="1" applyBorder="1"/>
    <x:xf numFmtId="0" fontId="11" fillId="0" borderId="4" xfId="0" applyNumberFormat="1" applyFont="1" applyFill="1" applyBorder="1"/>
    <x:xf numFmtId="0" fontId="11" fillId="0" borderId="5" xfId="0" applyNumberFormat="1" applyFont="1" applyFill="1" applyBorder="1"/>
    <x:xf numFmtId="0" fontId="11" fillId="0" borderId="4" xfId="0" applyNumberFormat="1" applyFont="1" applyFill="1" applyBorder="1" applyAlignment="1">
      <x:alignment vertical="top"/>
    </x:xf>
    <x:xf numFmtId="0" fontId="11" fillId="0" borderId="5" xfId="0" applyNumberFormat="1" applyFont="1" applyFill="1" applyBorder="1" applyAlignment="1">
      <x:alignment vertical="top"/>
    </x:xf>
    <x:xf numFmtId="0" fontId="11" fillId="11" borderId="4" xfId="0" applyNumberFormat="1" applyFont="1" applyFill="1" applyBorder="1" applyAlignment="1">
      <x:alignment vertical="top"/>
    </x:xf>
    <x:xf numFmtId="0" fontId="11" fillId="11" borderId="5" xfId="0" applyNumberFormat="1" applyFont="1" applyFill="1" applyBorder="1" applyAlignment="1">
      <x:alignment vertical="top"/>
    </x:xf>
    <x:xf numFmtId="0" fontId="12" fillId="11" borderId="4" xfId="0" applyNumberFormat="1" applyFont="1" applyFill="1" applyBorder="1" applyAlignment="1">
      <x:alignment vertical="top"/>
    </x:xf>
    <x:xf numFmtId="0" fontId="12" fillId="11" borderId="5" xfId="0" applyNumberFormat="1" applyFont="1" applyFill="1" applyBorder="1" applyAlignment="1">
      <x:alignment vertical="top"/>
    </x:xf>
    <x:xf numFmtId="0" fontId="11" fillId="0" borderId="4" xfId="0" applyNumberFormat="1" applyFont="1" applyFill="1" applyBorder="1" applyAlignment="1">
      <x:alignment vertical="top" wrapText="1"/>
    </x:xf>
    <x:xf numFmtId="0" fontId="11" fillId="0" borderId="5" xfId="0" applyNumberFormat="1" applyFont="1" applyFill="1" applyBorder="1" applyAlignment="1">
      <x:alignment vertical="top" wrapText="1"/>
    </x:xf>
    <x:xf numFmtId="0" fontId="1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0" borderId="5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12" borderId="4" xfId="0" applyNumberFormat="1" applyFont="1" applyFill="1" applyBorder="1" applyAlignment="1">
      <x:alignment vertical="top"/>
    </x:xf>
    <x:xf numFmtId="0" fontId="11" fillId="12" borderId="5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12" borderId="5" xfId="0" applyNumberFormat="1" applyFont="1" applyFill="1" applyBorder="1" applyAlignment="1">
      <x:alignment vertical="top"/>
    </x:xf>
    <x:xf numFmtId="0" fontId="13" fillId="12" borderId="4" xfId="0" applyNumberFormat="1" applyFont="1" applyFill="1" applyBorder="1" applyAlignment="1">
      <x:alignment vertical="top"/>
    </x:xf>
    <x:xf numFmtId="0" fontId="13" fillId="12" borderId="5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" fillId="12" borderId="5" xfId="0" applyNumberFormat="1" applyFont="1" applyFill="1" applyBorder="1" applyAlignment="1">
      <x:alignment vertical="top"/>
    </x:xf>
    <x:xf numFmtId="0" fontId="11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0" borderId="4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13" borderId="4" xfId="0" applyNumberFormat="1" applyFont="1" applyFill="1" applyBorder="1" applyAlignment="1">
      <x:alignment vertical="top"/>
    </x:xf>
    <x:xf numFmtId="0" fontId="11" fillId="13" borderId="4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13" borderId="5" xfId="0" applyNumberFormat="1" applyFont="1" applyFill="1" applyBorder="1" applyAlignment="1">
      <x:alignment vertical="top"/>
    </x:xf>
    <x:xf numFmtId="0" fontId="11" fillId="13" borderId="5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1" fillId="14" borderId="6" xfId="0" applyNumberFormat="1" applyFont="1" applyFill="1" applyBorder="1"/>
    <x:xf numFmtId="0" fontId="1" fillId="14" borderId="6" xfId="0" applyNumberFormat="1" applyFont="1" applyFill="1" applyBorder="1" applyAlignment="1">
      <x:alignment wrapText="1"/>
    </x:xf>
    <x:xf numFmtId="0" fontId="1" fillId="14" borderId="6" xfId="0" applyNumberFormat="1" applyFont="1" applyFill="1" applyBorder="1" applyAlignment="1">
      <x:alignment vertical="center" wrapText="1"/>
    </x:xf>
    <x:xf numFmtId="204" fontId="11" fillId="0" borderId="4" xfId="0" applyNumberFormat="1" applyFont="1" applyFill="1" applyBorder="1" applyAlignment="1">
      <x:alignment vertical="top"/>
    </x:xf>
    <x:xf numFmtId="204" fontId="11" fillId="0" borderId="5" xfId="0" applyNumberFormat="1" applyFont="1" applyFill="1" applyBorder="1" applyAlignment="1">
      <x:alignment vertical="top"/>
    </x:xf>
    <x:xf numFmtId="205" fontId="11" fillId="0" borderId="4" xfId="0" applyNumberFormat="1" applyFont="1" applyFill="1" applyBorder="1" applyAlignment="1">
      <x:alignment vertical="top"/>
    </x:xf>
    <x:xf numFmtId="205" fontId="11" fillId="0" borderId="5" xfId="0" applyNumberFormat="1" applyFont="1" applyFill="1" applyBorder="1" applyAlignment="1">
      <x:alignment vertical="top"/>
    </x:xf>
    <x:xf numFmtId="0" fontId="0" fillId="15" borderId="0" xfId="0" applyNumberFormat="1" applyFont="1" applyFill="1" applyBorder="1"/>
    <x:xf numFmtId="0" fontId="0" fillId="15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7" xfId="0" applyNumberFormat="1" applyFont="1" applyFill="1" applyBorder="1"/>
    <x:xf numFmtId="0" fontId="0" fillId="15" borderId="7" xfId="0" applyNumberFormat="1" applyFont="1" applyFill="1" applyBorder="1"/>
    <x:xf numFmtId="0" fontId="0" fillId="15" borderId="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" fillId="0" borderId="0" xfId="0" applyNumberFormat="1" applyFont="1" applyFill="1" applyBorder="1"/>
    <x:xf numFmtId="0" fontId="0" fillId="0" borderId="8" xfId="0" applyNumberFormat="1" applyFont="1" applyFill="1" applyBorder="1"/>
    <x:xf numFmtId="0" fontId="0" fillId="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16" borderId="8" xfId="0" applyNumberFormat="1" applyFont="1" applyFill="1" applyBorder="1"/>
    <x:xf numFmtId="0" fontId="3" fillId="16" borderId="8" xfId="0" applyNumberFormat="1" applyFont="1" applyFill="1" applyBorder="1"/>
    <x:xf numFmtId="0" fontId="3" fillId="16" borderId="8" xfId="0" applyNumberFormat="1" applyFont="1" applyFill="1" applyBorder="1" applyAlignment="1">
      <x:alignment wrapText="1"/>
    </x:xf>
    <x:xf numFmtId="0" fontId="3" fillId="16" borderId="8" xfId="0" applyNumberFormat="1" applyFont="1" applyFill="1" applyBorder="1" applyAlignment="1">
      <x:alignment vertical="center" wrapText="1"/>
    </x:xf>
    <x:xf numFmtId="0" fontId="0" fillId="17" borderId="8" xfId="0" applyNumberFormat="1" applyFont="1" applyFill="1" applyBorder="1"/>
    <x:xf numFmtId="0" fontId="0" fillId="17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15" borderId="8" xfId="0" applyNumberFormat="1" applyFont="1" applyFill="1" applyBorder="1"/>
    <x:xf numFmtId="0" fontId="0" fillId="15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18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18" borderId="8" xfId="0" applyNumberFormat="1" applyFont="1" applyFill="1" applyBorder="1"/>
    <x:xf numFmtId="0" fontId="0" fillId="19" borderId="8" xfId="0" applyNumberFormat="1" applyFont="1" applyFill="1" applyBorder="1"/>
    <x:xf numFmtId="206" fontId="0" fillId="15" borderId="8" xfId="0" applyNumberFormat="1" applyFont="1" applyFill="1" applyBorder="1"/>
    <x:xf numFmtId="206" fontId="0" fillId="15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6" fontId="0" fillId="17" borderId="8" xfId="0" applyNumberFormat="1" applyFont="1" applyFill="1" applyBorder="1"/>
    <x:xf numFmtId="0" fontId="0" fillId="17" borderId="8" xfId="0" applyNumberFormat="1" applyFont="1" applyFill="1" applyBorder="1" applyAlignment="1">
      <x:alignment wrapText="1"/>
    </x:xf>
    <x:xf numFmtId="206" fontId="0" fillId="15" borderId="8" xfId="0" applyNumberFormat="1" applyFont="1" applyFill="1" applyBorder="1" applyAlignment="1">
      <x:alignment wrapText="1"/>
    </x:xf>
    <x:xf numFmtId="206" fontId="0" fillId="17" borderId="8" xfId="0" applyNumberFormat="1" applyFont="1" applyFill="1" applyBorder="1" applyAlignment="1">
      <x:alignment wrapText="1"/>
    </x:xf>
    <x:xf numFmtId="0" fontId="0" fillId="18" borderId="8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18" borderId="8" xfId="0" applyNumberFormat="1" applyFont="1" applyFill="1" applyBorder="1" applyAlignment="1">
      <x:alignment wrapText="1"/>
    </x:xf>
    <x:xf numFmtId="0" fontId="0" fillId="17" borderId="8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19" borderId="8" xfId="0" applyNumberFormat="1" applyFont="1" applyFill="1" applyBorder="1" applyAlignment="1">
      <x:alignment wrapText="1"/>
    </x:xf>
    <x:xf numFmtId="206" fontId="0" fillId="15" borderId="8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" fillId="0" borderId="0" xfId="0" applyNumberFormat="1" applyFont="1" applyFill="1" applyBorder="1"/>
    <x:xf numFmtId="0" fontId="1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" fillId="0" borderId="9" xfId="0" applyNumberFormat="1" applyFont="1" applyFill="1" applyBorder="1"/>
    <x:xf numFmtId="0" fontId="15" fillId="0" borderId="9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" fillId="0" borderId="9" xfId="0" applyNumberFormat="1" applyFont="1" applyFill="1" applyBorder="1" applyAlignment="1">
      <x:alignment vertical="center"/>
    </x:xf>
    <x:xf numFmtId="0" fontId="15" fillId="0" borderId="9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" fillId="20" borderId="9" xfId="0" applyNumberFormat="1" applyFont="1" applyFill="1" applyBorder="1" applyAlignment="1">
      <x:alignment vertical="center"/>
    </x:xf>
    <x:xf numFmtId="0" fontId="16" fillId="20" borderId="9" xfId="0" applyNumberFormat="1" applyFont="1" applyFill="1" applyBorder="1" applyAlignment="1">
      <x:alignment vertical="center"/>
    </x:xf>
    <x:xf numFmtId="0" fontId="16" fillId="20" borderId="9" xfId="0" applyNumberFormat="1" applyFont="1" applyFill="1" applyBorder="1" applyAlignment="1">
      <x:alignment vertical="center" wrapText="1"/>
    </x:xf>
    <x:xf numFmtId="0" fontId="15" fillId="21" borderId="9" xfId="0" applyNumberFormat="1" applyFont="1" applyFill="1" applyBorder="1" applyAlignment="1">
      <x:alignment vertical="center"/>
    </x:xf>
    <x:xf numFmtId="0" fontId="15" fillId="22" borderId="9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" fillId="22" borderId="9" xfId="0" applyNumberFormat="1" applyFont="1" applyFill="1" applyBorder="1" applyAlignment="1">
      <x:alignment vertical="center"/>
    </x:xf>
    <x:xf numFmtId="0" fontId="15" fillId="23" borderId="9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" fillId="23" borderId="9" xfId="0" applyNumberFormat="1" applyFont="1" applyFill="1" applyBorder="1" applyAlignment="1">
      <x:alignment vertical="center"/>
    </x:xf>
    <x:xf numFmtId="0" fontId="15" fillId="24" borderId="9" xfId="0" applyNumberFormat="1" applyFont="1" applyFill="1" applyBorder="1" applyAlignment="1">
      <x:alignment vertical="center"/>
    </x:xf>
    <x:xf numFmtId="0" fontId="15" fillId="24" borderId="9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" fillId="21" borderId="9" xfId="0" applyNumberFormat="1" applyFont="1" applyFill="1" applyBorder="1" applyAlignment="1">
      <x:alignment vertical="center" wrapText="1"/>
    </x:xf>
    <x:xf numFmtId="0" fontId="15" fillId="22" borderId="9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" fillId="24" borderId="9" xfId="0" applyNumberFormat="1" applyFont="1" applyFill="1" applyBorder="1" applyAlignment="1">
      <x:alignment vertical="center" wrapText="1"/>
    </x:xf>
    <x:xf numFmtId="0" fontId="15" fillId="23" borderId="9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" fillId="23" borderId="9" xfId="0" applyNumberFormat="1" applyFont="1" applyFill="1" applyBorder="1" applyAlignment="1">
      <x:alignment vertical="center" wrapText="1"/>
    </x:xf>
    <x:xf numFmtId="0" fontId="15" fillId="24" borderId="9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" fillId="22" borderId="9" xfId="0" applyNumberFormat="1" applyFont="1" applyFill="1" applyBorder="1" applyAlignment="1">
      <x:alignment vertical="center" wrapText="1"/>
    </x:xf>
    <x:xf numFmtId="206" fontId="15" fillId="22" borderId="9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6" fontId="15" fillId="22" borderId="9" xfId="0" applyNumberFormat="1" applyFont="1" applyFill="1" applyBorder="1" applyAlignment="1">
      <x:alignment vertical="center" wrapText="1"/>
    </x:xf>
    <x:xf numFmtId="206" fontId="15" fillId="24" borderId="9" xfId="0" applyNumberFormat="1" applyFont="1" applyFill="1" applyBorder="1" applyAlignment="1">
      <x:alignment vertical="center" wrapText="1"/>
    </x:xf>
    <x:xf numFmtId="0" fontId="15" fillId="25" borderId="9" xfId="0" applyNumberFormat="1" applyFont="1" applyFill="1" applyBorder="1" applyAlignment="1">
      <x:alignment vertical="center"/>
    </x:xf>
    <x:xf numFmtId="0" fontId="16" fillId="25" borderId="9" xfId="0" applyNumberFormat="1" applyFont="1" applyFill="1" applyBorder="1" applyAlignment="1">
      <x:alignment vertical="center"/>
    </x:xf>
    <x:xf numFmtId="0" fontId="16" fillId="25" borderId="9" xfId="0" applyNumberFormat="1" applyFont="1" applyFill="1" applyBorder="1" applyAlignment="1">
      <x:alignment vertical="center" wrapText="1"/>
    </x:xf>
    <x:xf numFmtId="0" fontId="15" fillId="26" borderId="9" xfId="0" applyNumberFormat="1" applyFont="1" applyFill="1" applyBorder="1" applyAlignment="1">
      <x:alignment vertical="center"/>
    </x:xf>
    <x:xf numFmtId="0" fontId="15" fillId="27" borderId="9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" fillId="27" borderId="9" xfId="0" applyNumberFormat="1" applyFont="1" applyFill="1" applyBorder="1" applyAlignment="1">
      <x:alignment vertical="center"/>
    </x:xf>
    <x:xf numFmtId="0" fontId="15" fillId="28" borderId="9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" fillId="28" borderId="9" xfId="0" applyNumberFormat="1" applyFont="1" applyFill="1" applyBorder="1" applyAlignment="1">
      <x:alignment vertical="center"/>
    </x:xf>
    <x:xf numFmtId="0" fontId="15" fillId="29" borderId="9" xfId="0" applyNumberFormat="1" applyFont="1" applyFill="1" applyBorder="1" applyAlignment="1">
      <x:alignment vertical="center"/>
    </x:xf>
    <x:xf numFmtId="0" fontId="15" fillId="29" borderId="9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" fillId="26" borderId="9" xfId="0" applyNumberFormat="1" applyFont="1" applyFill="1" applyBorder="1" applyAlignment="1">
      <x:alignment vertical="center" wrapText="1"/>
    </x:xf>
    <x:xf numFmtId="0" fontId="15" fillId="27" borderId="9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" fillId="29" borderId="9" xfId="0" applyNumberFormat="1" applyFont="1" applyFill="1" applyBorder="1" applyAlignment="1">
      <x:alignment vertical="center" wrapText="1"/>
    </x:xf>
    <x:xf numFmtId="0" fontId="15" fillId="28" borderId="9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" fillId="28" borderId="9" xfId="0" applyNumberFormat="1" applyFont="1" applyFill="1" applyBorder="1" applyAlignment="1">
      <x:alignment vertical="center" wrapText="1"/>
    </x:xf>
    <x:xf numFmtId="0" fontId="15" fillId="29" borderId="9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" fillId="27" borderId="9" xfId="0" applyNumberFormat="1" applyFont="1" applyFill="1" applyBorder="1" applyAlignment="1">
      <x:alignment vertical="center" wrapText="1"/>
    </x:xf>
    <x:xf numFmtId="206" fontId="15" fillId="27" borderId="9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6" fontId="15" fillId="27" borderId="9" xfId="0" applyNumberFormat="1" applyFont="1" applyFill="1" applyBorder="1" applyAlignment="1">
      <x:alignment vertical="center" wrapText="1"/>
    </x:xf>
    <x:xf numFmtId="206" fontId="15" fillId="29" borderId="9" xfId="0" applyNumberFormat="1" applyFont="1" applyFill="1" applyBorder="1" applyAlignment="1">
      <x:alignment vertical="center" wrapText="1"/>
    </x:xf>
    <x:xf numFmtId="0" fontId="15" fillId="30" borderId="9" xfId="0" applyNumberFormat="1" applyFont="1" applyFill="1" applyBorder="1" applyAlignment="1">
      <x:alignment vertical="center"/>
    </x:xf>
    <x:xf numFmtId="0" fontId="16" fillId="30" borderId="9" xfId="0" applyNumberFormat="1" applyFont="1" applyFill="1" applyBorder="1" applyAlignment="1">
      <x:alignment vertical="center"/>
    </x:xf>
    <x:xf numFmtId="0" fontId="16" fillId="30" borderId="9" xfId="0" applyNumberFormat="1" applyFont="1" applyFill="1" applyBorder="1" applyAlignment="1">
      <x:alignment vertical="center" wrapText="1"/>
    </x:xf>
    <x:xf numFmtId="0" fontId="15" fillId="31" borderId="9" xfId="0" applyNumberFormat="1" applyFont="1" applyFill="1" applyBorder="1" applyAlignment="1">
      <x:alignment vertical="center"/>
    </x:xf>
    <x:xf numFmtId="0" fontId="15" fillId="32" borderId="9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" fillId="32" borderId="9" xfId="0" applyNumberFormat="1" applyFont="1" applyFill="1" applyBorder="1" applyAlignment="1">
      <x:alignment vertical="center"/>
    </x:xf>
    <x:xf numFmtId="0" fontId="15" fillId="33" borderId="9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" fillId="33" borderId="9" xfId="0" applyNumberFormat="1" applyFont="1" applyFill="1" applyBorder="1" applyAlignment="1">
      <x:alignment vertical="center"/>
    </x:xf>
    <x:xf numFmtId="0" fontId="15" fillId="34" borderId="9" xfId="0" applyNumberFormat="1" applyFont="1" applyFill="1" applyBorder="1" applyAlignment="1">
      <x:alignment vertical="center"/>
    </x:xf>
    <x:xf numFmtId="0" fontId="15" fillId="34" borderId="9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" fillId="31" borderId="9" xfId="0" applyNumberFormat="1" applyFont="1" applyFill="1" applyBorder="1" applyAlignment="1">
      <x:alignment vertical="center" wrapText="1"/>
    </x:xf>
    <x:xf numFmtId="0" fontId="15" fillId="32" borderId="9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" fillId="34" borderId="9" xfId="0" applyNumberFormat="1" applyFont="1" applyFill="1" applyBorder="1" applyAlignment="1">
      <x:alignment vertical="center" wrapText="1"/>
    </x:xf>
    <x:xf numFmtId="0" fontId="15" fillId="33" borderId="9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" fillId="33" borderId="9" xfId="0" applyNumberFormat="1" applyFont="1" applyFill="1" applyBorder="1" applyAlignment="1">
      <x:alignment vertical="center" wrapText="1"/>
    </x:xf>
    <x:xf numFmtId="0" fontId="15" fillId="34" borderId="9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" fillId="32" borderId="9" xfId="0" applyNumberFormat="1" applyFont="1" applyFill="1" applyBorder="1" applyAlignment="1">
      <x:alignment vertical="center" wrapText="1"/>
    </x:xf>
    <x:xf numFmtId="206" fontId="15" fillId="32" borderId="9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6" fontId="15" fillId="32" borderId="9" xfId="0" applyNumberFormat="1" applyFont="1" applyFill="1" applyBorder="1" applyAlignment="1">
      <x:alignment vertical="center" wrapText="1"/>
    </x:xf>
    <x:xf numFmtId="206" fontId="15" fillId="34" borderId="9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8A3A12"/>
      </x:font>
      <x:fill>
        <x:patternFill>
          <x:bgColor rgb="FFFCE8D5"/>
        </x:patternFill>
      </x:fill>
    </x:dxf>
    <x:dxf>
      <x:font>
        <x:b/>
        <x:color rgb="FF8A3A12"/>
      </x:font>
      <x:fill>
        <x:patternFill>
          <x:bgColor rgb="FFFCE8D5"/>
        </x:patternFill>
      </x:fill>
    </x:dxf>
    <x:dxf>
      <x:font>
        <x:color rgb="FF6B7671"/>
      </x:font>
      <x:fill>
        <x:patternFill>
          <x:bgColor rgb="FFF2F4F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252c2100dc4c07" /><Relationship Type="http://schemas.openxmlformats.org/officeDocument/2006/relationships/theme" Target="/xl/theme/theme1.xml" Id="R33c0823cc1344d68" /><Relationship Type="http://schemas.microsoft.com/office/2022/11/relationships/FeaturePropertyBag" Target="/xl/featurePropertyBag/featurePropertyBag.xml" Id="R94c7d90d5ae94d2c" /><Relationship Type="http://schemas.openxmlformats.org/officeDocument/2006/relationships/sharedStrings" Target="/xl/sharedStrings.xml" Id="R5622f5ed3c68441b" /><Relationship Type="http://schemas.openxmlformats.org/officeDocument/2006/relationships/worksheet" Target="/xl/worksheets/sheet1.xml" Id="R93d03e1b12af4178" /><Relationship Type="http://schemas.openxmlformats.org/officeDocument/2006/relationships/worksheet" Target="/xl/worksheets/sheet2.xml" Id="R98bddd70122b4774" /><Relationship Type="http://schemas.openxmlformats.org/officeDocument/2006/relationships/worksheet" Target="/xl/worksheets/sheet3.xml" Id="Rd89ccda6b8e14b01" /><Relationship Type="http://schemas.openxmlformats.org/officeDocument/2006/relationships/worksheet" Target="/xl/worksheets/sheet4.xml" Id="Ra3e8acd39abe4515" /><Relationship Type="http://schemas.openxmlformats.org/officeDocument/2006/relationships/worksheet" Target="/xl/worksheets/sheet5.xml" Id="R6aa94a63c95f4ff4" /><Relationship Type="http://schemas.openxmlformats.org/officeDocument/2006/relationships/worksheet" Target="/xl/worksheets/sheet6.xml" Id="Rf07f4b710c47444a" /><Relationship Type="http://schemas.openxmlformats.org/officeDocument/2006/relationships/worksheet" Target="/xl/worksheets/sheet7.xml" Id="R43ac0faf5c2a4fb6" /><Relationship Type="http://schemas.openxmlformats.org/officeDocument/2006/relationships/worksheet" Target="/xl/worksheets/sheet8.xml" Id="R9593d1ad9a004f93" /><Relationship Type="http://schemas.openxmlformats.org/officeDocument/2006/relationships/worksheet" Target="/xl/worksheets/sheet9.xml" Id="R8bfd32fd3eb44cf5" /><Relationship Type="http://schemas.openxmlformats.org/officeDocument/2006/relationships/worksheet" Target="/xl/worksheets/sheet10.xml" Id="R318aa307e09d4ad8" /><Relationship Type="http://schemas.openxmlformats.org/officeDocument/2006/relationships/worksheet" Target="/xl/worksheets/sheet11.xml" Id="R139b606da57a45bc" /><Relationship Type="http://schemas.openxmlformats.org/officeDocument/2006/relationships/worksheet" Target="/xl/worksheets/sheet12.xml" Id="R9f429f178cb043f1" /><Relationship Type="http://schemas.openxmlformats.org/officeDocument/2006/relationships/worksheet" Target="/xl/worksheets/sheet13.xml" Id="Ra5a492895f784b8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5" name="ModelControlTablePhase3" displayName="ModelControlTablePhase3" ref="A1:C17" headerRowCount="1" totalsRowCount="0" totalsRowShown="0">
  <x:tableColumns count="3">
    <x:tableColumn id="1" name="parameter"/>
    <x:tableColumn id="2" name="value"/>
    <x:tableColumn id="3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nthlyMassTable" displayName="MonthlyMassTable" ref="A1:L13" headerRowCount="1" totalsRowCount="0" totalsRowShown="0">
  <x:autoFilter ref="A1:L13"/>
  <x:tableColumns count="12">
    <x:tableColumn id="1" name="sample_id"/>
    <x:tableColumn id="2" name="scenario"/>
    <x:tableColumn id="3" name="year"/>
    <x:tableColumn id="4" name="month"/>
    <x:tableColumn id="5" name="season"/>
    <x:tableColumn id="6" name="total_liquid_mass_kg"/>
    <x:tableColumn id="7" name="operating_days"/>
    <x:tableColumn id="8" name="average_flow_kg_hr"/>
    <x:tableColumn id="9" name="measurement_status"/>
    <x:tableColumn id="10" name="source_class"/>
    <x:tableColumn id="11" name="reference"/>
    <x:tableColumn id="12" name="comment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FeedMeasurementsTable" displayName="FeedMeasurementsTable" ref="A1:U83" headerRowCount="1" totalsRowCount="0" totalsRowShown="0">
  <x:autoFilter ref="A1:U83"/>
  <x:tableColumns count="21">
    <x:tableColumn id="1" name="name"/>
    <x:tableColumn id="2" name="python_name"/>
    <x:tableColumn id="3" name="value"/>
    <x:tableColumn id="4" name="unit"/>
    <x:tableColumn id="5" name="basis"/>
    <x:tableColumn id="6" name="stream"/>
    <x:tableColumn id="7" name="sample_id"/>
    <x:tableColumn id="8" name="scenario"/>
    <x:tableColumn id="9" name="month"/>
    <x:tableColumn id="10" name="minimum"/>
    <x:tableColumn id="11" name="maximum"/>
    <x:tableColumn id="12" name="distribution"/>
    <x:tableColumn id="13" name="standard_deviation"/>
    <x:tableColumn id="14" name="data_type"/>
    <x:tableColumn id="15" name="measurement_status"/>
    <x:tableColumn id="16" name="source_class"/>
    <x:tableColumn id="17" name="reference"/>
    <x:tableColumn id="18" name="comment"/>
    <x:tableColumn id="19" name="priority"/>
    <x:tableColumn id="20" name="allocation_target"/>
    <x:tableColumn id="21" name="active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6" name="ParametersTablePhase3" displayName="ParametersTablePhase3" ref="A1:M21" headerRowCount="1" totalsRowCount="0" totalsRowShown="0">
  <x:tableColumns count="13">
    <x:tableColumn id="1" name="category"/>
    <x:tableColumn id="2" name="name"/>
    <x:tableColumn id="3" name="python_name"/>
    <x:tableColumn id="4" name="value"/>
    <x:tableColumn id="5" name="unit"/>
    <x:tableColumn id="6" name="minimum"/>
    <x:tableColumn id="7" name="maximum"/>
    <x:tableColumn id="8" name="distribution"/>
    <x:tableColumn id="9" name="required"/>
    <x:tableColumn id="10" name="source"/>
    <x:tableColumn id="11" name="comment"/>
    <x:tableColumn id="12" name="phase_introduced"/>
    <x:tableColumn id="13" name="activ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7" name="GrassAvailabilityTable" displayName="GrassAvailabilityTable" ref="A1:L13" headerRowCount="1" totalsRowCount="0" totalsRowShown="0">
  <x:tableColumns count="12">
    <x:tableColumn id="1" name="sample_id"/>
    <x:tableColumn id="2" name="scenario"/>
    <x:tableColumn id="3" name="year"/>
    <x:tableColumn id="4" name="month"/>
    <x:tableColumn id="5" name="season"/>
    <x:tableColumn id="6" name="total_wet_grass_mass_kg"/>
    <x:tableColumn id="7" name="operating_days"/>
    <x:tableColumn id="8" name="average_flow_kg_hr"/>
    <x:tableColumn id="9" name="measurement_status"/>
    <x:tableColumn id="10" name="source_class"/>
    <x:tableColumn id="11" name="reference"/>
    <x:tableColumn id="12" name="commen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8" name="GrassMeasurementsTable" displayName="GrassMeasurementsTable" ref="A1:U40" headerRowCount="1" totalsRowCount="0" totalsRowShown="0">
  <x:tableColumns count="21">
    <x:tableColumn id="1" name="name"/>
    <x:tableColumn id="2" name="python_name"/>
    <x:tableColumn id="3" name="value"/>
    <x:tableColumn id="4" name="unit"/>
    <x:tableColumn id="5" name="basis"/>
    <x:tableColumn id="6" name="stream"/>
    <x:tableColumn id="7" name="sample_id"/>
    <x:tableColumn id="8" name="scenario"/>
    <x:tableColumn id="9" name="month"/>
    <x:tableColumn id="10" name="minimum"/>
    <x:tableColumn id="11" name="maximum"/>
    <x:tableColumn id="12" name="distribution"/>
    <x:tableColumn id="13" name="standard_deviation"/>
    <x:tableColumn id="14" name="data_type"/>
    <x:tableColumn id="15" name="measurement_status"/>
    <x:tableColumn id="16" name="source_class"/>
    <x:tableColumn id="17" name="reference"/>
    <x:tableColumn id="18" name="comment"/>
    <x:tableColumn id="19" name="priority"/>
    <x:tableColumn id="20" name="allocation_target"/>
    <x:tableColumn id="21" name="activ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9" name="Phase3ParametersTable" displayName="Phase3ParametersTable" ref="A1:Q149" headerRowCount="1" totalsRowCount="0" totalsRowShown="0">
  <x:tableColumns count="17">
    <x:tableColumn id="1" name="scenario"/>
    <x:tableColumn id="2" name="month"/>
    <x:tableColumn id="3" name="category"/>
    <x:tableColumn id="4" name="name"/>
    <x:tableColumn id="5" name="python_name"/>
    <x:tableColumn id="6" name="value"/>
    <x:tableColumn id="7" name="unit"/>
    <x:tableColumn id="8" name="minimum"/>
    <x:tableColumn id="9" name="maximum"/>
    <x:tableColumn id="10" name="required"/>
    <x:tableColumn id="11" name="measurement_status"/>
    <x:tableColumn id="12" name="source_class"/>
    <x:tableColumn id="13" name="reference"/>
    <x:tableColumn id="14" name="comment"/>
    <x:tableColumn id="15" name="priority"/>
    <x:tableColumn id="16" name="active"/>
    <x:tableColumn id="17" name="calculation_method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10" name="Phase4ParametersTable" displayName="Phase4ParametersTable" ref="A1:T89" headerRowCount="1" totalsRowCount="0" totalsRowShown="0">
  <x:tableColumns count="20">
    <x:tableColumn id="1" name="category"/>
    <x:tableColumn id="2" name="name"/>
    <x:tableColumn id="3" name="python_name"/>
    <x:tableColumn id="4" name="value"/>
    <x:tableColumn id="5" name="unit"/>
    <x:tableColumn id="6" name="scenario"/>
    <x:tableColumn id="7" name="month"/>
    <x:tableColumn id="8" name="minimum"/>
    <x:tableColumn id="9" name="maximum"/>
    <x:tableColumn id="10" name="distribution"/>
    <x:tableColumn id="11" name="required"/>
    <x:tableColumn id="12" name="measurement_status"/>
    <x:tableColumn id="13" name="source_class"/>
    <x:tableColumn id="14" name="reference"/>
    <x:tableColumn id="15" name="comment"/>
    <x:tableColumn id="16" name="calculation_method"/>
    <x:tableColumn id="17" name="measured_or_assumed"/>
    <x:tableColumn id="18" name="priority"/>
    <x:tableColumn id="19" name="active"/>
    <x:tableColumn id="20" name="phase_introduced"/>
  </x:tableColumns>
  <x:tableStyleInfo name="TableStyleMedium4" showFirstColumn="0" showLastColumn="0" showRowStripes="1" showColumnStripes="0"/>
</x:table>
</file>

<file path=xl/tables/table9.xml><?xml version="1.0" encoding="utf-8"?>
<x:table xmlns:x="http://schemas.openxmlformats.org/spreadsheetml/2006/main" id="11" name="AcidTitrationTable" displayName="AcidTitrationTable" ref="A1:L2" headerRowCount="1" totalsRowCount="0" totalsRowShown="0">
  <x:tableColumns count="12">
    <x:tableColumn id="1" name="curve_id"/>
    <x:tableColumn id="2" name="acid_type"/>
    <x:tableColumn id="3" name="sample_id"/>
    <x:tableColumn id="4" name="scenario"/>
    <x:tableColumn id="5" name="month"/>
    <x:tableColumn id="6" name="acid_dose_kg_m3"/>
    <x:tableColumn id="7" name="resulting_pH"/>
    <x:tableColumn id="8" name="measurement_status"/>
    <x:tableColumn id="9" name="source_class"/>
    <x:tableColumn id="10" name="reference"/>
    <x:tableColumn id="11" name="comment"/>
    <x:tableColumn id="12" name="active"/>
  </x:tableColumns>
  <x:tableStyleInfo name="TableStyleMedium4" showFirstColumn="0" showLastColumn="0" showRowStripes="1" showColumnStripes="0"/>
</x:table>
</file>

<file path=xl/tables/table10.xml><?xml version="1.0" encoding="utf-8"?>
<x:table xmlns:x="http://schemas.openxmlformats.org/spreadsheetml/2006/main" id="12" name="ProteinRecoveryDataTable" displayName="ProteinRecoveryDataTable" ref="A1:J2" headerRowCount="1" totalsRowCount="0" totalsRowShown="0">
  <x:tableColumns count="10">
    <x:tableColumn id="1" name="dataset_id"/>
    <x:tableColumn id="2" name="scenario"/>
    <x:tableColumn id="3" name="pH"/>
    <x:tableColumn id="4" name="temperature_C"/>
    <x:tableColumn id="5" name="residence_time_min"/>
    <x:tableColumn id="6" name="recovery_fraction"/>
    <x:tableColumn id="7" name="source_class"/>
    <x:tableColumn id="8" name="reference"/>
    <x:tableColumn id="9" name="comment"/>
    <x:tableColumn id="10" name="active"/>
  </x:tableColumns>
  <x:tableStyleInfo name="TableStyleMedium4" showFirstColumn="0" showLastColumn="0" showRowStripes="1" showColumnStripes="0"/>
</x:table>
</file>

<file path=xl/tables/table11.xml><?xml version="1.0" encoding="utf-8"?>
<x:table xmlns:x="http://schemas.openxmlformats.org/spreadsheetml/2006/main" id="13" name="Phase6ParametersTable" displayName="Phase6ParametersTable" ref="A1:U167" headerRowCount="1" totalsRowCount="0" totalsRowShown="0">
  <x:tableColumns count="21">
    <x:tableColumn id="1" name="category"/>
    <x:tableColumn id="2" name="name"/>
    <x:tableColumn id="3" name="python_name"/>
    <x:tableColumn id="4" name="value"/>
    <x:tableColumn id="5" name="unit"/>
    <x:tableColumn id="6" name="scenario"/>
    <x:tableColumn id="7" name="month"/>
    <x:tableColumn id="8" name="minimum"/>
    <x:tableColumn id="9" name="maximum"/>
    <x:tableColumn id="10" name="distribution"/>
    <x:tableColumn id="11" name="required"/>
    <x:tableColumn id="12" name="measurement_status"/>
    <x:tableColumn id="13" name="source_class"/>
    <x:tableColumn id="14" name="reference"/>
    <x:tableColumn id="15" name="comment"/>
    <x:tableColumn id="16" name="calculation_method"/>
    <x:tableColumn id="17" name="measured_or_assumed"/>
    <x:tableColumn id="18" name="priority"/>
    <x:tableColumn id="19" name="active"/>
    <x:tableColumn id="20" name="phase_introduced"/>
    <x:tableColumn id="21" name="limitation_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449ea8df74244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d81951ab57944f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ca65311481840b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5a9cb32a422468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2ce720df9a74bf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3543651089444c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eff15125e0342f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de9dda90bf84a5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10cbf83522b342a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17c7f760e886401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f93dbd8c221a453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5" hidden="0" customWidth="1"/>
  </x:cols>
  <x:sheetData>
    <x:row r="1" ht="36" customHeight="1">
      <x:c r="A1" s="3" t="str">
        <x:v>GreenHub Phase 6 Master Input Workbook</x:v>
      </x:c>
      <x:c r="B1" s="3"/>
      <x:c r="C1" s="3"/>
      <x:c r="D1" s="3"/>
      <x:c r="E1" s="3"/>
      <x:c r="F1" s="3"/>
      <x:c r="G1" s="3"/>
      <x:c r="H1" s="3"/>
    </x:row>
    <x:row r="3">
      <x:c r="A3" s="5" t="str">
        <x:v>Purpose</x:v>
      </x:c>
      <x:c r="B3" s="7" t="str">
        <x:v>Controls measured-liquid and roadside-grass feeds, monthly availability, front-end processing, protein recovery, anaerobic digestion, raw biogas, digestate, seasonal operation, uncertainty, and provenance.</x:v>
      </x:c>
    </x:row>
    <x:row r="4">
      <x:c r="A4" s="5" t="str">
        <x:v>Model entry</x:v>
      </x:c>
      <x:c r="B4" s="7" t="str">
        <x:v>Phase 3 supports F0 measured liquid, F1 no PEF, F2 PEF baseline, and F3 sensitivity-ready PEF.</x:v>
      </x:c>
    </x:row>
    <x:row r="5">
      <x:c r="A5" s="5" t="str">
        <x:v>Yellow cells</x:v>
      </x:c>
      <x:c r="B5" s="7" t="str">
        <x:v>User-editable controls or assumed input values.</x:v>
      </x:c>
    </x:row>
    <x:row r="6">
      <x:c r="A6" s="5" t="str">
        <x:v>Green cells</x:v>
      </x:c>
      <x:c r="B6" s="7" t="str">
        <x:v>Calculated workbook checks; do not overwrite unless intentionally changing the template.</x:v>
      </x:c>
    </x:row>
    <x:row r="7">
      <x:c r="A7" s="5" t="str">
        <x:v>Blank values</x:v>
      </x:c>
      <x:c r="B7" s="7" t="str">
        <x:v>Unknown/not measured. Blank scientific values remain missing and do not add mass.</x:v>
      </x:c>
    </x:row>
    <x:row r="8">
      <x:c r="A8" s="5" t="str">
        <x:v>Components</x:v>
      </x:c>
      <x:c r="B8" s="7" t="str">
        <x:v>Only component rows allocate stream mass. Aggregate and physical measurements remain diagnostic.</x:v>
      </x:c>
    </x:row>
    <x:row r="9">
      <x:c r="A9" s="5" t="str">
        <x:v>Priority</x:v>
      </x:c>
      <x:c r="B9" s="7" t="str">
        <x:v>Lower numbers win when multiple applicable rows define one component or parameter.</x:v>
      </x:c>
    </x:row>
    <x:row r="10">
      <x:c r="A10" s="5" t="str">
        <x:v>Quality classes</x:v>
      </x:c>
      <x:c r="B10" s="7" t="str">
        <x:v>A project measurement; B supplier/industry; C peer-reviewed literature; D engineering estimate; E placeholder/unknown.</x:v>
      </x:c>
    </x:row>
    <x:row r="12">
      <x:c r="A12" s="8" t="str">
        <x:v>Sheet</x:v>
      </x:c>
      <x:c r="B12" s="8" t="str">
        <x:v>How it is used</x:v>
      </x:c>
    </x:row>
    <x:row r="13">
      <x:c r="A13" s="9" t="str">
        <x:v>ModelControl</x:v>
      </x:c>
      <x:c r="B13" s="6" t="str">
        <x:v>Select active sample, scenario, and month.</x:v>
      </x:c>
    </x:row>
    <x:row r="14">
      <x:c r="A14" s="9" t="str">
        <x:v>MonthlyMass</x:v>
      </x:c>
      <x:c r="B14" s="6" t="str">
        <x:v>Enter total liquid fraction available in each month and operating days.</x:v>
      </x:c>
    </x:row>
    <x:row r="15">
      <x:c r="A15" s="9" t="str">
        <x:v>FeedMeasurements</x:v>
      </x:c>
      <x:c r="B15" s="6" t="str">
        <x:v>Enter measured/assumed component, aggregate, and physical values in the stated unit.</x:v>
      </x:c>
    </x:row>
    <x:row r="16">
      <x:c r="A16" s="9" t="str">
        <x:v>Parameters</x:v>
      </x:c>
      <x:c r="B16" s="6" t="str">
        <x:v>Static cross-phase schema. Active F0-F3 runtime values and provenance are controlled in Phase3Parameters.</x:v>
      </x:c>
    </x:row>
    <x:row r="17">
      <x:c r="A17" s="9" t="str">
        <x:v>Important</x:v>
      </x:c>
      <x:c r="B17" s="6" t="str">
        <x:v>Replace all quality-class E values before interpreting scenario performance, TEA, or LCA.</x:v>
      </x:c>
    </x:row>
    <x:row r="18">
      <x:c r="A18" s="35" t="str">
        <x:v>GrassAvailability</x:v>
      </x:c>
      <x:c r="B18" s="34" t="str">
        <x:v>Enter monthly incoming wet-grass availability and operating days.</x:v>
      </x:c>
    </x:row>
    <x:row r="19">
      <x:c r="A19" s="35" t="str">
        <x:v>GrassMeasurements</x:v>
      </x:c>
      <x:c r="B19" s="34" t="str">
        <x:v>Enter incoming grass composition separately from liquid-fraction measurements.</x:v>
      </x:c>
    </x:row>
    <x:row r="20">
      <x:c r="A20" s="35" t="str">
        <x:v>Phase3Parameters</x:v>
      </x:c>
      <x:c r="B20" s="34" t="str">
        <x:v>Enter F0-F3 unit parameters, scenario/month overrides, bounds, and provenance.</x:v>
      </x:c>
    </x:row>
    <x:row r="21">
      <x:c r="A21" s="35" t="str">
        <x:v>Structural test mode</x:v>
      </x:c>
      <x:c r="B21" s="34" t="str">
        <x:v>Quality-class E values may run only when structural_test_mode is TRUE.</x:v>
      </x:c>
    </x:row>
    <x:row r="22">
      <x:c r="A22" s="35" t="str">
        <x:v>Mass basis</x:v>
      </x:c>
      <x:c r="B22" s="34" t="str">
        <x:v>All active component fractions are physical masses; COD, TOC, TS, TSS, TN, and TP are analytical checks.</x:v>
      </x:c>
    </x:row>
    <x:row r="23">
      <x:c r="A23" s="35" t="str">
        <x:v>Important</x:v>
      </x:c>
      <x:c r="B23" s="34" t="str">
        <x:v>Replace class E values before interpreting performance, equipment design, TEA, or LCA.</x:v>
      </x:c>
    </x:row>
    <x:row r="24" ht="38" customHeight="1">
      <x:c r="A24" s="83" t="str">
        <x:v>Phase4Parameters</x:v>
      </x:c>
      <x:c r="B24" s="85" t="str">
        <x:v>Enter PR0-PR6 protein-recovery parameters, scenario/month overrides, bounds, methods, and provenance.</x:v>
      </x:c>
    </x:row>
    <x:row r="25" ht="38" customHeight="1">
      <x:c r="A25" s="84" t="str">
        <x:v>AcidTitration</x:v>
      </x:c>
      <x:c r="B25" s="86" t="str">
        <x:v>Optional raw titration points for acid-dose interpolation. Blank inactive rows do not affect the model.</x:v>
      </x:c>
    </x:row>
    <x:row r="26" ht="38" customHeight="1">
      <x:c r="A26" s="84" t="str">
        <x:v>ProteinRecoveryData</x:v>
      </x:c>
      <x:c r="B26" s="86" t="str">
        <x:v>Optional raw recovery observations for later empirical fitting. Blank inactive rows do not affect the model.</x:v>
      </x:c>
    </x:row>
    <x:row r="27" ht="38" customHeight="1">
      <x:c r="A27" s="84" t="str">
        <x:v>Phase 4 scenarios</x:v>
      </x:c>
      <x:c r="B27" s="86" t="str">
        <x:v>PR0 bypass, PR1 acid precipitation, PR2 heat coagulation, PR3 combined acid and heat; PR4-PR6 remain inactive pending data.</x:v>
      </x:c>
    </x:row>
    <x:row r="28" ht="38" customHeight="1">
      <x:c r="A28" s="84" t="str">
        <x:v>Phase 4 warning</x:v>
      </x:c>
      <x:c r="B28" s="86" t="str">
        <x:v>All supplied Phase 4 values are quality-class E structural placeholders and must be replaced before interpretation.</x:v>
      </x:c>
    </x:row>
    <x:row r="29">
      <x:c r="A29" s="116" t="str">
        <x:v>Phase5Parameters</x:v>
      </x:c>
      <x:c r="B29" t="str">
        <x:v>Enter AD0-AD5 conditioning, reactor, conversion, gas, utility, and design controls with scenario/month overrides and limitation links.</x:v>
      </x:c>
    </x:row>
    <x:row r="30">
      <x:c r="A30" s="116" t="str">
        <x:v>Phase 5 scenarios</x:v>
      </x:c>
      <x:c r="B30" t="str">
        <x:v>AD0 bypass, AD1 post-protein mesophilic CSTR, AD2 direct mesophilic CSTR, AD3 thermophilic CSTR; AD4-AD5 remain inactive pending configuration-specific data.</x:v>
      </x:c>
    </x:row>
    <x:row r="31">
      <x:c r="A31" s="116" t="str">
        <x:v>Phase 5 warning</x:v>
      </x:c>
      <x:c r="B31" t="str">
        <x:v>Every supplied Phase 5 value is a quality-class E structural placeholder. It supports code verification only, not equipment design, TEA, LCA, permitting, or performance claims.</x:v>
      </x:c>
    </x:row>
    <x:row r="32">
      <x:c r="A32" s="116" t="str">
        <x:v>Gas boundary</x:v>
      </x:c>
      <x:c r="B32" t="str">
        <x:v>Phase 5 reports raw wet/dry biogas, dissolved gas, uncaptured gas, and digestate. It does not perform biogas upgrading.</x:v>
      </x:c>
    </x:row>
    <x:row r="33">
      <x:c r="A33" s="116" t="str">
        <x:v>Missing values</x:v>
      </x:c>
      <x:c r="B33" t="str">
        <x:v>Optional blank laboratory fields remain missing and do not add mass or disable unrelated calculations.</x:v>
      </x:c>
    </x:row>
    <x:row r="34">
      <x:c r="A34" t="str">
        <x:v>Phase6Parameters</x:v>
      </x:c>
      <x:c r="B34" t="str">
        <x:v>Enter BG0-BG6 conditioning and upgrading controls, quality limits, utilities, design values, provenance, and limitation links.</x:v>
      </x:c>
    </x:row>
    <x:row r="35">
      <x:c r="A35" t="str">
        <x:v>Phase 6 scenarios</x:v>
      </x:c>
      <x:c r="B35" t="str">
        <x:v>BG0, BG2, BG3, BG4, and BG5 are active. BG1 CHP and BG6 cryogenic remain inactive pending the listed engineering data.</x:v>
      </x:c>
    </x:row>
    <x:row r="36">
      <x:c r="A36" t="str">
        <x:v>Phase 6 warning</x:v>
      </x:c>
      <x:c r="B36" t="str">
        <x:v>Every supplied Phase 6 process value is quality-class E structural data and must be replaced before design, TEA, LCA, permitting, or selection.</x:v>
      </x:c>
    </x:row>
    <x:row r="37">
      <x:c r="A37" t="str">
        <x:v>Gas boundary</x:v>
      </x:c>
      <x:c r="B37" t="str">
        <x:v>This section ends at gas product, reject gas, wastewater, and spent material. CHP, final compression/storage/grid injection, and plant utilities are deferred.</x:v>
      </x:c>
    </x:row>
    <x:row r="38">
      <x:c r="A38" t="str">
        <x:v>Ranking</x:v>
      </x:c>
      <x:c r="B38" t="str">
        <x:v>The workbook supports engineering comparison only. No best upgrading technology is declared while class-E data and no decision method are active.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4" hidden="0" customWidth="1"/>
    <x:col min="3" max="3" width="72" hidden="0" customWidth="1"/>
  </x:cols>
  <x:sheetData>
    <x:row r="1" ht="32" customHeight="1">
      <x:c r="A1" s="19" t="str">
        <x:v>parameter</x:v>
      </x:c>
      <x:c r="B1" s="20" t="str">
        <x:v>value</x:v>
      </x:c>
      <x:c r="C1" s="21" t="str">
        <x:v>notes</x:v>
      </x:c>
    </x:row>
    <x:row r="2">
      <x:c r="A2" s="13" t="str">
        <x:v>selected_sample_id</x:v>
      </x:c>
      <x:c r="B2" s="24" t="str">
        <x:v>baseline</x:v>
      </x:c>
      <x:c r="C2" s="13" t="str">
        <x:v>Must match sample_id in MonthlyMass and FeedMeasurements.</x:v>
      </x:c>
    </x:row>
    <x:row r="3">
      <x:c r="A3" s="13" t="str">
        <x:v>selected_scenario</x:v>
      </x:c>
      <x:c r="B3" s="24" t="str">
        <x:v>baseline</x:v>
      </x:c>
      <x:c r="C3" s="13" t="str">
        <x:v>Must match scenario in MonthlyMass and FeedMeasurements.</x:v>
      </x:c>
    </x:row>
    <x:row r="4">
      <x:c r="A4" s="13" t="str">
        <x:v>selected_month</x:v>
      </x:c>
      <x:c r="B4" s="24" t="str">
        <x:v>July</x:v>
      </x:c>
      <x:c r="C4" s="13" t="str">
        <x:v>Selects the monthly mass and month-specific measurements.</x:v>
      </x:c>
    </x:row>
    <x:row r="5">
      <x:c r="A5" s="13" t="str">
        <x:v>entry_mode</x:v>
      </x:c>
      <x:c r="B5" s="24" t="str">
        <x:v>measured_liquid</x:v>
      </x:c>
      <x:c r="C5" s="13" t="str">
        <x:v>Controls the retained Phase 2/F0 measured-liquid feed; selected_phase3_scenario selects the Phase 3 entry mode.</x:v>
      </x:c>
    </x:row>
    <x:row r="6">
      <x:c r="A6" s="13" t="str">
        <x:v>flow_basis</x:v>
      </x:c>
      <x:c r="B6" s="24" t="str">
        <x:v>kg/hr</x:v>
      </x:c>
      <x:c r="C6" s="13" t="str">
        <x:v>Canonical BioSTEAM mass-flow basis.</x:v>
      </x:c>
    </x:row>
    <x:row r="7">
      <x:c r="A7" s="13" t="str">
        <x:v>estimate_unknown_residuals</x:v>
      </x:c>
      <x:c r="B7" s="25" t="b">
        <x:v>0</x:v>
      </x:c>
      <x:c r="C7" s="13" t="str">
        <x:v>Keep FALSE unless an explicit reconciliation method is approved.</x:v>
      </x:c>
    </x:row>
    <x:row r="8">
      <x:c r="A8" s="13" t="str">
        <x:v>annual_liquid_mass_kg</x:v>
      </x:c>
      <x:c r="B8" s="28" t="n">
        <x:f>SUMIFS('MonthlyMass'!$F$2:$F$13,'MonthlyMass'!$A$2:$A$13,B2,'MonthlyMass'!$B$2:$B$13,B3)</x:f>
        <x:v>773000</x:v>
      </x:c>
      <x:c r="C8" s="13" t="str">
        <x:v>Calculated across selected sample and scenario.</x:v>
      </x:c>
    </x:row>
    <x:row r="9">
      <x:c r="A9" s="13" t="str">
        <x:v>selected_month_mass_kg</x:v>
      </x:c>
      <x:c r="B9" s="28" t="n">
        <x:f>SUMIFS('MonthlyMass'!$F$2:$F$13,'MonthlyMass'!$A$2:$A$13,B2,'MonthlyMass'!$B$2:$B$13,B3,'MonthlyMass'!$D$2:$D$13,B4)</x:f>
        <x:v>82000</x:v>
      </x:c>
      <x:c r="C9" s="13" t="str">
        <x:v>Calculated from MonthlyMass.</x:v>
      </x:c>
    </x:row>
    <x:row r="10">
      <x:c r="A10" s="13" t="str">
        <x:v>selected_month_average_flow_kg_hr</x:v>
      </x:c>
      <x:c r="B10" s="28" t="n">
        <x:f>SUMIFS('MonthlyMass'!$H$2:$H$13,'MonthlyMass'!$A$2:$A$13,B2,'MonthlyMass'!$B$2:$B$13,B3,'MonthlyMass'!$D$2:$D$13,B4)</x:f>
        <x:v>110.21505376344086</x:v>
      </x:c>
      <x:c r="C10" s="13" t="str">
        <x:v>Calculated from monthly mass and operating days.</x:v>
      </x:c>
    </x:row>
    <x:row r="11">
      <x:c r="A11" s="34" t="str">
        <x:v>selected_phase3_scenario</x:v>
      </x:c>
      <x:c r="B11" s="41" t="str">
        <x:v>F2</x:v>
      </x:c>
      <x:c r="C11" s="34" t="str">
        <x:v>F0 measured liquid; F1 no PEF; F2 PEF baseline; F3 sensitivity-ready.</x:v>
      </x:c>
    </x:row>
    <x:row r="12">
      <x:c r="A12" s="34" t="str">
        <x:v>selected_grass_sample_id</x:v>
      </x:c>
      <x:c r="B12" s="41" t="str">
        <x:v>grass_baseline</x:v>
      </x:c>
      <x:c r="C12" s="34" t="str">
        <x:v>Must match GrassAvailability and GrassMeasurements.</x:v>
      </x:c>
    </x:row>
    <x:row r="13">
      <x:c r="A13" s="34" t="str">
        <x:v>structural_test_mode</x:v>
      </x:c>
      <x:c r="B13" s="42" t="b">
        <x:v>1</x:v>
      </x:c>
      <x:c r="C13" s="34" t="str">
        <x:v>TRUE permits explicit quality-class E structural values; never treat them as final data.</x:v>
      </x:c>
    </x:row>
    <x:row r="14">
      <x:c r="A14" s="34" t="str">
        <x:v>phase3_input_basis</x:v>
      </x:c>
      <x:c r="B14" s="41" t="str">
        <x:v>structural_test</x:v>
      </x:c>
      <x:c r="C14" s="34" t="str">
        <x:v>Visible warning label for all current F1-F3 assumptions.</x:v>
      </x:c>
    </x:row>
    <x:row r="15">
      <x:c r="A15" s="34" t="str">
        <x:v>annual_grass_mass_kg</x:v>
      </x:c>
      <x:c r="B15" s="45" t="n">
        <x:f>SUMIFS('GrassAvailability'!$F$2:$F$13,'GrassAvailability'!$A$2:$A$13,B12)</x:f>
        <x:v>3235000</x:v>
      </x:c>
      <x:c r="C15" s="34" t="str">
        <x:v>Calculated across the selected grass sample.</x:v>
      </x:c>
    </x:row>
    <x:row r="16">
      <x:c r="A16" s="34" t="str">
        <x:v>selected_month_grass_mass_kg</x:v>
      </x:c>
      <x:c r="B16" s="45" t="n">
        <x:f>SUMIFS('GrassAvailability'!$F$2:$F$13,'GrassAvailability'!$A$2:$A$13,B12,'GrassAvailability'!$D$2:$D$13,B4)</x:f>
        <x:v>420000</x:v>
      </x:c>
      <x:c r="C16" s="34" t="str">
        <x:v>Calculated from GrassAvailability.</x:v>
      </x:c>
    </x:row>
    <x:row r="17">
      <x:c r="A17" s="34" t="str">
        <x:v>selected_month_grass_flow_kg_hr</x:v>
      </x:c>
      <x:c r="B17" s="45" t="n">
        <x:f>SUMIFS('GrassAvailability'!$H$2:$H$13,'GrassAvailability'!$A$2:$A$13,B12,'GrassAvailability'!$D$2:$D$13,B4)</x:f>
        <x:v>564.516129032258</x:v>
      </x:c>
      <x:c r="C17" s="34" t="str">
        <x:v>Calculated from monthly grass mass and operating days.</x:v>
      </x:c>
    </x:row>
    <x:row r="18" ht="34" customHeight="1">
      <x:c r="A18" s="79" t="str">
        <x:v>selected_phase4_scenario</x:v>
      </x:c>
      <x:c r="B18" s="93" t="str">
        <x:v>PR3</x:v>
      </x:c>
      <x:c r="C18" s="85" t="str">
        <x:v>PR0 bypass; PR1 acid; PR2 heat; PR3 combined acid + heat + wash; PR4-PR6 inactive pending data.</x:v>
      </x:c>
    </x:row>
    <x:row r="19" ht="34" customHeight="1">
      <x:c r="A19" s="80" t="str">
        <x:v>phase4_structural_test_mode</x:v>
      </x:c>
      <x:c r="B19" s="94" t="b">
        <x:v>1</x:v>
      </x:c>
      <x:c r="C19" s="86" t="str">
        <x:v>TRUE permits explicit class E Phase 4 placeholders. Set FALSE after replacing all required class E values.</x:v>
      </x:c>
    </x:row>
    <x:row r="20" ht="34" customHeight="1">
      <x:c r="A20" s="80" t="str">
        <x:v>phase4_input_basis</x:v>
      </x:c>
      <x:c r="B20" s="95" t="str">
        <x:v>structural_test</x:v>
      </x:c>
      <x:c r="C20" s="86" t="str">
        <x:v>Visible warning label: Phase 4 values are not measured design inputs.</x:v>
      </x:c>
    </x:row>
    <x:row r="21">
      <x:c r="A21" s="113" t="str">
        <x:v>selected_phase5_scenario</x:v>
      </x:c>
      <x:c r="B21" s="114" t="str">
        <x:v>AD1</x:v>
      </x:c>
      <x:c r="C21" s="113" t="str">
        <x:v>AD0 bypass; AD1 post-protein mesophilic; AD2 direct mesophilic; AD3 thermophilic; AD4-AD5 inactive pending data.</x:v>
      </x:c>
    </x:row>
    <x:row r="22">
      <x:c r="A22" s="113" t="str">
        <x:v>phase5_structural_test_mode</x:v>
      </x:c>
      <x:c r="B22" s="115" t="b">
        <x:v>1</x:v>
      </x:c>
      <x:c r="C22" s="113" t="str">
        <x:v>TRUE permits explicit class E Phase 5 placeholders. Set FALSE only after replacing all required class E values.</x:v>
      </x:c>
    </x:row>
    <x:row r="23">
      <x:c r="A23" s="113" t="str">
        <x:v>phase5_input_basis</x:v>
      </x:c>
      <x:c r="B23" s="114" t="str">
        <x:v>structural_test</x:v>
      </x:c>
      <x:c r="C23" s="113" t="str">
        <x:v>Visible warning: Phase 5 digestion values are not measured or validated design inputs.</x:v>
      </x:c>
    </x:row>
    <x:row r="24">
      <x:c r="A24" t="str">
        <x:v>selected_phase6_scenario</x:v>
      </x:c>
      <x:c r="B24" t="str">
        <x:v>BG2</x:v>
      </x:c>
      <x:c r="C24" t="str">
        <x:v>BG0 raw export; BG1 CHP inactive; BG2 water scrub; BG3 membrane; BG4 PSA; BG5 MEA; BG6 cryogenic inactive.</x:v>
      </x:c>
    </x:row>
    <x:row r="25">
      <x:c r="A25" t="str">
        <x:v>phase6_structural_test_mode</x:v>
      </x:c>
      <x:c r="B25" s="10" t="b">
        <x:v>1</x:v>
      </x:c>
      <x:c r="C25" t="str">
        <x:v>TRUE permits explicit class E Phase 6 placeholders. Set FALSE only after replacing every required class E value.</x:v>
      </x:c>
    </x:row>
    <x:row r="26">
      <x:c r="A26" t="str">
        <x:v>phase6_input_basis</x:v>
      </x:c>
      <x:c r="B26" t="str">
        <x:v>structural_test</x:v>
      </x:c>
      <x:c r="C26" t="str">
        <x:v>Visible warning: Phase 6 gas-cleaning and upgrading values are not measured or validated design inputs.</x:v>
      </x:c>
    </x:row>
  </x:sheetData>
  <x:dataValidations count="11">
    <x:dataValidation type="list" sqref="B4">
      <x:formula1>"January,February,March,April,May,June,July,August,September,October,November,December"</x:formula1>
    </x:dataValidation>
    <x:dataValidation type="list" sqref="B5">
      <x:formula1>"measured_liquid,roadside_grass"</x:formula1>
    </x:dataValidation>
    <x:dataValidation type="list" sqref="B7">
      <x:formula1>"true,false"</x:formula1>
    </x:dataValidation>
    <x:dataValidation type="list" sqref="B11">
      <x:formula1>"F0,F1,F2,F3"</x:formula1>
    </x:dataValidation>
    <x:dataValidation type="list" sqref="B13">
      <x:formula1>"true,false"</x:formula1>
    </x:dataValidation>
    <x:dataValidation type="list" sqref="B18">
      <x:formula1>"PR0,PR1,PR2,PR3,PR4,PR5,PR6"</x:formula1>
    </x:dataValidation>
    <x:dataValidation type="list" sqref="B19">
      <x:formula1>"true,false"</x:formula1>
    </x:dataValidation>
    <x:dataValidation type="list" sqref="B21">
      <x:formula1>"AD0,AD1,AD2,AD3,AD4,AD5"</x:formula1>
    </x:dataValidation>
    <x:dataValidation type="list" sqref="B22">
      <x:formula1>"true,false"</x:formula1>
    </x:dataValidation>
    <x:dataValidation type="list" sqref="B24">
      <x:formula1>"BG0,BG1,BG2,BG3,BG4,BG5,BG6"</x:formula1>
    </x:dataValidation>
    <x:dataValidation type="list" sqref="B25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449ea8df742445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0" hidden="0" customWidth="1"/>
    <x:col min="4" max="4" width="16" hidden="0" customWidth="1"/>
    <x:col min="5" max="5" width="16" hidden="0" customWidth="1"/>
    <x:col min="6" max="6" width="23" hidden="0" customWidth="1"/>
    <x:col min="7" max="7" width="23" hidden="0" customWidth="1"/>
    <x:col min="8" max="8" width="23" hidden="0" customWidth="1"/>
    <x:col min="9" max="9" width="21" hidden="0" customWidth="1"/>
    <x:col min="10" max="10" width="21" hidden="0" customWidth="1"/>
    <x:col min="11" max="11" width="30" hidden="0" customWidth="1"/>
    <x:col min="12" max="12" width="58" hidden="0" customWidth="1"/>
  </x:cols>
  <x:sheetData>
    <x:row r="1" ht="32" customHeight="1">
      <x:c r="A1" s="19" t="str">
        <x:v>sample_id</x:v>
      </x:c>
      <x:c r="B1" s="20" t="str">
        <x:v>scenario</x:v>
      </x:c>
      <x:c r="C1" s="20" t="str">
        <x:v>year</x:v>
      </x:c>
      <x:c r="D1" s="20" t="str">
        <x:v>month</x:v>
      </x:c>
      <x:c r="E1" s="20" t="str">
        <x:v>season</x:v>
      </x:c>
      <x:c r="F1" s="20" t="str">
        <x:v>total_liquid_mass_kg</x:v>
      </x:c>
      <x:c r="G1" s="20" t="str">
        <x:v>operating_days</x:v>
      </x:c>
      <x:c r="H1" s="20" t="str">
        <x:v>average_flow_kg_hr</x:v>
      </x:c>
      <x:c r="I1" s="20" t="str">
        <x:v>measurement_status</x:v>
      </x:c>
      <x:c r="J1" s="20" t="str">
        <x:v>source_class</x:v>
      </x:c>
      <x:c r="K1" s="20" t="str">
        <x:v>reference</x:v>
      </x:c>
      <x:c r="L1" s="21" t="str">
        <x:v>comment</x:v>
      </x:c>
    </x:row>
    <x:row r="2">
      <x:c r="A2" s="29" t="str">
        <x:v>baseline</x:v>
      </x:c>
      <x:c r="B2" s="29" t="str">
        <x:v>baseline</x:v>
      </x:c>
      <x:c r="C2" s="29" t="n">
        <x:v>2026</x:v>
      </x:c>
      <x:c r="D2" s="29" t="str">
        <x:v>January</x:v>
      </x:c>
      <x:c r="E2" s="29" t="str">
        <x:v>Winter</x:v>
      </x:c>
      <x:c r="F2" s="31" t="n">
        <x:v>52000</x:v>
      </x:c>
      <x:c r="G2" s="24" t="n">
        <x:v>31</x:v>
      </x:c>
      <x:c r="H2" s="30" t="n">
        <x:f>F2/(G2*24)</x:f>
        <x:v>69.89247311827957</x:v>
      </x:c>
      <x:c r="I2" s="13" t="str">
        <x:v>assumed</x:v>
      </x:c>
      <x:c r="J2" s="13" t="str">
        <x:v>E</x:v>
      </x:c>
      <x:c r="K2" s="13"/>
      <x:c r="L2" s="13" t="str">
        <x:v>Dummy seasonal availability; replace with project data.</x:v>
      </x:c>
    </x:row>
    <x:row r="3">
      <x:c r="A3" s="29" t="str">
        <x:v>baseline</x:v>
      </x:c>
      <x:c r="B3" s="29" t="str">
        <x:v>baseline</x:v>
      </x:c>
      <x:c r="C3" s="29" t="n">
        <x:v>2026</x:v>
      </x:c>
      <x:c r="D3" s="29" t="str">
        <x:v>February</x:v>
      </x:c>
      <x:c r="E3" s="29" t="str">
        <x:v>Winter</x:v>
      </x:c>
      <x:c r="F3" s="31" t="n">
        <x:v>48000</x:v>
      </x:c>
      <x:c r="G3" s="24" t="n">
        <x:v>28</x:v>
      </x:c>
      <x:c r="H3" s="30" t="n">
        <x:f>F3/(G3*24)</x:f>
        <x:v>71.42857142857143</x:v>
      </x:c>
      <x:c r="I3" s="13" t="str">
        <x:v>assumed</x:v>
      </x:c>
      <x:c r="J3" s="13" t="str">
        <x:v>E</x:v>
      </x:c>
      <x:c r="K3" s="13"/>
      <x:c r="L3" s="13" t="str">
        <x:v>Dummy seasonal availability; replace with project data.</x:v>
      </x:c>
    </x:row>
    <x:row r="4">
      <x:c r="A4" s="29" t="str">
        <x:v>baseline</x:v>
      </x:c>
      <x:c r="B4" s="29" t="str">
        <x:v>baseline</x:v>
      </x:c>
      <x:c r="C4" s="29" t="n">
        <x:v>2026</x:v>
      </x:c>
      <x:c r="D4" s="29" t="str">
        <x:v>March</x:v>
      </x:c>
      <x:c r="E4" s="29" t="str">
        <x:v>Spring</x:v>
      </x:c>
      <x:c r="F4" s="31" t="n">
        <x:v>55000</x:v>
      </x:c>
      <x:c r="G4" s="24" t="n">
        <x:v>31</x:v>
      </x:c>
      <x:c r="H4" s="30" t="n">
        <x:f>F4/(G4*24)</x:f>
        <x:v>73.9247311827957</x:v>
      </x:c>
      <x:c r="I4" s="13" t="str">
        <x:v>assumed</x:v>
      </x:c>
      <x:c r="J4" s="13" t="str">
        <x:v>E</x:v>
      </x:c>
      <x:c r="K4" s="13"/>
      <x:c r="L4" s="13" t="str">
        <x:v>Dummy seasonal availability; replace with project data.</x:v>
      </x:c>
    </x:row>
    <x:row r="5">
      <x:c r="A5" s="29" t="str">
        <x:v>baseline</x:v>
      </x:c>
      <x:c r="B5" s="29" t="str">
        <x:v>baseline</x:v>
      </x:c>
      <x:c r="C5" s="29" t="n">
        <x:v>2026</x:v>
      </x:c>
      <x:c r="D5" s="29" t="str">
        <x:v>April</x:v>
      </x:c>
      <x:c r="E5" s="29" t="str">
        <x:v>Spring</x:v>
      </x:c>
      <x:c r="F5" s="31" t="n">
        <x:v>62000</x:v>
      </x:c>
      <x:c r="G5" s="24" t="n">
        <x:v>30</x:v>
      </x:c>
      <x:c r="H5" s="30" t="n">
        <x:f>F5/(G5*24)</x:f>
        <x:v>86.11111111111111</x:v>
      </x:c>
      <x:c r="I5" s="13" t="str">
        <x:v>assumed</x:v>
      </x:c>
      <x:c r="J5" s="13" t="str">
        <x:v>E</x:v>
      </x:c>
      <x:c r="K5" s="13"/>
      <x:c r="L5" s="13" t="str">
        <x:v>Dummy seasonal availability; replace with project data.</x:v>
      </x:c>
    </x:row>
    <x:row r="6">
      <x:c r="A6" s="29" t="str">
        <x:v>baseline</x:v>
      </x:c>
      <x:c r="B6" s="29" t="str">
        <x:v>baseline</x:v>
      </x:c>
      <x:c r="C6" s="29" t="n">
        <x:v>2026</x:v>
      </x:c>
      <x:c r="D6" s="29" t="str">
        <x:v>May</x:v>
      </x:c>
      <x:c r="E6" s="29" t="str">
        <x:v>Spring</x:v>
      </x:c>
      <x:c r="F6" s="31" t="n">
        <x:v>70000</x:v>
      </x:c>
      <x:c r="G6" s="24" t="n">
        <x:v>31</x:v>
      </x:c>
      <x:c r="H6" s="30" t="n">
        <x:f>F6/(G6*24)</x:f>
        <x:v>94.08602150537635</x:v>
      </x:c>
      <x:c r="I6" s="13" t="str">
        <x:v>assumed</x:v>
      </x:c>
      <x:c r="J6" s="13" t="str">
        <x:v>E</x:v>
      </x:c>
      <x:c r="K6" s="13"/>
      <x:c r="L6" s="13" t="str">
        <x:v>Dummy seasonal availability; replace with project data.</x:v>
      </x:c>
    </x:row>
    <x:row r="7">
      <x:c r="A7" s="29" t="str">
        <x:v>baseline</x:v>
      </x:c>
      <x:c r="B7" s="29" t="str">
        <x:v>baseline</x:v>
      </x:c>
      <x:c r="C7" s="29" t="n">
        <x:v>2026</x:v>
      </x:c>
      <x:c r="D7" s="29" t="str">
        <x:v>June</x:v>
      </x:c>
      <x:c r="E7" s="29" t="str">
        <x:v>Summer</x:v>
      </x:c>
      <x:c r="F7" s="31" t="n">
        <x:v>76000</x:v>
      </x:c>
      <x:c r="G7" s="24" t="n">
        <x:v>30</x:v>
      </x:c>
      <x:c r="H7" s="30" t="n">
        <x:f>F7/(G7*24)</x:f>
        <x:v>105.55555555555556</x:v>
      </x:c>
      <x:c r="I7" s="13" t="str">
        <x:v>assumed</x:v>
      </x:c>
      <x:c r="J7" s="13" t="str">
        <x:v>E</x:v>
      </x:c>
      <x:c r="K7" s="13"/>
      <x:c r="L7" s="13" t="str">
        <x:v>Dummy seasonal availability; replace with project data.</x:v>
      </x:c>
    </x:row>
    <x:row r="8">
      <x:c r="A8" s="29" t="str">
        <x:v>baseline</x:v>
      </x:c>
      <x:c r="B8" s="29" t="str">
        <x:v>baseline</x:v>
      </x:c>
      <x:c r="C8" s="29" t="n">
        <x:v>2026</x:v>
      </x:c>
      <x:c r="D8" s="29" t="str">
        <x:v>July</x:v>
      </x:c>
      <x:c r="E8" s="29" t="str">
        <x:v>Summer</x:v>
      </x:c>
      <x:c r="F8" s="31" t="n">
        <x:v>82000</x:v>
      </x:c>
      <x:c r="G8" s="24" t="n">
        <x:v>31</x:v>
      </x:c>
      <x:c r="H8" s="30" t="n">
        <x:f>F8/(G8*24)</x:f>
        <x:v>110.21505376344086</x:v>
      </x:c>
      <x:c r="I8" s="13" t="str">
        <x:v>assumed</x:v>
      </x:c>
      <x:c r="J8" s="13" t="str">
        <x:v>E</x:v>
      </x:c>
      <x:c r="K8" s="13"/>
      <x:c r="L8" s="13" t="str">
        <x:v>Dummy seasonal availability; replace with project data.</x:v>
      </x:c>
    </x:row>
    <x:row r="9">
      <x:c r="A9" s="29" t="str">
        <x:v>baseline</x:v>
      </x:c>
      <x:c r="B9" s="29" t="str">
        <x:v>baseline</x:v>
      </x:c>
      <x:c r="C9" s="29" t="n">
        <x:v>2026</x:v>
      </x:c>
      <x:c r="D9" s="29" t="str">
        <x:v>August</x:v>
      </x:c>
      <x:c r="E9" s="29" t="str">
        <x:v>Summer</x:v>
      </x:c>
      <x:c r="F9" s="31" t="n">
        <x:v>80000</x:v>
      </x:c>
      <x:c r="G9" s="24" t="n">
        <x:v>31</x:v>
      </x:c>
      <x:c r="H9" s="30" t="n">
        <x:f>F9/(G9*24)</x:f>
        <x:v>107.52688172043011</x:v>
      </x:c>
      <x:c r="I9" s="13" t="str">
        <x:v>assumed</x:v>
      </x:c>
      <x:c r="J9" s="13" t="str">
        <x:v>E</x:v>
      </x:c>
      <x:c r="K9" s="13"/>
      <x:c r="L9" s="13" t="str">
        <x:v>Dummy seasonal availability; replace with project data.</x:v>
      </x:c>
    </x:row>
    <x:row r="10">
      <x:c r="A10" s="29" t="str">
        <x:v>baseline</x:v>
      </x:c>
      <x:c r="B10" s="29" t="str">
        <x:v>baseline</x:v>
      </x:c>
      <x:c r="C10" s="29" t="n">
        <x:v>2026</x:v>
      </x:c>
      <x:c r="D10" s="29" t="str">
        <x:v>September</x:v>
      </x:c>
      <x:c r="E10" s="29" t="str">
        <x:v>Autumn</x:v>
      </x:c>
      <x:c r="F10" s="31" t="n">
        <x:v>74000</x:v>
      </x:c>
      <x:c r="G10" s="24" t="n">
        <x:v>30</x:v>
      </x:c>
      <x:c r="H10" s="30" t="n">
        <x:f>F10/(G10*24)</x:f>
        <x:v>102.77777777777777</x:v>
      </x:c>
      <x:c r="I10" s="13" t="str">
        <x:v>assumed</x:v>
      </x:c>
      <x:c r="J10" s="13" t="str">
        <x:v>E</x:v>
      </x:c>
      <x:c r="K10" s="13"/>
      <x:c r="L10" s="13" t="str">
        <x:v>Dummy seasonal availability; replace with project data.</x:v>
      </x:c>
    </x:row>
    <x:row r="11">
      <x:c r="A11" s="29" t="str">
        <x:v>baseline</x:v>
      </x:c>
      <x:c r="B11" s="29" t="str">
        <x:v>baseline</x:v>
      </x:c>
      <x:c r="C11" s="29" t="n">
        <x:v>2026</x:v>
      </x:c>
      <x:c r="D11" s="29" t="str">
        <x:v>October</x:v>
      </x:c>
      <x:c r="E11" s="29" t="str">
        <x:v>Autumn</x:v>
      </x:c>
      <x:c r="F11" s="31" t="n">
        <x:v>66000</x:v>
      </x:c>
      <x:c r="G11" s="24" t="n">
        <x:v>31</x:v>
      </x:c>
      <x:c r="H11" s="30" t="n">
        <x:f>F11/(G11*24)</x:f>
        <x:v>88.70967741935483</x:v>
      </x:c>
      <x:c r="I11" s="13" t="str">
        <x:v>assumed</x:v>
      </x:c>
      <x:c r="J11" s="13" t="str">
        <x:v>E</x:v>
      </x:c>
      <x:c r="K11" s="13"/>
      <x:c r="L11" s="13" t="str">
        <x:v>Dummy seasonal availability; replace with project data.</x:v>
      </x:c>
    </x:row>
    <x:row r="12">
      <x:c r="A12" s="29" t="str">
        <x:v>baseline</x:v>
      </x:c>
      <x:c r="B12" s="29" t="str">
        <x:v>baseline</x:v>
      </x:c>
      <x:c r="C12" s="29" t="n">
        <x:v>2026</x:v>
      </x:c>
      <x:c r="D12" s="29" t="str">
        <x:v>November</x:v>
      </x:c>
      <x:c r="E12" s="29" t="str">
        <x:v>Autumn</x:v>
      </x:c>
      <x:c r="F12" s="31" t="n">
        <x:v>58000</x:v>
      </x:c>
      <x:c r="G12" s="24" t="n">
        <x:v>30</x:v>
      </x:c>
      <x:c r="H12" s="30" t="n">
        <x:f>F12/(G12*24)</x:f>
        <x:v>80.55555555555556</x:v>
      </x:c>
      <x:c r="I12" s="13" t="str">
        <x:v>assumed</x:v>
      </x:c>
      <x:c r="J12" s="13" t="str">
        <x:v>E</x:v>
      </x:c>
      <x:c r="K12" s="13"/>
      <x:c r="L12" s="13" t="str">
        <x:v>Dummy seasonal availability; replace with project data.</x:v>
      </x:c>
    </x:row>
    <x:row r="13">
      <x:c r="A13" s="29" t="str">
        <x:v>baseline</x:v>
      </x:c>
      <x:c r="B13" s="29" t="str">
        <x:v>baseline</x:v>
      </x:c>
      <x:c r="C13" s="29" t="n">
        <x:v>2026</x:v>
      </x:c>
      <x:c r="D13" s="29" t="str">
        <x:v>December</x:v>
      </x:c>
      <x:c r="E13" s="29" t="str">
        <x:v>Winter</x:v>
      </x:c>
      <x:c r="F13" s="31" t="n">
        <x:v>50000</x:v>
      </x:c>
      <x:c r="G13" s="24" t="n">
        <x:v>31</x:v>
      </x:c>
      <x:c r="H13" s="30" t="n">
        <x:f>F13/(G13*24)</x:f>
        <x:v>67.20430107526882</x:v>
      </x:c>
      <x:c r="I13" s="13" t="str">
        <x:v>assumed</x:v>
      </x:c>
      <x:c r="J13" s="13" t="str">
        <x:v>E</x:v>
      </x:c>
      <x:c r="K13" s="13"/>
      <x:c r="L13" s="13" t="str">
        <x:v>Dummy seasonal availability; replace with project data.</x:v>
      </x:c>
    </x:row>
  </x:sheetData>
  <x:conditionalFormatting sqref="J2:J13">
    <x:cfRule type="containsText" dxfId="0" priority="1" operator="containsText" text="E"/>
  </x:conditionalFormatting>
  <x:pageMargins left="0.7" right="0.7" top="0.75" bottom="0.75" header="0.3" footer="0.3"/>
  <x:tableParts count="1">
    <x:tablePart xmlns:r="http://schemas.openxmlformats.org/officeDocument/2006/relationships" r:id="Rfd81951ab57944f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0" hidden="0" customWidth="1"/>
    <x:col min="3" max="3" width="15" hidden="0" customWidth="1"/>
    <x:col min="4" max="4" width="18" hidden="0" customWidth="1"/>
    <x:col min="5" max="5" width="20" hidden="0" customWidth="1"/>
    <x:col min="6" max="6" width="24" hidden="0" customWidth="1"/>
    <x:col min="7" max="7" width="14" hidden="0" customWidth="1"/>
    <x:col min="8" max="8" width="14" hidden="0" customWidth="1"/>
    <x:col min="9" max="9" width="12" hidden="0" customWidth="1"/>
    <x:col min="10" max="10" width="13" hidden="0" customWidth="1"/>
    <x:col min="11" max="11" width="13" hidden="0" customWidth="1"/>
    <x:col min="12" max="12" width="16" hidden="0" customWidth="1"/>
    <x:col min="13" max="13" width="20" hidden="0" customWidth="1"/>
    <x:col min="14" max="14" width="18" hidden="0" customWidth="1"/>
    <x:col min="15" max="15" width="24" hidden="0" customWidth="1"/>
    <x:col min="16" max="16" width="14" hidden="0" customWidth="1"/>
    <x:col min="17" max="17" width="30" hidden="0" customWidth="1"/>
    <x:col min="18" max="18" width="68" hidden="0" customWidth="1"/>
    <x:col min="19" max="19" width="10" hidden="0" customWidth="1"/>
    <x:col min="20" max="20" width="28" hidden="0" customWidth="1"/>
    <x:col min="21" max="21" width="10" hidden="0" customWidth="1"/>
  </x:cols>
  <x:sheetData>
    <x:row r="1" ht="32" customHeight="1">
      <x:c r="A1" s="19" t="str">
        <x:v>name</x:v>
      </x:c>
      <x:c r="B1" s="20" t="str">
        <x:v>python_name</x:v>
      </x:c>
      <x:c r="C1" s="20" t="str">
        <x:v>value</x:v>
      </x:c>
      <x:c r="D1" s="20" t="str">
        <x:v>unit</x:v>
      </x:c>
      <x:c r="E1" s="20" t="str">
        <x:v>basis</x:v>
      </x:c>
      <x:c r="F1" s="20" t="str">
        <x:v>stream</x:v>
      </x:c>
      <x:c r="G1" s="20" t="str">
        <x:v>sample_id</x:v>
      </x:c>
      <x:c r="H1" s="20" t="str">
        <x:v>scenario</x:v>
      </x:c>
      <x:c r="I1" s="20" t="str">
        <x:v>month</x:v>
      </x:c>
      <x:c r="J1" s="20" t="str">
        <x:v>minimum</x:v>
      </x:c>
      <x:c r="K1" s="20" t="str">
        <x:v>maximum</x:v>
      </x:c>
      <x:c r="L1" s="20" t="str">
        <x:v>distribution</x:v>
      </x:c>
      <x:c r="M1" s="20" t="str">
        <x:v>standard_deviation</x:v>
      </x:c>
      <x:c r="N1" s="20" t="str">
        <x:v>data_type</x:v>
      </x:c>
      <x:c r="O1" s="20" t="str">
        <x:v>measurement_status</x:v>
      </x:c>
      <x:c r="P1" s="20" t="str">
        <x:v>source_class</x:v>
      </x:c>
      <x:c r="Q1" s="20" t="str">
        <x:v>reference</x:v>
      </x:c>
      <x:c r="R1" s="20" t="str">
        <x:v>comment</x:v>
      </x:c>
      <x:c r="S1" s="20" t="str">
        <x:v>priority</x:v>
      </x:c>
      <x:c r="T1" s="20" t="str">
        <x:v>allocation_target</x:v>
      </x:c>
      <x:c r="U1" s="21" t="str">
        <x:v>active</x:v>
      </x:c>
    </x:row>
    <x:row r="2">
      <x:c r="A2" s="13" t="str">
        <x:v>Density</x:v>
      </x:c>
      <x:c r="B2" s="13" t="str">
        <x:v>density</x:v>
      </x:c>
      <x:c r="C2" s="24" t="n">
        <x:v>1000</x:v>
      </x:c>
      <x:c r="D2" s="22" t="str">
        <x:v>kg/m3</x:v>
      </x:c>
      <x:c r="E2" s="22" t="str">
        <x:v>stream property</x:v>
      </x:c>
      <x:c r="F2" s="13" t="str">
        <x:v>raw_liquid_fraction</x:v>
      </x:c>
      <x:c r="G2" s="13" t="str">
        <x:v>baseline</x:v>
      </x:c>
      <x:c r="H2" s="13" t="str">
        <x:v>baseline</x:v>
      </x:c>
      <x:c r="I2" s="13" t="str">
        <x:v>All</x:v>
      </x:c>
      <x:c r="J2" s="13"/>
      <x:c r="K2" s="13"/>
      <x:c r="L2" s="13" t="str">
        <x:v>none</x:v>
      </x:c>
      <x:c r="M2" s="13"/>
      <x:c r="N2" s="13" t="str">
        <x:v>physical</x:v>
      </x:c>
      <x:c r="O2" s="13" t="str">
        <x:v>assumed</x:v>
      </x:c>
      <x:c r="P2" s="13" t="str">
        <x:v>E</x:v>
      </x:c>
      <x:c r="Q2" s="13"/>
      <x:c r="R2" s="13" t="str">
        <x:v>Dummy density needed for concentration conversion; replace with measurement.</x:v>
      </x:c>
      <x:c r="S2" s="13" t="n">
        <x:v>10</x:v>
      </x:c>
      <x:c r="T2" s="13"/>
      <x:c r="U2" s="14" t="b">
        <x:v>1</x:v>
      </x:c>
    </x:row>
    <x:row r="3">
      <x:c r="A3" s="13" t="str">
        <x:v>Temperature</x:v>
      </x:c>
      <x:c r="B3" s="13" t="str">
        <x:v>temperature</x:v>
      </x:c>
      <x:c r="C3" s="24" t="n">
        <x:v>25</x:v>
      </x:c>
      <x:c r="D3" s="22" t="str">
        <x:v>degC</x:v>
      </x:c>
      <x:c r="E3" s="22" t="str">
        <x:v>stream property</x:v>
      </x:c>
      <x:c r="F3" s="13" t="str">
        <x:v>raw_liquid_fraction</x:v>
      </x:c>
      <x:c r="G3" s="13" t="str">
        <x:v>baseline</x:v>
      </x:c>
      <x:c r="H3" s="13" t="str">
        <x:v>baseline</x:v>
      </x:c>
      <x:c r="I3" s="13" t="str">
        <x:v>All</x:v>
      </x:c>
      <x:c r="J3" s="13"/>
      <x:c r="K3" s="13"/>
      <x:c r="L3" s="13" t="str">
        <x:v>none</x:v>
      </x:c>
      <x:c r="M3" s="13"/>
      <x:c r="N3" s="13" t="str">
        <x:v>physical</x:v>
      </x:c>
      <x:c r="O3" s="13" t="str">
        <x:v>assumed</x:v>
      </x:c>
      <x:c r="P3" s="13" t="str">
        <x:v>E</x:v>
      </x:c>
      <x:c r="Q3" s="13"/>
      <x:c r="R3" s="13" t="str">
        <x:v>Dummy feed temperature.</x:v>
      </x:c>
      <x:c r="S3" s="13" t="n">
        <x:v>10</x:v>
      </x:c>
      <x:c r="T3" s="13"/>
      <x:c r="U3" s="14" t="b">
        <x:v>1</x:v>
      </x:c>
    </x:row>
    <x:row r="4">
      <x:c r="A4" s="13" t="str">
        <x:v>Pressure</x:v>
      </x:c>
      <x:c r="B4" s="13" t="str">
        <x:v>pressure</x:v>
      </x:c>
      <x:c r="C4" s="24" t="n">
        <x:v>101325</x:v>
      </x:c>
      <x:c r="D4" s="22" t="str">
        <x:v>Pa</x:v>
      </x:c>
      <x:c r="E4" s="22" t="str">
        <x:v>stream property</x:v>
      </x:c>
      <x:c r="F4" s="13" t="str">
        <x:v>raw_liquid_fraction</x:v>
      </x:c>
      <x:c r="G4" s="13" t="str">
        <x:v>baseline</x:v>
      </x:c>
      <x:c r="H4" s="13" t="str">
        <x:v>baseline</x:v>
      </x:c>
      <x:c r="I4" s="13" t="str">
        <x:v>All</x:v>
      </x:c>
      <x:c r="J4" s="13"/>
      <x:c r="K4" s="13"/>
      <x:c r="L4" s="13" t="str">
        <x:v>none</x:v>
      </x:c>
      <x:c r="M4" s="13"/>
      <x:c r="N4" s="13" t="str">
        <x:v>physical</x:v>
      </x:c>
      <x:c r="O4" s="13" t="str">
        <x:v>assumed</x:v>
      </x:c>
      <x:c r="P4" s="13" t="str">
        <x:v>E</x:v>
      </x:c>
      <x:c r="Q4" s="13"/>
      <x:c r="R4" s="13" t="str">
        <x:v>Atmospheric placeholder.</x:v>
      </x:c>
      <x:c r="S4" s="13" t="n">
        <x:v>10</x:v>
      </x:c>
      <x:c r="T4" s="13"/>
      <x:c r="U4" s="14" t="b">
        <x:v>1</x:v>
      </x:c>
    </x:row>
    <x:row r="5">
      <x:c r="A5" s="13" t="str">
        <x:v>pH</x:v>
      </x:c>
      <x:c r="B5" s="13" t="str">
        <x:v>ph</x:v>
      </x:c>
      <x:c r="C5" s="24" t="n">
        <x:v>6.5</x:v>
      </x:c>
      <x:c r="D5" s="22" t="str">
        <x:v>pH</x:v>
      </x:c>
      <x:c r="E5" s="22" t="str">
        <x:v>stream property</x:v>
      </x:c>
      <x:c r="F5" s="13" t="str">
        <x:v>raw_liquid_fraction</x:v>
      </x:c>
      <x:c r="G5" s="13" t="str">
        <x:v>baseline</x:v>
      </x:c>
      <x:c r="H5" s="13" t="str">
        <x:v>baseline</x:v>
      </x:c>
      <x:c r="I5" s="13" t="str">
        <x:v>All</x:v>
      </x:c>
      <x:c r="J5" s="13"/>
      <x:c r="K5" s="13"/>
      <x:c r="L5" s="13" t="str">
        <x:v>none</x:v>
      </x:c>
      <x:c r="M5" s="13"/>
      <x:c r="N5" s="13" t="str">
        <x:v>physical</x:v>
      </x:c>
      <x:c r="O5" s="13" t="str">
        <x:v>assumed</x:v>
      </x:c>
      <x:c r="P5" s="13" t="str">
        <x:v>E</x:v>
      </x:c>
      <x:c r="Q5" s="13"/>
      <x:c r="R5" s="13" t="str">
        <x:v>Dummy pH used for ammonia equilibrium only.</x:v>
      </x:c>
      <x:c r="S5" s="13" t="n">
        <x:v>10</x:v>
      </x:c>
      <x:c r="T5" s="13"/>
      <x:c r="U5" s="14" t="b">
        <x:v>1</x:v>
      </x:c>
    </x:row>
    <x:row r="6">
      <x:c r="A6" s="13" t="str">
        <x:v>Conductivity</x:v>
      </x:c>
      <x:c r="B6" s="13" t="str">
        <x:v>conductivity</x:v>
      </x:c>
      <x:c r="C6" s="24"/>
      <x:c r="D6" s="22" t="str">
        <x:v>mS/cm</x:v>
      </x:c>
      <x:c r="E6" s="22" t="str">
        <x:v>stream property</x:v>
      </x:c>
      <x:c r="F6" s="13" t="str">
        <x:v>raw_liquid_fraction</x:v>
      </x:c>
      <x:c r="G6" s="13" t="str">
        <x:v>baseline</x:v>
      </x:c>
      <x:c r="H6" s="13" t="str">
        <x:v>baseline</x:v>
      </x:c>
      <x:c r="I6" s="13" t="str">
        <x:v>All</x:v>
      </x:c>
      <x:c r="J6" s="13"/>
      <x:c r="K6" s="13"/>
      <x:c r="L6" s="13" t="str">
        <x:v>none</x:v>
      </x:c>
      <x:c r="M6" s="13"/>
      <x:c r="N6" s="13" t="str">
        <x:v>physical</x:v>
      </x:c>
      <x:c r="O6" s="13" t="str">
        <x:v>not_measured</x:v>
      </x:c>
      <x:c r="P6" s="13" t="str">
        <x:v>E</x:v>
      </x:c>
      <x:c r="Q6" s="13"/>
      <x:c r="R6" s="13" t="str">
        <x:v>Optional laboratory result.</x:v>
      </x:c>
      <x:c r="S6" s="13" t="n">
        <x:v>10</x:v>
      </x:c>
      <x:c r="T6" s="13"/>
      <x:c r="U6" s="14" t="b">
        <x:v>1</x:v>
      </x:c>
    </x:row>
    <x:row r="7">
      <x:c r="A7" s="13" t="str">
        <x:v>Viscosity</x:v>
      </x:c>
      <x:c r="B7" s="13" t="str">
        <x:v>viscosity</x:v>
      </x:c>
      <x:c r="C7" s="24"/>
      <x:c r="D7" s="22" t="str">
        <x:v>mPa.s</x:v>
      </x:c>
      <x:c r="E7" s="22" t="str">
        <x:v>stream property</x:v>
      </x:c>
      <x:c r="F7" s="13" t="str">
        <x:v>raw_liquid_fraction</x:v>
      </x:c>
      <x:c r="G7" s="13" t="str">
        <x:v>baseline</x:v>
      </x:c>
      <x:c r="H7" s="13" t="str">
        <x:v>baseline</x:v>
      </x:c>
      <x:c r="I7" s="13" t="str">
        <x:v>All</x:v>
      </x:c>
      <x:c r="J7" s="13"/>
      <x:c r="K7" s="13"/>
      <x:c r="L7" s="13" t="str">
        <x:v>none</x:v>
      </x:c>
      <x:c r="M7" s="13"/>
      <x:c r="N7" s="13" t="str">
        <x:v>physical</x:v>
      </x:c>
      <x:c r="O7" s="13" t="str">
        <x:v>not_measured</x:v>
      </x:c>
      <x:c r="P7" s="13" t="str">
        <x:v>E</x:v>
      </x:c>
      <x:c r="Q7" s="13"/>
      <x:c r="R7" s="13" t="str">
        <x:v>Optional laboratory result.</x:v>
      </x:c>
      <x:c r="S7" s="13" t="n">
        <x:v>10</x:v>
      </x:c>
      <x:c r="T7" s="13"/>
      <x:c r="U7" s="14" t="b">
        <x:v>1</x:v>
      </x:c>
    </x:row>
    <x:row r="8">
      <x:c r="A8" s="13" t="str">
        <x:v>Turbidity</x:v>
      </x:c>
      <x:c r="B8" s="13" t="str">
        <x:v>turbidity</x:v>
      </x:c>
      <x:c r="C8" s="24"/>
      <x:c r="D8" s="22" t="str">
        <x:v>NTU</x:v>
      </x:c>
      <x:c r="E8" s="22" t="str">
        <x:v>stream property</x:v>
      </x:c>
      <x:c r="F8" s="13" t="str">
        <x:v>raw_liquid_fraction</x:v>
      </x:c>
      <x:c r="G8" s="13" t="str">
        <x:v>baseline</x:v>
      </x:c>
      <x:c r="H8" s="13" t="str">
        <x:v>baseline</x:v>
      </x:c>
      <x:c r="I8" s="13" t="str">
        <x:v>All</x:v>
      </x:c>
      <x:c r="J8" s="13"/>
      <x:c r="K8" s="13"/>
      <x:c r="L8" s="13" t="str">
        <x:v>none</x:v>
      </x:c>
      <x:c r="M8" s="13"/>
      <x:c r="N8" s="13" t="str">
        <x:v>physical</x:v>
      </x:c>
      <x:c r="O8" s="13" t="str">
        <x:v>not_measured</x:v>
      </x:c>
      <x:c r="P8" s="13" t="str">
        <x:v>E</x:v>
      </x:c>
      <x:c r="Q8" s="13"/>
      <x:c r="R8" s="13" t="str">
        <x:v>Optional laboratory result.</x:v>
      </x:c>
      <x:c r="S8" s="13" t="n">
        <x:v>10</x:v>
      </x:c>
      <x:c r="T8" s="13"/>
      <x:c r="U8" s="14" t="b">
        <x:v>1</x:v>
      </x:c>
    </x:row>
    <x:row r="9">
      <x:c r="A9" s="13" t="str">
        <x:v>Alkalinity</x:v>
      </x:c>
      <x:c r="B9" s="13" t="str">
        <x:v>alkalinity</x:v>
      </x:c>
      <x:c r="C9" s="24"/>
      <x:c r="D9" s="22" t="str">
        <x:v>mg CaCO3/L</x:v>
      </x:c>
      <x:c r="E9" s="22" t="str">
        <x:v>CaCO3 equivalent</x:v>
      </x:c>
      <x:c r="F9" s="13" t="str">
        <x:v>raw_liquid_fraction</x:v>
      </x:c>
      <x:c r="G9" s="13" t="str">
        <x:v>baseline</x:v>
      </x:c>
      <x:c r="H9" s="13" t="str">
        <x:v>baseline</x:v>
      </x:c>
      <x:c r="I9" s="13" t="str">
        <x:v>All</x:v>
      </x:c>
      <x:c r="J9" s="13"/>
      <x:c r="K9" s="13"/>
      <x:c r="L9" s="13" t="str">
        <x:v>none</x:v>
      </x:c>
      <x:c r="M9" s="13"/>
      <x:c r="N9" s="13" t="str">
        <x:v>physical</x:v>
      </x:c>
      <x:c r="O9" s="13" t="str">
        <x:v>not_measured</x:v>
      </x:c>
      <x:c r="P9" s="13" t="str">
        <x:v>E</x:v>
      </x:c>
      <x:c r="Q9" s="13"/>
      <x:c r="R9" s="13" t="str">
        <x:v>Required later for acid/base and VFA diagnostics.</x:v>
      </x:c>
      <x:c r="S9" s="13" t="n">
        <x:v>10</x:v>
      </x:c>
      <x:c r="T9" s="13"/>
      <x:c r="U9" s="14" t="b">
        <x:v>1</x:v>
      </x:c>
    </x:row>
    <x:row r="10">
      <x:c r="A10" s="13" t="str">
        <x:v>Median particle size</x:v>
      </x:c>
      <x:c r="B10" s="13" t="str">
        <x:v>particle_size</x:v>
      </x:c>
      <x:c r="C10" s="24"/>
      <x:c r="D10" s="22" t="str">
        <x:v>um</x:v>
      </x:c>
      <x:c r="E10" s="22" t="str">
        <x:v>stream property</x:v>
      </x:c>
      <x:c r="F10" s="13" t="str">
        <x:v>raw_liquid_fraction</x:v>
      </x:c>
      <x:c r="G10" s="13" t="str">
        <x:v>baseline</x:v>
      </x:c>
      <x:c r="H10" s="13" t="str">
        <x:v>baseline</x:v>
      </x:c>
      <x:c r="I10" s="13" t="str">
        <x:v>All</x:v>
      </x:c>
      <x:c r="J10" s="13"/>
      <x:c r="K10" s="13"/>
      <x:c r="L10" s="13" t="str">
        <x:v>none</x:v>
      </x:c>
      <x:c r="M10" s="13"/>
      <x:c r="N10" s="13" t="str">
        <x:v>physical</x:v>
      </x:c>
      <x:c r="O10" s="13" t="str">
        <x:v>not_measured</x:v>
      </x:c>
      <x:c r="P10" s="13" t="str">
        <x:v>E</x:v>
      </x:c>
      <x:c r="Q10" s="13"/>
      <x:c r="R10" s="13" t="str">
        <x:v>Optional particle-size descriptor.</x:v>
      </x:c>
      <x:c r="S10" s="13" t="n">
        <x:v>10</x:v>
      </x:c>
      <x:c r="T10" s="13"/>
      <x:c r="U10" s="14" t="b">
        <x:v>1</x:v>
      </x:c>
    </x:row>
    <x:row r="11">
      <x:c r="A11" s="13" t="str">
        <x:v>Water</x:v>
      </x:c>
      <x:c r="B11" s="13" t="str">
        <x:v>water</x:v>
      </x:c>
      <x:c r="C11" s="24"/>
      <x:c r="D11" s="22" t="str">
        <x:v>mass_fraction</x:v>
      </x:c>
      <x:c r="E11" s="22" t="str">
        <x:v>compound mass</x:v>
      </x:c>
      <x:c r="F11" s="13" t="str">
        <x:v>raw_liquid_fraction</x:v>
      </x:c>
      <x:c r="G11" s="13" t="str">
        <x:v>baseline</x:v>
      </x:c>
      <x:c r="H11" s="13" t="str">
        <x:v>baseline</x:v>
      </x:c>
      <x:c r="I11" s="13" t="str">
        <x:v>All</x:v>
      </x:c>
      <x:c r="J11" s="13"/>
      <x:c r="K11" s="13"/>
      <x:c r="L11" s="13" t="str">
        <x:v>none</x:v>
      </x:c>
      <x:c r="M11" s="13"/>
      <x:c r="N11" s="13" t="str">
        <x:v>component</x:v>
      </x:c>
      <x:c r="O11" s="13" t="str">
        <x:v>not_measured</x:v>
      </x:c>
      <x:c r="P11" s="13" t="str">
        <x:v>E</x:v>
      </x:c>
      <x:c r="Q11" s="13"/>
      <x:c r="R11" s="13" t="str">
        <x:v>Calculated by wet-mass difference.</x:v>
      </x:c>
      <x:c r="S11" s="13" t="n">
        <x:v>10</x:v>
      </x:c>
      <x:c r="T11" s="13" t="str">
        <x:v>Water</x:v>
      </x:c>
      <x:c r="U11" s="14" t="b">
        <x:v>1</x:v>
      </x:c>
    </x:row>
    <x:row r="12">
      <x:c r="A12" s="13" t="str">
        <x:v>Glucose</x:v>
      </x:c>
      <x:c r="B12" s="13" t="str">
        <x:v>glucose</x:v>
      </x:c>
      <x:c r="C12" s="24" t="n">
        <x:v>0.0101163379</x:v>
      </x:c>
      <x:c r="D12" s="22" t="str">
        <x:v>mass_fraction</x:v>
      </x:c>
      <x:c r="E12" s="22" t="str">
        <x:v>compound mass</x:v>
      </x:c>
      <x:c r="F12" s="13" t="str">
        <x:v>raw_liquid_fraction</x:v>
      </x:c>
      <x:c r="G12" s="13" t="str">
        <x:v>baseline</x:v>
      </x:c>
      <x:c r="H12" s="13" t="str">
        <x:v>baseline</x:v>
      </x:c>
      <x:c r="I12" s="13" t="str">
        <x:v>All</x:v>
      </x:c>
      <x:c r="J12" s="13"/>
      <x:c r="K12" s="13"/>
      <x:c r="L12" s="13" t="str">
        <x:v>none</x:v>
      </x:c>
      <x:c r="M12" s="13"/>
      <x:c r="N12" s="13" t="str">
        <x:v>component</x:v>
      </x:c>
      <x:c r="O12" s="13" t="str">
        <x:v>assumed</x:v>
      </x:c>
      <x:c r="P12" s="13" t="str">
        <x:v>E</x:v>
      </x:c>
      <x:c r="Q12" s="13"/>
      <x:c r="R12" s="13" t="str">
        <x:v>Phase 1 dummy value retained.</x:v>
      </x:c>
      <x:c r="S12" s="13" t="n">
        <x:v>10</x:v>
      </x:c>
      <x:c r="T12" s="13" t="str">
        <x:v>Glucose</x:v>
      </x:c>
      <x:c r="U12" s="14" t="b">
        <x:v>1</x:v>
      </x:c>
    </x:row>
    <x:row r="13">
      <x:c r="A13" s="13" t="str">
        <x:v>Fructose</x:v>
      </x:c>
      <x:c r="B13" s="13" t="str">
        <x:v>fructose</x:v>
      </x:c>
      <x:c r="C13" s="24"/>
      <x:c r="D13" s="22" t="str">
        <x:v>g/L</x:v>
      </x:c>
      <x:c r="E13" s="22" t="str">
        <x:v>compound mass</x:v>
      </x:c>
      <x:c r="F13" s="13" t="str">
        <x:v>raw_liquid_fraction</x:v>
      </x:c>
      <x:c r="G13" s="13" t="str">
        <x:v>baseline</x:v>
      </x:c>
      <x:c r="H13" s="13" t="str">
        <x:v>baseline</x:v>
      </x:c>
      <x:c r="I13" s="13" t="str">
        <x:v>All</x:v>
      </x:c>
      <x:c r="J13" s="13"/>
      <x:c r="K13" s="13"/>
      <x:c r="L13" s="13" t="str">
        <x:v>none</x:v>
      </x:c>
      <x:c r="M13" s="13"/>
      <x:c r="N13" s="13" t="str">
        <x:v>component</x:v>
      </x:c>
      <x:c r="O13" s="13" t="str">
        <x:v>not_measured</x:v>
      </x:c>
      <x:c r="P13" s="13" t="str">
        <x:v>E</x:v>
      </x:c>
      <x:c r="Q13" s="13"/>
      <x:c r="R13" s="13" t="str">
        <x:v>Optional measured sugar.</x:v>
      </x:c>
      <x:c r="S13" s="13" t="n">
        <x:v>10</x:v>
      </x:c>
      <x:c r="T13" s="13" t="str">
        <x:v>Fructose</x:v>
      </x:c>
      <x:c r="U13" s="14" t="b">
        <x:v>1</x:v>
      </x:c>
    </x:row>
    <x:row r="14">
      <x:c r="A14" s="13" t="str">
        <x:v>Sucrose</x:v>
      </x:c>
      <x:c r="B14" s="13" t="str">
        <x:v>sucrose</x:v>
      </x:c>
      <x:c r="C14" s="24" t="n">
        <x:v>0.0050581689</x:v>
      </x:c>
      <x:c r="D14" s="22" t="str">
        <x:v>mass_fraction</x:v>
      </x:c>
      <x:c r="E14" s="22" t="str">
        <x:v>compound mass</x:v>
      </x:c>
      <x:c r="F14" s="13" t="str">
        <x:v>raw_liquid_fraction</x:v>
      </x:c>
      <x:c r="G14" s="13" t="str">
        <x:v>baseline</x:v>
      </x:c>
      <x:c r="H14" s="13" t="str">
        <x:v>baseline</x:v>
      </x:c>
      <x:c r="I14" s="13" t="str">
        <x:v>All</x:v>
      </x:c>
      <x:c r="J14" s="13"/>
      <x:c r="K14" s="13"/>
      <x:c r="L14" s="13" t="str">
        <x:v>none</x:v>
      </x:c>
      <x:c r="M14" s="13"/>
      <x:c r="N14" s="13" t="str">
        <x:v>component</x:v>
      </x:c>
      <x:c r="O14" s="13" t="str">
        <x:v>assumed</x:v>
      </x:c>
      <x:c r="P14" s="13" t="str">
        <x:v>E</x:v>
      </x:c>
      <x:c r="Q14" s="13"/>
      <x:c r="R14" s="13" t="str">
        <x:v>Phase 1 dummy value retained.</x:v>
      </x:c>
      <x:c r="S14" s="13" t="n">
        <x:v>10</x:v>
      </x:c>
      <x:c r="T14" s="13" t="str">
        <x:v>Sucrose</x:v>
      </x:c>
      <x:c r="U14" s="14" t="b">
        <x:v>1</x:v>
      </x:c>
    </x:row>
    <x:row r="15">
      <x:c r="A15" s="13" t="str">
        <x:v>Xylose</x:v>
      </x:c>
      <x:c r="B15" s="13" t="str">
        <x:v>xylose</x:v>
      </x:c>
      <x:c r="C15" s="24"/>
      <x:c r="D15" s="22" t="str">
        <x:v>g/L</x:v>
      </x:c>
      <x:c r="E15" s="22" t="str">
        <x:v>compound mass</x:v>
      </x:c>
      <x:c r="F15" s="13" t="str">
        <x:v>raw_liquid_fraction</x:v>
      </x:c>
      <x:c r="G15" s="13" t="str">
        <x:v>baseline</x:v>
      </x:c>
      <x:c r="H15" s="13" t="str">
        <x:v>baseline</x:v>
      </x:c>
      <x:c r="I15" s="13" t="str">
        <x:v>All</x:v>
      </x:c>
      <x:c r="J15" s="13"/>
      <x:c r="K15" s="13"/>
      <x:c r="L15" s="13" t="str">
        <x:v>none</x:v>
      </x:c>
      <x:c r="M15" s="13"/>
      <x:c r="N15" s="13" t="str">
        <x:v>component</x:v>
      </x:c>
      <x:c r="O15" s="13" t="str">
        <x:v>not_measured</x:v>
      </x:c>
      <x:c r="P15" s="13" t="str">
        <x:v>E</x:v>
      </x:c>
      <x:c r="Q15" s="13"/>
      <x:c r="R15" s="13" t="str">
        <x:v>Optional measured sugar.</x:v>
      </x:c>
      <x:c r="S15" s="13" t="n">
        <x:v>10</x:v>
      </x:c>
      <x:c r="T15" s="13" t="str">
        <x:v>Xylose</x:v>
      </x:c>
      <x:c r="U15" s="14" t="b">
        <x:v>1</x:v>
      </x:c>
    </x:row>
    <x:row r="16">
      <x:c r="A16" s="13" t="str">
        <x:v>Arabinose</x:v>
      </x:c>
      <x:c r="B16" s="13" t="str">
        <x:v>arabinose</x:v>
      </x:c>
      <x:c r="C16" s="24"/>
      <x:c r="D16" s="22" t="str">
        <x:v>g/L</x:v>
      </x:c>
      <x:c r="E16" s="22" t="str">
        <x:v>compound mass</x:v>
      </x:c>
      <x:c r="F16" s="13" t="str">
        <x:v>raw_liquid_fraction</x:v>
      </x:c>
      <x:c r="G16" s="13" t="str">
        <x:v>baseline</x:v>
      </x:c>
      <x:c r="H16" s="13" t="str">
        <x:v>baseline</x:v>
      </x:c>
      <x:c r="I16" s="13" t="str">
        <x:v>All</x:v>
      </x:c>
      <x:c r="J16" s="13"/>
      <x:c r="K16" s="13"/>
      <x:c r="L16" s="13" t="str">
        <x:v>none</x:v>
      </x:c>
      <x:c r="M16" s="13"/>
      <x:c r="N16" s="13" t="str">
        <x:v>component</x:v>
      </x:c>
      <x:c r="O16" s="13" t="str">
        <x:v>not_measured</x:v>
      </x:c>
      <x:c r="P16" s="13" t="str">
        <x:v>E</x:v>
      </x:c>
      <x:c r="Q16" s="13"/>
      <x:c r="R16" s="13" t="str">
        <x:v>Optional measured sugar.</x:v>
      </x:c>
      <x:c r="S16" s="13" t="n">
        <x:v>10</x:v>
      </x:c>
      <x:c r="T16" s="13" t="str">
        <x:v>Arabinose</x:v>
      </x:c>
      <x:c r="U16" s="14" t="b">
        <x:v>1</x:v>
      </x:c>
    </x:row>
    <x:row r="17">
      <x:c r="A17" s="13" t="str">
        <x:v>Galactose</x:v>
      </x:c>
      <x:c r="B17" s="13" t="str">
        <x:v>galactose</x:v>
      </x:c>
      <x:c r="C17" s="24"/>
      <x:c r="D17" s="22" t="str">
        <x:v>g/L</x:v>
      </x:c>
      <x:c r="E17" s="22" t="str">
        <x:v>compound mass</x:v>
      </x:c>
      <x:c r="F17" s="13" t="str">
        <x:v>raw_liquid_fraction</x:v>
      </x:c>
      <x:c r="G17" s="13" t="str">
        <x:v>baseline</x:v>
      </x:c>
      <x:c r="H17" s="13" t="str">
        <x:v>baseline</x:v>
      </x:c>
      <x:c r="I17" s="13" t="str">
        <x:v>All</x:v>
      </x:c>
      <x:c r="J17" s="13"/>
      <x:c r="K17" s="13"/>
      <x:c r="L17" s="13" t="str">
        <x:v>none</x:v>
      </x:c>
      <x:c r="M17" s="13"/>
      <x:c r="N17" s="13" t="str">
        <x:v>component</x:v>
      </x:c>
      <x:c r="O17" s="13" t="str">
        <x:v>not_measured</x:v>
      </x:c>
      <x:c r="P17" s="13" t="str">
        <x:v>E</x:v>
      </x:c>
      <x:c r="Q17" s="13"/>
      <x:c r="R17" s="13" t="str">
        <x:v>Optional measured sugar.</x:v>
      </x:c>
      <x:c r="S17" s="13" t="n">
        <x:v>10</x:v>
      </x:c>
      <x:c r="T17" s="13" t="str">
        <x:v>Galactose</x:v>
      </x:c>
      <x:c r="U17" s="14" t="b">
        <x:v>1</x:v>
      </x:c>
    </x:row>
    <x:row r="18">
      <x:c r="A18" s="13" t="str">
        <x:v>Mannose</x:v>
      </x:c>
      <x:c r="B18" s="13" t="str">
        <x:v>mannose</x:v>
      </x:c>
      <x:c r="C18" s="24"/>
      <x:c r="D18" s="22" t="str">
        <x:v>g/L</x:v>
      </x:c>
      <x:c r="E18" s="22" t="str">
        <x:v>compound mass</x:v>
      </x:c>
      <x:c r="F18" s="13" t="str">
        <x:v>raw_liquid_fraction</x:v>
      </x:c>
      <x:c r="G18" s="13" t="str">
        <x:v>baseline</x:v>
      </x:c>
      <x:c r="H18" s="13" t="str">
        <x:v>baseline</x:v>
      </x:c>
      <x:c r="I18" s="13" t="str">
        <x:v>All</x:v>
      </x:c>
      <x:c r="J18" s="13"/>
      <x:c r="K18" s="13"/>
      <x:c r="L18" s="13" t="str">
        <x:v>none</x:v>
      </x:c>
      <x:c r="M18" s="13"/>
      <x:c r="N18" s="13" t="str">
        <x:v>component</x:v>
      </x:c>
      <x:c r="O18" s="13" t="str">
        <x:v>not_measured</x:v>
      </x:c>
      <x:c r="P18" s="13" t="str">
        <x:v>E</x:v>
      </x:c>
      <x:c r="Q18" s="13"/>
      <x:c r="R18" s="13" t="str">
        <x:v>Optional measured sugar.</x:v>
      </x:c>
      <x:c r="S18" s="13" t="n">
        <x:v>10</x:v>
      </x:c>
      <x:c r="T18" s="13" t="str">
        <x:v>Mannose</x:v>
      </x:c>
      <x:c r="U18" s="14" t="b">
        <x:v>1</x:v>
      </x:c>
    </x:row>
    <x:row r="19">
      <x:c r="A19" s="13" t="str">
        <x:v>Maltose</x:v>
      </x:c>
      <x:c r="B19" s="13" t="str">
        <x:v>maltose</x:v>
      </x:c>
      <x:c r="C19" s="24"/>
      <x:c r="D19" s="22" t="str">
        <x:v>g/L</x:v>
      </x:c>
      <x:c r="E19" s="22" t="str">
        <x:v>compound mass</x:v>
      </x:c>
      <x:c r="F19" s="13" t="str">
        <x:v>raw_liquid_fraction</x:v>
      </x:c>
      <x:c r="G19" s="13" t="str">
        <x:v>baseline</x:v>
      </x:c>
      <x:c r="H19" s="13" t="str">
        <x:v>baseline</x:v>
      </x:c>
      <x:c r="I19" s="13" t="str">
        <x:v>All</x:v>
      </x:c>
      <x:c r="J19" s="13"/>
      <x:c r="K19" s="13"/>
      <x:c r="L19" s="13" t="str">
        <x:v>none</x:v>
      </x:c>
      <x:c r="M19" s="13"/>
      <x:c r="N19" s="13" t="str">
        <x:v>component</x:v>
      </x:c>
      <x:c r="O19" s="13" t="str">
        <x:v>not_measured</x:v>
      </x:c>
      <x:c r="P19" s="13" t="str">
        <x:v>E</x:v>
      </x:c>
      <x:c r="Q19" s="13"/>
      <x:c r="R19" s="13" t="str">
        <x:v>Optional measured sugar.</x:v>
      </x:c>
      <x:c r="S19" s="13" t="n">
        <x:v>10</x:v>
      </x:c>
      <x:c r="T19" s="13" t="str">
        <x:v>Maltose</x:v>
      </x:c>
      <x:c r="U19" s="14" t="b">
        <x:v>1</x:v>
      </x:c>
    </x:row>
    <x:row r="20">
      <x:c r="A20" s="13" t="str">
        <x:v>Acetic acid</x:v>
      </x:c>
      <x:c r="B20" s="13" t="str">
        <x:v>acetic_acid</x:v>
      </x:c>
      <x:c r="C20" s="24" t="n">
        <x:v>0.0020232676</x:v>
      </x:c>
      <x:c r="D20" s="22" t="str">
        <x:v>mass_fraction</x:v>
      </x:c>
      <x:c r="E20" s="22" t="str">
        <x:v>compound mass</x:v>
      </x:c>
      <x:c r="F20" s="13" t="str">
        <x:v>raw_liquid_fraction</x:v>
      </x:c>
      <x:c r="G20" s="13" t="str">
        <x:v>baseline</x:v>
      </x:c>
      <x:c r="H20" s="13" t="str">
        <x:v>baseline</x:v>
      </x:c>
      <x:c r="I20" s="13" t="str">
        <x:v>All</x:v>
      </x:c>
      <x:c r="J20" s="13"/>
      <x:c r="K20" s="13"/>
      <x:c r="L20" s="13" t="str">
        <x:v>none</x:v>
      </x:c>
      <x:c r="M20" s="13"/>
      <x:c r="N20" s="13" t="str">
        <x:v>component</x:v>
      </x:c>
      <x:c r="O20" s="13" t="str">
        <x:v>assumed</x:v>
      </x:c>
      <x:c r="P20" s="13" t="str">
        <x:v>E</x:v>
      </x:c>
      <x:c r="Q20" s="13"/>
      <x:c r="R20" s="13" t="str">
        <x:v>Phase 1 dummy value retained.</x:v>
      </x:c>
      <x:c r="S20" s="13" t="n">
        <x:v>10</x:v>
      </x:c>
      <x:c r="T20" s="13" t="str">
        <x:v>AceticAcid</x:v>
      </x:c>
      <x:c r="U20" s="14" t="b">
        <x:v>1</x:v>
      </x:c>
    </x:row>
    <x:row r="21">
      <x:c r="A21" s="13" t="str">
        <x:v>Lactic acid</x:v>
      </x:c>
      <x:c r="B21" s="13" t="str">
        <x:v>lactic_acid</x:v>
      </x:c>
      <x:c r="C21" s="24" t="n">
        <x:v>0.0010116338</x:v>
      </x:c>
      <x:c r="D21" s="22" t="str">
        <x:v>mass_fraction</x:v>
      </x:c>
      <x:c r="E21" s="22" t="str">
        <x:v>compound mass</x:v>
      </x:c>
      <x:c r="F21" s="13" t="str">
        <x:v>raw_liquid_fraction</x:v>
      </x:c>
      <x:c r="G21" s="13" t="str">
        <x:v>baseline</x:v>
      </x:c>
      <x:c r="H21" s="13" t="str">
        <x:v>baseline</x:v>
      </x:c>
      <x:c r="I21" s="13" t="str">
        <x:v>All</x:v>
      </x:c>
      <x:c r="J21" s="13"/>
      <x:c r="K21" s="13"/>
      <x:c r="L21" s="13" t="str">
        <x:v>none</x:v>
      </x:c>
      <x:c r="M21" s="13"/>
      <x:c r="N21" s="13" t="str">
        <x:v>component</x:v>
      </x:c>
      <x:c r="O21" s="13" t="str">
        <x:v>assumed</x:v>
      </x:c>
      <x:c r="P21" s="13" t="str">
        <x:v>E</x:v>
      </x:c>
      <x:c r="Q21" s="13"/>
      <x:c r="R21" s="13" t="str">
        <x:v>Phase 1 dummy value retained.</x:v>
      </x:c>
      <x:c r="S21" s="13" t="n">
        <x:v>10</x:v>
      </x:c>
      <x:c r="T21" s="13" t="str">
        <x:v>LacticAcid</x:v>
      </x:c>
      <x:c r="U21" s="14" t="b">
        <x:v>1</x:v>
      </x:c>
    </x:row>
    <x:row r="22">
      <x:c r="A22" s="13" t="str">
        <x:v>Propionic acid</x:v>
      </x:c>
      <x:c r="B22" s="13" t="str">
        <x:v>propionic_acid</x:v>
      </x:c>
      <x:c r="C22" s="24"/>
      <x:c r="D22" s="22" t="str">
        <x:v>g/L</x:v>
      </x:c>
      <x:c r="E22" s="22" t="str">
        <x:v>compound mass</x:v>
      </x:c>
      <x:c r="F22" s="13" t="str">
        <x:v>raw_liquid_fraction</x:v>
      </x:c>
      <x:c r="G22" s="13" t="str">
        <x:v>baseline</x:v>
      </x:c>
      <x:c r="H22" s="13" t="str">
        <x:v>baseline</x:v>
      </x:c>
      <x:c r="I22" s="13" t="str">
        <x:v>All</x:v>
      </x:c>
      <x:c r="J22" s="13"/>
      <x:c r="K22" s="13"/>
      <x:c r="L22" s="13" t="str">
        <x:v>none</x:v>
      </x:c>
      <x:c r="M22" s="13"/>
      <x:c r="N22" s="13" t="str">
        <x:v>component</x:v>
      </x:c>
      <x:c r="O22" s="13" t="str">
        <x:v>not_measured</x:v>
      </x:c>
      <x:c r="P22" s="13" t="str">
        <x:v>E</x:v>
      </x:c>
      <x:c r="Q22" s="13"/>
      <x:c r="R22" s="13" t="str">
        <x:v>Optional VFA.</x:v>
      </x:c>
      <x:c r="S22" s="13" t="n">
        <x:v>10</x:v>
      </x:c>
      <x:c r="T22" s="13" t="str">
        <x:v>PropionicAcid</x:v>
      </x:c>
      <x:c r="U22" s="14" t="b">
        <x:v>1</x:v>
      </x:c>
    </x:row>
    <x:row r="23">
      <x:c r="A23" s="13" t="str">
        <x:v>Butyric acid</x:v>
      </x:c>
      <x:c r="B23" s="13" t="str">
        <x:v>butyric_acid</x:v>
      </x:c>
      <x:c r="C23" s="24"/>
      <x:c r="D23" s="22" t="str">
        <x:v>g/L</x:v>
      </x:c>
      <x:c r="E23" s="22" t="str">
        <x:v>compound mass</x:v>
      </x:c>
      <x:c r="F23" s="13" t="str">
        <x:v>raw_liquid_fraction</x:v>
      </x:c>
      <x:c r="G23" s="13" t="str">
        <x:v>baseline</x:v>
      </x:c>
      <x:c r="H23" s="13" t="str">
        <x:v>baseline</x:v>
      </x:c>
      <x:c r="I23" s="13" t="str">
        <x:v>All</x:v>
      </x:c>
      <x:c r="J23" s="13"/>
      <x:c r="K23" s="13"/>
      <x:c r="L23" s="13" t="str">
        <x:v>none</x:v>
      </x:c>
      <x:c r="M23" s="13"/>
      <x:c r="N23" s="13" t="str">
        <x:v>component</x:v>
      </x:c>
      <x:c r="O23" s="13" t="str">
        <x:v>not_measured</x:v>
      </x:c>
      <x:c r="P23" s="13" t="str">
        <x:v>E</x:v>
      </x:c>
      <x:c r="Q23" s="13"/>
      <x:c r="R23" s="13" t="str">
        <x:v>Optional VFA.</x:v>
      </x:c>
      <x:c r="S23" s="13" t="n">
        <x:v>10</x:v>
      </x:c>
      <x:c r="T23" s="13" t="str">
        <x:v>ButyricAcid</x:v>
      </x:c>
      <x:c r="U23" s="14" t="b">
        <x:v>1</x:v>
      </x:c>
    </x:row>
    <x:row r="24">
      <x:c r="A24" s="13" t="str">
        <x:v>Formic acid</x:v>
      </x:c>
      <x:c r="B24" s="13" t="str">
        <x:v>formic_acid</x:v>
      </x:c>
      <x:c r="C24" s="24"/>
      <x:c r="D24" s="22" t="str">
        <x:v>g/L</x:v>
      </x:c>
      <x:c r="E24" s="22" t="str">
        <x:v>compound mass</x:v>
      </x:c>
      <x:c r="F24" s="13" t="str">
        <x:v>raw_liquid_fraction</x:v>
      </x:c>
      <x:c r="G24" s="13" t="str">
        <x:v>baseline</x:v>
      </x:c>
      <x:c r="H24" s="13" t="str">
        <x:v>baseline</x:v>
      </x:c>
      <x:c r="I24" s="13" t="str">
        <x:v>All</x:v>
      </x:c>
      <x:c r="J24" s="13"/>
      <x:c r="K24" s="13"/>
      <x:c r="L24" s="13" t="str">
        <x:v>none</x:v>
      </x:c>
      <x:c r="M24" s="13"/>
      <x:c r="N24" s="13" t="str">
        <x:v>component</x:v>
      </x:c>
      <x:c r="O24" s="13" t="str">
        <x:v>not_measured</x:v>
      </x:c>
      <x:c r="P24" s="13" t="str">
        <x:v>E</x:v>
      </x:c>
      <x:c r="Q24" s="13"/>
      <x:c r="R24" s="13" t="str">
        <x:v>Optional organic acid.</x:v>
      </x:c>
      <x:c r="S24" s="13" t="n">
        <x:v>10</x:v>
      </x:c>
      <x:c r="T24" s="13" t="str">
        <x:v>FormicAcid</x:v>
      </x:c>
      <x:c r="U24" s="14" t="b">
        <x:v>1</x:v>
      </x:c>
    </x:row>
    <x:row r="25">
      <x:c r="A25" s="13" t="str">
        <x:v>Succinic acid</x:v>
      </x:c>
      <x:c r="B25" s="13" t="str">
        <x:v>succinic_acid</x:v>
      </x:c>
      <x:c r="C25" s="24"/>
      <x:c r="D25" s="22" t="str">
        <x:v>g/L</x:v>
      </x:c>
      <x:c r="E25" s="22" t="str">
        <x:v>compound mass</x:v>
      </x:c>
      <x:c r="F25" s="13" t="str">
        <x:v>raw_liquid_fraction</x:v>
      </x:c>
      <x:c r="G25" s="13" t="str">
        <x:v>baseline</x:v>
      </x:c>
      <x:c r="H25" s="13" t="str">
        <x:v>baseline</x:v>
      </x:c>
      <x:c r="I25" s="13" t="str">
        <x:v>All</x:v>
      </x:c>
      <x:c r="J25" s="13"/>
      <x:c r="K25" s="13"/>
      <x:c r="L25" s="13" t="str">
        <x:v>none</x:v>
      </x:c>
      <x:c r="M25" s="13"/>
      <x:c r="N25" s="13" t="str">
        <x:v>component</x:v>
      </x:c>
      <x:c r="O25" s="13" t="str">
        <x:v>not_measured</x:v>
      </x:c>
      <x:c r="P25" s="13" t="str">
        <x:v>E</x:v>
      </x:c>
      <x:c r="Q25" s="13"/>
      <x:c r="R25" s="13" t="str">
        <x:v>Optional organic acid.</x:v>
      </x:c>
      <x:c r="S25" s="13" t="n">
        <x:v>10</x:v>
      </x:c>
      <x:c r="T25" s="13" t="str">
        <x:v>SuccinicAcid</x:v>
      </x:c>
      <x:c r="U25" s="14" t="b">
        <x:v>1</x:v>
      </x:c>
    </x:row>
    <x:row r="26">
      <x:c r="A26" s="13" t="str">
        <x:v>Citric acid</x:v>
      </x:c>
      <x:c r="B26" s="13" t="str">
        <x:v>citric_acid</x:v>
      </x:c>
      <x:c r="C26" s="24"/>
      <x:c r="D26" s="22" t="str">
        <x:v>g/L</x:v>
      </x:c>
      <x:c r="E26" s="22" t="str">
        <x:v>compound mass</x:v>
      </x:c>
      <x:c r="F26" s="13" t="str">
        <x:v>raw_liquid_fraction</x:v>
      </x:c>
      <x:c r="G26" s="13" t="str">
        <x:v>baseline</x:v>
      </x:c>
      <x:c r="H26" s="13" t="str">
        <x:v>baseline</x:v>
      </x:c>
      <x:c r="I26" s="13" t="str">
        <x:v>All</x:v>
      </x:c>
      <x:c r="J26" s="13"/>
      <x:c r="K26" s="13"/>
      <x:c r="L26" s="13" t="str">
        <x:v>none</x:v>
      </x:c>
      <x:c r="M26" s="13"/>
      <x:c r="N26" s="13" t="str">
        <x:v>component</x:v>
      </x:c>
      <x:c r="O26" s="13" t="str">
        <x:v>not_measured</x:v>
      </x:c>
      <x:c r="P26" s="13" t="str">
        <x:v>E</x:v>
      </x:c>
      <x:c r="Q26" s="13"/>
      <x:c r="R26" s="13" t="str">
        <x:v>Optional organic acid.</x:v>
      </x:c>
      <x:c r="S26" s="13" t="n">
        <x:v>10</x:v>
      </x:c>
      <x:c r="T26" s="13" t="str">
        <x:v>CitricAcid</x:v>
      </x:c>
      <x:c r="U26" s="14" t="b">
        <x:v>1</x:v>
      </x:c>
    </x:row>
    <x:row r="27">
      <x:c r="A27" s="13" t="str">
        <x:v>Malic acid</x:v>
      </x:c>
      <x:c r="B27" s="13" t="str">
        <x:v>malic_acid</x:v>
      </x:c>
      <x:c r="C27" s="24"/>
      <x:c r="D27" s="22" t="str">
        <x:v>g/L</x:v>
      </x:c>
      <x:c r="E27" s="22" t="str">
        <x:v>compound mass</x:v>
      </x:c>
      <x:c r="F27" s="13" t="str">
        <x:v>raw_liquid_fraction</x:v>
      </x:c>
      <x:c r="G27" s="13" t="str">
        <x:v>baseline</x:v>
      </x:c>
      <x:c r="H27" s="13" t="str">
        <x:v>baseline</x:v>
      </x:c>
      <x:c r="I27" s="13" t="str">
        <x:v>All</x:v>
      </x:c>
      <x:c r="J27" s="13"/>
      <x:c r="K27" s="13"/>
      <x:c r="L27" s="13" t="str">
        <x:v>none</x:v>
      </x:c>
      <x:c r="M27" s="13"/>
      <x:c r="N27" s="13" t="str">
        <x:v>component</x:v>
      </x:c>
      <x:c r="O27" s="13" t="str">
        <x:v>not_measured</x:v>
      </x:c>
      <x:c r="P27" s="13" t="str">
        <x:v>E</x:v>
      </x:c>
      <x:c r="Q27" s="13"/>
      <x:c r="R27" s="13" t="str">
        <x:v>Optional organic acid.</x:v>
      </x:c>
      <x:c r="S27" s="13" t="n">
        <x:v>10</x:v>
      </x:c>
      <x:c r="T27" s="13" t="str">
        <x:v>MalicAcid</x:v>
      </x:c>
      <x:c r="U27" s="14" t="b">
        <x:v>1</x:v>
      </x:c>
    </x:row>
    <x:row r="28">
      <x:c r="A28" s="13" t="str">
        <x:v>Oxalic acid</x:v>
      </x:c>
      <x:c r="B28" s="13" t="str">
        <x:v>oxalic_acid</x:v>
      </x:c>
      <x:c r="C28" s="24"/>
      <x:c r="D28" s="22" t="str">
        <x:v>g/L</x:v>
      </x:c>
      <x:c r="E28" s="22" t="str">
        <x:v>compound mass</x:v>
      </x:c>
      <x:c r="F28" s="13" t="str">
        <x:v>raw_liquid_fraction</x:v>
      </x:c>
      <x:c r="G28" s="13" t="str">
        <x:v>baseline</x:v>
      </x:c>
      <x:c r="H28" s="13" t="str">
        <x:v>baseline</x:v>
      </x:c>
      <x:c r="I28" s="13" t="str">
        <x:v>All</x:v>
      </x:c>
      <x:c r="J28" s="13"/>
      <x:c r="K28" s="13"/>
      <x:c r="L28" s="13" t="str">
        <x:v>none</x:v>
      </x:c>
      <x:c r="M28" s="13"/>
      <x:c r="N28" s="13" t="str">
        <x:v>component</x:v>
      </x:c>
      <x:c r="O28" s="13" t="str">
        <x:v>not_measured</x:v>
      </x:c>
      <x:c r="P28" s="13" t="str">
        <x:v>E</x:v>
      </x:c>
      <x:c r="Q28" s="13"/>
      <x:c r="R28" s="13" t="str">
        <x:v>Optional organic acid.</x:v>
      </x:c>
      <x:c r="S28" s="13" t="n">
        <x:v>10</x:v>
      </x:c>
      <x:c r="T28" s="13" t="str">
        <x:v>OxalicAcid</x:v>
      </x:c>
      <x:c r="U28" s="14" t="b">
        <x:v>1</x:v>
      </x:c>
    </x:row>
    <x:row r="29">
      <x:c r="A29" s="13" t="str">
        <x:v>Ammonium</x:v>
      </x:c>
      <x:c r="B29" s="13" t="str">
        <x:v>ammonium</x:v>
      </x:c>
      <x:c r="C29" s="24" t="n">
        <x:v>0.0005058169</x:v>
      </x:c>
      <x:c r="D29" s="22" t="str">
        <x:v>mass_fraction</x:v>
      </x:c>
      <x:c r="E29" s="22" t="str">
        <x:v>compound mass</x:v>
      </x:c>
      <x:c r="F29" s="13" t="str">
        <x:v>raw_liquid_fraction</x:v>
      </x:c>
      <x:c r="G29" s="13" t="str">
        <x:v>baseline</x:v>
      </x:c>
      <x:c r="H29" s="13" t="str">
        <x:v>baseline</x:v>
      </x:c>
      <x:c r="I29" s="13" t="str">
        <x:v>All</x:v>
      </x:c>
      <x:c r="J29" s="13"/>
      <x:c r="K29" s="13"/>
      <x:c r="L29" s="13" t="str">
        <x:v>none</x:v>
      </x:c>
      <x:c r="M29" s="13"/>
      <x:c r="N29" s="13" t="str">
        <x:v>component</x:v>
      </x:c>
      <x:c r="O29" s="13" t="str">
        <x:v>assumed</x:v>
      </x:c>
      <x:c r="P29" s="13" t="str">
        <x:v>E</x:v>
      </x:c>
      <x:c r="Q29" s="13"/>
      <x:c r="R29" s="13" t="str">
        <x:v>Dummy compound-mass value; change basis to NH4-N for lab data.</x:v>
      </x:c>
      <x:c r="S29" s="13" t="n">
        <x:v>10</x:v>
      </x:c>
      <x:c r="T29" s="13" t="str">
        <x:v>Ammonium</x:v>
      </x:c>
      <x:c r="U29" s="14" t="b">
        <x:v>1</x:v>
      </x:c>
    </x:row>
    <x:row r="30">
      <x:c r="A30" s="13" t="str">
        <x:v>Unionized ammonia</x:v>
      </x:c>
      <x:c r="B30" s="13" t="str">
        <x:v>ammonia</x:v>
      </x:c>
      <x:c r="C30" s="24"/>
      <x:c r="D30" s="22" t="str">
        <x:v>mg/L</x:v>
      </x:c>
      <x:c r="E30" s="22" t="str">
        <x:v>NH3-N</x:v>
      </x:c>
      <x:c r="F30" s="13" t="str">
        <x:v>raw_liquid_fraction</x:v>
      </x:c>
      <x:c r="G30" s="13" t="str">
        <x:v>baseline</x:v>
      </x:c>
      <x:c r="H30" s="13" t="str">
        <x:v>baseline</x:v>
      </x:c>
      <x:c r="I30" s="13" t="str">
        <x:v>All</x:v>
      </x:c>
      <x:c r="J30" s="13"/>
      <x:c r="K30" s="13"/>
      <x:c r="L30" s="13" t="str">
        <x:v>none</x:v>
      </x:c>
      <x:c r="M30" s="13"/>
      <x:c r="N30" s="13" t="str">
        <x:v>component</x:v>
      </x:c>
      <x:c r="O30" s="13" t="str">
        <x:v>not_measured</x:v>
      </x:c>
      <x:c r="P30" s="13" t="str">
        <x:v>E</x:v>
      </x:c>
      <x:c r="Q30" s="13"/>
      <x:c r="R30" s="13" t="str">
        <x:v>Optional measured NH3-N; equilibrium is also calculated.</x:v>
      </x:c>
      <x:c r="S30" s="13" t="n">
        <x:v>10</x:v>
      </x:c>
      <x:c r="T30" s="13" t="str">
        <x:v>Ammonia</x:v>
      </x:c>
      <x:c r="U30" s="14" t="b">
        <x:v>1</x:v>
      </x:c>
    </x:row>
    <x:row r="31">
      <x:c r="A31" s="13" t="str">
        <x:v>Nitrate</x:v>
      </x:c>
      <x:c r="B31" s="13" t="str">
        <x:v>nitrate</x:v>
      </x:c>
      <x:c r="C31" s="24"/>
      <x:c r="D31" s="22" t="str">
        <x:v>mg/L</x:v>
      </x:c>
      <x:c r="E31" s="22" t="str">
        <x:v>NO3-N</x:v>
      </x:c>
      <x:c r="F31" s="13" t="str">
        <x:v>raw_liquid_fraction</x:v>
      </x:c>
      <x:c r="G31" s="13" t="str">
        <x:v>baseline</x:v>
      </x:c>
      <x:c r="H31" s="13" t="str">
        <x:v>baseline</x:v>
      </x:c>
      <x:c r="I31" s="13" t="str">
        <x:v>All</x:v>
      </x:c>
      <x:c r="J31" s="13"/>
      <x:c r="K31" s="13"/>
      <x:c r="L31" s="13" t="str">
        <x:v>none</x:v>
      </x:c>
      <x:c r="M31" s="13"/>
      <x:c r="N31" s="13" t="str">
        <x:v>component</x:v>
      </x:c>
      <x:c r="O31" s="13" t="str">
        <x:v>not_measured</x:v>
      </x:c>
      <x:c r="P31" s="13" t="str">
        <x:v>E</x:v>
      </x:c>
      <x:c r="Q31" s="13"/>
      <x:c r="R31" s="13" t="str">
        <x:v>Reported as nitrogen equivalent.</x:v>
      </x:c>
      <x:c r="S31" s="13" t="n">
        <x:v>10</x:v>
      </x:c>
      <x:c r="T31" s="13" t="str">
        <x:v>NitrateIon</x:v>
      </x:c>
      <x:c r="U31" s="14" t="b">
        <x:v>1</x:v>
      </x:c>
    </x:row>
    <x:row r="32">
      <x:c r="A32" s="13" t="str">
        <x:v>Nitrite</x:v>
      </x:c>
      <x:c r="B32" s="13" t="str">
        <x:v>nitrite</x:v>
      </x:c>
      <x:c r="C32" s="24"/>
      <x:c r="D32" s="22" t="str">
        <x:v>mg/L</x:v>
      </x:c>
      <x:c r="E32" s="22" t="str">
        <x:v>NO2-N</x:v>
      </x:c>
      <x:c r="F32" s="13" t="str">
        <x:v>raw_liquid_fraction</x:v>
      </x:c>
      <x:c r="G32" s="13" t="str">
        <x:v>baseline</x:v>
      </x:c>
      <x:c r="H32" s="13" t="str">
        <x:v>baseline</x:v>
      </x:c>
      <x:c r="I32" s="13" t="str">
        <x:v>All</x:v>
      </x:c>
      <x:c r="J32" s="13"/>
      <x:c r="K32" s="13"/>
      <x:c r="L32" s="13" t="str">
        <x:v>none</x:v>
      </x:c>
      <x:c r="M32" s="13"/>
      <x:c r="N32" s="13" t="str">
        <x:v>component</x:v>
      </x:c>
      <x:c r="O32" s="13" t="str">
        <x:v>not_measured</x:v>
      </x:c>
      <x:c r="P32" s="13" t="str">
        <x:v>E</x:v>
      </x:c>
      <x:c r="Q32" s="13"/>
      <x:c r="R32" s="13" t="str">
        <x:v>Reported as nitrogen equivalent.</x:v>
      </x:c>
      <x:c r="S32" s="13" t="n">
        <x:v>10</x:v>
      </x:c>
      <x:c r="T32" s="13" t="str">
        <x:v>NitriteIon</x:v>
      </x:c>
      <x:c r="U32" s="14" t="b">
        <x:v>1</x:v>
      </x:c>
    </x:row>
    <x:row r="33">
      <x:c r="A33" s="13" t="str">
        <x:v>Other organic nitrogen</x:v>
      </x:c>
      <x:c r="B33" s="13" t="str">
        <x:v>organic_nitrogen</x:v>
      </x:c>
      <x:c r="C33" s="24"/>
      <x:c r="D33" s="22" t="str">
        <x:v>mg/L</x:v>
      </x:c>
      <x:c r="E33" s="22" t="str">
        <x:v>N</x:v>
      </x:c>
      <x:c r="F33" s="13" t="str">
        <x:v>raw_liquid_fraction</x:v>
      </x:c>
      <x:c r="G33" s="13" t="str">
        <x:v>baseline</x:v>
      </x:c>
      <x:c r="H33" s="13" t="str">
        <x:v>baseline</x:v>
      </x:c>
      <x:c r="I33" s="13" t="str">
        <x:v>All</x:v>
      </x:c>
      <x:c r="J33" s="13"/>
      <x:c r="K33" s="13"/>
      <x:c r="L33" s="13" t="str">
        <x:v>none</x:v>
      </x:c>
      <x:c r="M33" s="13"/>
      <x:c r="N33" s="13" t="str">
        <x:v>component</x:v>
      </x:c>
      <x:c r="O33" s="13" t="str">
        <x:v>not_measured</x:v>
      </x:c>
      <x:c r="P33" s="13" t="str">
        <x:v>E</x:v>
      </x:c>
      <x:c r="Q33" s="13"/>
      <x:c r="R33" s="13" t="str">
        <x:v>kg component equals kg N equivalent.</x:v>
      </x:c>
      <x:c r="S33" s="13" t="n">
        <x:v>10</x:v>
      </x:c>
      <x:c r="T33" s="13" t="str">
        <x:v>OrganicNitrogen</x:v>
      </x:c>
      <x:c r="U33" s="14" t="b">
        <x:v>1</x:v>
      </x:c>
    </x:row>
    <x:row r="34">
      <x:c r="A34" s="13" t="str">
        <x:v>Orthophosphate</x:v>
      </x:c>
      <x:c r="B34" s="13" t="str">
        <x:v>orthophosphate</x:v>
      </x:c>
      <x:c r="C34" s="24"/>
      <x:c r="D34" s="22" t="str">
        <x:v>mg/L</x:v>
      </x:c>
      <x:c r="E34" s="22" t="str">
        <x:v>PO4-P</x:v>
      </x:c>
      <x:c r="F34" s="13" t="str">
        <x:v>raw_liquid_fraction</x:v>
      </x:c>
      <x:c r="G34" s="13" t="str">
        <x:v>baseline</x:v>
      </x:c>
      <x:c r="H34" s="13" t="str">
        <x:v>baseline</x:v>
      </x:c>
      <x:c r="I34" s="13" t="str">
        <x:v>All</x:v>
      </x:c>
      <x:c r="J34" s="13"/>
      <x:c r="K34" s="13"/>
      <x:c r="L34" s="13" t="str">
        <x:v>none</x:v>
      </x:c>
      <x:c r="M34" s="13"/>
      <x:c r="N34" s="13" t="str">
        <x:v>component</x:v>
      </x:c>
      <x:c r="O34" s="13" t="str">
        <x:v>not_measured</x:v>
      </x:c>
      <x:c r="P34" s="13" t="str">
        <x:v>E</x:v>
      </x:c>
      <x:c r="Q34" s="13"/>
      <x:c r="R34" s="13" t="str">
        <x:v>Reported as phosphorus equivalent.</x:v>
      </x:c>
      <x:c r="S34" s="13" t="n">
        <x:v>10</x:v>
      </x:c>
      <x:c r="T34" s="13" t="str">
        <x:v>Orthophosphate</x:v>
      </x:c>
      <x:c r="U34" s="14" t="b">
        <x:v>1</x:v>
      </x:c>
    </x:row>
    <x:row r="35">
      <x:c r="A35" s="13" t="str">
        <x:v>Organic phosphorus</x:v>
      </x:c>
      <x:c r="B35" s="13" t="str">
        <x:v>organic_phosphorus</x:v>
      </x:c>
      <x:c r="C35" s="24"/>
      <x:c r="D35" s="22" t="str">
        <x:v>mg/L</x:v>
      </x:c>
      <x:c r="E35" s="22" t="str">
        <x:v>P</x:v>
      </x:c>
      <x:c r="F35" s="13" t="str">
        <x:v>raw_liquid_fraction</x:v>
      </x:c>
      <x:c r="G35" s="13" t="str">
        <x:v>baseline</x:v>
      </x:c>
      <x:c r="H35" s="13" t="str">
        <x:v>baseline</x:v>
      </x:c>
      <x:c r="I35" s="13" t="str">
        <x:v>All</x:v>
      </x:c>
      <x:c r="J35" s="13"/>
      <x:c r="K35" s="13"/>
      <x:c r="L35" s="13" t="str">
        <x:v>none</x:v>
      </x:c>
      <x:c r="M35" s="13"/>
      <x:c r="N35" s="13" t="str">
        <x:v>component</x:v>
      </x:c>
      <x:c r="O35" s="13" t="str">
        <x:v>not_measured</x:v>
      </x:c>
      <x:c r="P35" s="13" t="str">
        <x:v>E</x:v>
      </x:c>
      <x:c r="Q35" s="13"/>
      <x:c r="R35" s="13" t="str">
        <x:v>kg component equals kg P equivalent.</x:v>
      </x:c>
      <x:c r="S35" s="13" t="n">
        <x:v>10</x:v>
      </x:c>
      <x:c r="T35" s="13" t="str">
        <x:v>OrganicPhosphorus</x:v>
      </x:c>
      <x:c r="U35" s="14" t="b">
        <x:v>1</x:v>
      </x:c>
    </x:row>
    <x:row r="36">
      <x:c r="A36" s="13" t="str">
        <x:v>Particulate phosphorus</x:v>
      </x:c>
      <x:c r="B36" s="13" t="str">
        <x:v>particulate_phosphorus</x:v>
      </x:c>
      <x:c r="C36" s="24"/>
      <x:c r="D36" s="22" t="str">
        <x:v>mg/L</x:v>
      </x:c>
      <x:c r="E36" s="22" t="str">
        <x:v>P</x:v>
      </x:c>
      <x:c r="F36" s="13" t="str">
        <x:v>raw_liquid_fraction</x:v>
      </x:c>
      <x:c r="G36" s="13" t="str">
        <x:v>baseline</x:v>
      </x:c>
      <x:c r="H36" s="13" t="str">
        <x:v>baseline</x:v>
      </x:c>
      <x:c r="I36" s="13" t="str">
        <x:v>All</x:v>
      </x:c>
      <x:c r="J36" s="13"/>
      <x:c r="K36" s="13"/>
      <x:c r="L36" s="13" t="str">
        <x:v>none</x:v>
      </x:c>
      <x:c r="M36" s="13"/>
      <x:c r="N36" s="13" t="str">
        <x:v>component</x:v>
      </x:c>
      <x:c r="O36" s="13" t="str">
        <x:v>not_measured</x:v>
      </x:c>
      <x:c r="P36" s="13" t="str">
        <x:v>E</x:v>
      </x:c>
      <x:c r="Q36" s="13"/>
      <x:c r="R36" s="13" t="str">
        <x:v>kg component equals kg P equivalent.</x:v>
      </x:c>
      <x:c r="S36" s="13" t="n">
        <x:v>10</x:v>
      </x:c>
      <x:c r="T36" s="13" t="str">
        <x:v>ParticulatePhosphorus</x:v>
      </x:c>
      <x:c r="U36" s="14" t="b">
        <x:v>1</x:v>
      </x:c>
    </x:row>
    <x:row r="37">
      <x:c r="A37" s="13" t="str">
        <x:v>Potassium</x:v>
      </x:c>
      <x:c r="B37" s="13" t="str">
        <x:v>potassium</x:v>
      </x:c>
      <x:c r="C37" s="24"/>
      <x:c r="D37" s="22" t="str">
        <x:v>mg/L</x:v>
      </x:c>
      <x:c r="E37" s="22" t="str">
        <x:v>K</x:v>
      </x:c>
      <x:c r="F37" s="13" t="str">
        <x:v>raw_liquid_fraction</x:v>
      </x:c>
      <x:c r="G37" s="13" t="str">
        <x:v>baseline</x:v>
      </x:c>
      <x:c r="H37" s="13" t="str">
        <x:v>baseline</x:v>
      </x:c>
      <x:c r="I37" s="13" t="str">
        <x:v>All</x:v>
      </x:c>
      <x:c r="J37" s="13"/>
      <x:c r="K37" s="13"/>
      <x:c r="L37" s="13" t="str">
        <x:v>none</x:v>
      </x:c>
      <x:c r="M37" s="13"/>
      <x:c r="N37" s="13" t="str">
        <x:v>component</x:v>
      </x:c>
      <x:c r="O37" s="13" t="str">
        <x:v>not_measured</x:v>
      </x:c>
      <x:c r="P37" s="13" t="str">
        <x:v>E</x:v>
      </x:c>
      <x:c r="Q37" s="13"/>
      <x:c r="R37" s="13" t="str">
        <x:v>Elemental potassium basis.</x:v>
      </x:c>
      <x:c r="S37" s="13" t="n">
        <x:v>10</x:v>
      </x:c>
      <x:c r="T37" s="13" t="str">
        <x:v>PotassiumIon</x:v>
      </x:c>
      <x:c r="U37" s="14" t="b">
        <x:v>1</x:v>
      </x:c>
    </x:row>
    <x:row r="38">
      <x:c r="A38" s="13" t="str">
        <x:v>Sodium</x:v>
      </x:c>
      <x:c r="B38" s="13" t="str">
        <x:v>sodium</x:v>
      </x:c>
      <x:c r="C38" s="24"/>
      <x:c r="D38" s="22" t="str">
        <x:v>mg/L</x:v>
      </x:c>
      <x:c r="E38" s="22" t="str">
        <x:v>Na</x:v>
      </x:c>
      <x:c r="F38" s="13" t="str">
        <x:v>raw_liquid_fraction</x:v>
      </x:c>
      <x:c r="G38" s="13" t="str">
        <x:v>baseline</x:v>
      </x:c>
      <x:c r="H38" s="13" t="str">
        <x:v>baseline</x:v>
      </x:c>
      <x:c r="I38" s="13" t="str">
        <x:v>All</x:v>
      </x:c>
      <x:c r="J38" s="13"/>
      <x:c r="K38" s="13"/>
      <x:c r="L38" s="13" t="str">
        <x:v>none</x:v>
      </x:c>
      <x:c r="M38" s="13"/>
      <x:c r="N38" s="13" t="str">
        <x:v>component</x:v>
      </x:c>
      <x:c r="O38" s="13" t="str">
        <x:v>not_measured</x:v>
      </x:c>
      <x:c r="P38" s="13" t="str">
        <x:v>E</x:v>
      </x:c>
      <x:c r="Q38" s="13"/>
      <x:c r="R38" s="13" t="str">
        <x:v>Elemental sodium basis.</x:v>
      </x:c>
      <x:c r="S38" s="13" t="n">
        <x:v>10</x:v>
      </x:c>
      <x:c r="T38" s="13" t="str">
        <x:v>SodiumIon</x:v>
      </x:c>
      <x:c r="U38" s="14" t="b">
        <x:v>1</x:v>
      </x:c>
    </x:row>
    <x:row r="39">
      <x:c r="A39" s="13" t="str">
        <x:v>Magnesium</x:v>
      </x:c>
      <x:c r="B39" s="13" t="str">
        <x:v>magnesium</x:v>
      </x:c>
      <x:c r="C39" s="24"/>
      <x:c r="D39" s="22" t="str">
        <x:v>mg/L</x:v>
      </x:c>
      <x:c r="E39" s="22" t="str">
        <x:v>Mg</x:v>
      </x:c>
      <x:c r="F39" s="13" t="str">
        <x:v>raw_liquid_fraction</x:v>
      </x:c>
      <x:c r="G39" s="13" t="str">
        <x:v>baseline</x:v>
      </x:c>
      <x:c r="H39" s="13" t="str">
        <x:v>baseline</x:v>
      </x:c>
      <x:c r="I39" s="13" t="str">
        <x:v>All</x:v>
      </x:c>
      <x:c r="J39" s="13"/>
      <x:c r="K39" s="13"/>
      <x:c r="L39" s="13" t="str">
        <x:v>none</x:v>
      </x:c>
      <x:c r="M39" s="13"/>
      <x:c r="N39" s="13" t="str">
        <x:v>component</x:v>
      </x:c>
      <x:c r="O39" s="13" t="str">
        <x:v>not_measured</x:v>
      </x:c>
      <x:c r="P39" s="13" t="str">
        <x:v>E</x:v>
      </x:c>
      <x:c r="Q39" s="13"/>
      <x:c r="R39" s="13" t="str">
        <x:v>Elemental magnesium basis.</x:v>
      </x:c>
      <x:c r="S39" s="13" t="n">
        <x:v>10</x:v>
      </x:c>
      <x:c r="T39" s="13" t="str">
        <x:v>MagnesiumIon</x:v>
      </x:c>
      <x:c r="U39" s="14" t="b">
        <x:v>1</x:v>
      </x:c>
    </x:row>
    <x:row r="40">
      <x:c r="A40" s="13" t="str">
        <x:v>Calcium</x:v>
      </x:c>
      <x:c r="B40" s="13" t="str">
        <x:v>calcium</x:v>
      </x:c>
      <x:c r="C40" s="24"/>
      <x:c r="D40" s="22" t="str">
        <x:v>mg/L</x:v>
      </x:c>
      <x:c r="E40" s="22" t="str">
        <x:v>Ca</x:v>
      </x:c>
      <x:c r="F40" s="13" t="str">
        <x:v>raw_liquid_fraction</x:v>
      </x:c>
      <x:c r="G40" s="13" t="str">
        <x:v>baseline</x:v>
      </x:c>
      <x:c r="H40" s="13" t="str">
        <x:v>baseline</x:v>
      </x:c>
      <x:c r="I40" s="13" t="str">
        <x:v>All</x:v>
      </x:c>
      <x:c r="J40" s="13"/>
      <x:c r="K40" s="13"/>
      <x:c r="L40" s="13" t="str">
        <x:v>none</x:v>
      </x:c>
      <x:c r="M40" s="13"/>
      <x:c r="N40" s="13" t="str">
        <x:v>component</x:v>
      </x:c>
      <x:c r="O40" s="13" t="str">
        <x:v>not_measured</x:v>
      </x:c>
      <x:c r="P40" s="13" t="str">
        <x:v>E</x:v>
      </x:c>
      <x:c r="Q40" s="13"/>
      <x:c r="R40" s="13" t="str">
        <x:v>Elemental calcium basis.</x:v>
      </x:c>
      <x:c r="S40" s="13" t="n">
        <x:v>10</x:v>
      </x:c>
      <x:c r="T40" s="13" t="str">
        <x:v>CalciumIon</x:v>
      </x:c>
      <x:c r="U40" s="14" t="b">
        <x:v>1</x:v>
      </x:c>
    </x:row>
    <x:row r="41">
      <x:c r="A41" s="13" t="str">
        <x:v>Chloride</x:v>
      </x:c>
      <x:c r="B41" s="13" t="str">
        <x:v>chloride</x:v>
      </x:c>
      <x:c r="C41" s="24"/>
      <x:c r="D41" s="22" t="str">
        <x:v>mg/L</x:v>
      </x:c>
      <x:c r="E41" s="22" t="str">
        <x:v>Cl</x:v>
      </x:c>
      <x:c r="F41" s="13" t="str">
        <x:v>raw_liquid_fraction</x:v>
      </x:c>
      <x:c r="G41" s="13" t="str">
        <x:v>baseline</x:v>
      </x:c>
      <x:c r="H41" s="13" t="str">
        <x:v>baseline</x:v>
      </x:c>
      <x:c r="I41" s="13" t="str">
        <x:v>All</x:v>
      </x:c>
      <x:c r="J41" s="13"/>
      <x:c r="K41" s="13"/>
      <x:c r="L41" s="13" t="str">
        <x:v>none</x:v>
      </x:c>
      <x:c r="M41" s="13"/>
      <x:c r="N41" s="13" t="str">
        <x:v>component</x:v>
      </x:c>
      <x:c r="O41" s="13" t="str">
        <x:v>not_measured</x:v>
      </x:c>
      <x:c r="P41" s="13" t="str">
        <x:v>E</x:v>
      </x:c>
      <x:c r="Q41" s="13"/>
      <x:c r="R41" s="13" t="str">
        <x:v>Chloride-ion mass basis.</x:v>
      </x:c>
      <x:c r="S41" s="13" t="n">
        <x:v>10</x:v>
      </x:c>
      <x:c r="T41" s="13" t="str">
        <x:v>ChlorideIon</x:v>
      </x:c>
      <x:c r="U41" s="14" t="b">
        <x:v>1</x:v>
      </x:c>
    </x:row>
    <x:row r="42">
      <x:c r="A42" s="13" t="str">
        <x:v>Sulfate</x:v>
      </x:c>
      <x:c r="B42" s="13" t="str">
        <x:v>sulfate</x:v>
      </x:c>
      <x:c r="C42" s="24"/>
      <x:c r="D42" s="22" t="str">
        <x:v>mg/L</x:v>
      </x:c>
      <x:c r="E42" s="22" t="str">
        <x:v>SO4</x:v>
      </x:c>
      <x:c r="F42" s="13" t="str">
        <x:v>raw_liquid_fraction</x:v>
      </x:c>
      <x:c r="G42" s="13" t="str">
        <x:v>baseline</x:v>
      </x:c>
      <x:c r="H42" s="13" t="str">
        <x:v>baseline</x:v>
      </x:c>
      <x:c r="I42" s="13" t="str">
        <x:v>All</x:v>
      </x:c>
      <x:c r="J42" s="13"/>
      <x:c r="K42" s="13"/>
      <x:c r="L42" s="13" t="str">
        <x:v>none</x:v>
      </x:c>
      <x:c r="M42" s="13"/>
      <x:c r="N42" s="13" t="str">
        <x:v>component</x:v>
      </x:c>
      <x:c r="O42" s="13" t="str">
        <x:v>not_measured</x:v>
      </x:c>
      <x:c r="P42" s="13" t="str">
        <x:v>E</x:v>
      </x:c>
      <x:c r="Q42" s="13"/>
      <x:c r="R42" s="13" t="str">
        <x:v>Sulfate-ion mass basis.</x:v>
      </x:c>
      <x:c r="S42" s="13" t="n">
        <x:v>10</x:v>
      </x:c>
      <x:c r="T42" s="13" t="str">
        <x:v>SulfateIon</x:v>
      </x:c>
      <x:c r="U42" s="14" t="b">
        <x:v>1</x:v>
      </x:c>
    </x:row>
    <x:row r="43">
      <x:c r="A43" s="13" t="str">
        <x:v>Bicarbonate</x:v>
      </x:c>
      <x:c r="B43" s="13" t="str">
        <x:v>bicarbonate</x:v>
      </x:c>
      <x:c r="C43" s="24"/>
      <x:c r="D43" s="22" t="str">
        <x:v>mg/L</x:v>
      </x:c>
      <x:c r="E43" s="22" t="str">
        <x:v>HCO3</x:v>
      </x:c>
      <x:c r="F43" s="13" t="str">
        <x:v>raw_liquid_fraction</x:v>
      </x:c>
      <x:c r="G43" s="13" t="str">
        <x:v>baseline</x:v>
      </x:c>
      <x:c r="H43" s="13" t="str">
        <x:v>baseline</x:v>
      </x:c>
      <x:c r="I43" s="13" t="str">
        <x:v>All</x:v>
      </x:c>
      <x:c r="J43" s="13"/>
      <x:c r="K43" s="13"/>
      <x:c r="L43" s="13" t="str">
        <x:v>none</x:v>
      </x:c>
      <x:c r="M43" s="13"/>
      <x:c r="N43" s="13" t="str">
        <x:v>component</x:v>
      </x:c>
      <x:c r="O43" s="13" t="str">
        <x:v>not_measured</x:v>
      </x:c>
      <x:c r="P43" s="13" t="str">
        <x:v>E</x:v>
      </x:c>
      <x:c r="Q43" s="13"/>
      <x:c r="R43" s="13" t="str">
        <x:v>Enter only when separately measured from alkalinity.</x:v>
      </x:c>
      <x:c r="S43" s="13" t="n">
        <x:v>10</x:v>
      </x:c>
      <x:c r="T43" s="13" t="str">
        <x:v>BicarbonateIon</x:v>
      </x:c>
      <x:c r="U43" s="14" t="b">
        <x:v>1</x:v>
      </x:c>
    </x:row>
    <x:row r="44">
      <x:c r="A44" s="13" t="str">
        <x:v>Soluble true protein</x:v>
      </x:c>
      <x:c r="B44" s="13" t="str">
        <x:v>soluble_protein</x:v>
      </x:c>
      <x:c r="C44" s="24" t="n">
        <x:v>0.0202326758</x:v>
      </x:c>
      <x:c r="D44" s="22" t="str">
        <x:v>mass_fraction</x:v>
      </x:c>
      <x:c r="E44" s="22" t="str">
        <x:v>compound mass</x:v>
      </x:c>
      <x:c r="F44" s="13" t="str">
        <x:v>raw_liquid_fraction</x:v>
      </x:c>
      <x:c r="G44" s="13" t="str">
        <x:v>baseline</x:v>
      </x:c>
      <x:c r="H44" s="13" t="str">
        <x:v>baseline</x:v>
      </x:c>
      <x:c r="I44" s="13" t="str">
        <x:v>All</x:v>
      </x:c>
      <x:c r="J44" s="13"/>
      <x:c r="K44" s="13"/>
      <x:c r="L44" s="13" t="str">
        <x:v>none</x:v>
      </x:c>
      <x:c r="M44" s="13"/>
      <x:c r="N44" s="13" t="str">
        <x:v>component</x:v>
      </x:c>
      <x:c r="O44" s="13" t="str">
        <x:v>assumed</x:v>
      </x:c>
      <x:c r="P44" s="13" t="str">
        <x:v>E</x:v>
      </x:c>
      <x:c r="Q44" s="13"/>
      <x:c r="R44" s="13" t="str">
        <x:v>Phase 1 dummy value retained.</x:v>
      </x:c>
      <x:c r="S44" s="13" t="n">
        <x:v>10</x:v>
      </x:c>
      <x:c r="T44" s="13" t="str">
        <x:v>SolubleProtein</x:v>
      </x:c>
      <x:c r="U44" s="14" t="b">
        <x:v>1</x:v>
      </x:c>
    </x:row>
    <x:row r="45">
      <x:c r="A45" s="13" t="str">
        <x:v>Suspended protein</x:v>
      </x:c>
      <x:c r="B45" s="13" t="str">
        <x:v>suspended_protein</x:v>
      </x:c>
      <x:c r="C45" s="24"/>
      <x:c r="D45" s="22" t="str">
        <x:v>g/L</x:v>
      </x:c>
      <x:c r="E45" s="22" t="str">
        <x:v>compound mass</x:v>
      </x:c>
      <x:c r="F45" s="13" t="str">
        <x:v>raw_liquid_fraction</x:v>
      </x:c>
      <x:c r="G45" s="13" t="str">
        <x:v>baseline</x:v>
      </x:c>
      <x:c r="H45" s="13" t="str">
        <x:v>baseline</x:v>
      </x:c>
      <x:c r="I45" s="13" t="str">
        <x:v>All</x:v>
      </x:c>
      <x:c r="J45" s="13"/>
      <x:c r="K45" s="13"/>
      <x:c r="L45" s="13" t="str">
        <x:v>none</x:v>
      </x:c>
      <x:c r="M45" s="13"/>
      <x:c r="N45" s="13" t="str">
        <x:v>component</x:v>
      </x:c>
      <x:c r="O45" s="13" t="str">
        <x:v>not_measured</x:v>
      </x:c>
      <x:c r="P45" s="13" t="str">
        <x:v>E</x:v>
      </x:c>
      <x:c r="Q45" s="13"/>
      <x:c r="R45" s="13" t="str">
        <x:v>Optional measured protein fraction.</x:v>
      </x:c>
      <x:c r="S45" s="13" t="n">
        <x:v>10</x:v>
      </x:c>
      <x:c r="T45" s="13" t="str">
        <x:v>SuspendedProtein</x:v>
      </x:c>
      <x:c r="U45" s="14" t="b">
        <x:v>1</x:v>
      </x:c>
    </x:row>
    <x:row r="46">
      <x:c r="A46" s="13" t="str">
        <x:v>Peptides</x:v>
      </x:c>
      <x:c r="B46" s="13" t="str">
        <x:v>peptides</x:v>
      </x:c>
      <x:c r="C46" s="24"/>
      <x:c r="D46" s="22" t="str">
        <x:v>g/L</x:v>
      </x:c>
      <x:c r="E46" s="22" t="str">
        <x:v>compound mass</x:v>
      </x:c>
      <x:c r="F46" s="13" t="str">
        <x:v>raw_liquid_fraction</x:v>
      </x:c>
      <x:c r="G46" s="13" t="str">
        <x:v>baseline</x:v>
      </x:c>
      <x:c r="H46" s="13" t="str">
        <x:v>baseline</x:v>
      </x:c>
      <x:c r="I46" s="13" t="str">
        <x:v>All</x:v>
      </x:c>
      <x:c r="J46" s="13"/>
      <x:c r="K46" s="13"/>
      <x:c r="L46" s="13" t="str">
        <x:v>none</x:v>
      </x:c>
      <x:c r="M46" s="13"/>
      <x:c r="N46" s="13" t="str">
        <x:v>component</x:v>
      </x:c>
      <x:c r="O46" s="13" t="str">
        <x:v>not_measured</x:v>
      </x:c>
      <x:c r="P46" s="13" t="str">
        <x:v>E</x:v>
      </x:c>
      <x:c r="Q46" s="13"/>
      <x:c r="R46" s="13" t="str">
        <x:v>Grouped peptide equivalent.</x:v>
      </x:c>
      <x:c r="S46" s="13" t="n">
        <x:v>10</x:v>
      </x:c>
      <x:c r="T46" s="13" t="str">
        <x:v>Peptides</x:v>
      </x:c>
      <x:c r="U46" s="14" t="b">
        <x:v>1</x:v>
      </x:c>
    </x:row>
    <x:row r="47">
      <x:c r="A47" s="13" t="str">
        <x:v>Free amino acids</x:v>
      </x:c>
      <x:c r="B47" s="13" t="str">
        <x:v>amino_acids</x:v>
      </x:c>
      <x:c r="C47" s="24"/>
      <x:c r="D47" s="22" t="str">
        <x:v>g/L</x:v>
      </x:c>
      <x:c r="E47" s="22" t="str">
        <x:v>compound mass</x:v>
      </x:c>
      <x:c r="F47" s="13" t="str">
        <x:v>raw_liquid_fraction</x:v>
      </x:c>
      <x:c r="G47" s="13" t="str">
        <x:v>baseline</x:v>
      </x:c>
      <x:c r="H47" s="13" t="str">
        <x:v>baseline</x:v>
      </x:c>
      <x:c r="I47" s="13" t="str">
        <x:v>All</x:v>
      </x:c>
      <x:c r="J47" s="13"/>
      <x:c r="K47" s="13"/>
      <x:c r="L47" s="13" t="str">
        <x:v>none</x:v>
      </x:c>
      <x:c r="M47" s="13"/>
      <x:c r="N47" s="13" t="str">
        <x:v>component</x:v>
      </x:c>
      <x:c r="O47" s="13" t="str">
        <x:v>not_measured</x:v>
      </x:c>
      <x:c r="P47" s="13" t="str">
        <x:v>E</x:v>
      </x:c>
      <x:c r="Q47" s="13"/>
      <x:c r="R47" s="13" t="str">
        <x:v>Grouped amino-acid equivalent.</x:v>
      </x:c>
      <x:c r="S47" s="13" t="n">
        <x:v>10</x:v>
      </x:c>
      <x:c r="T47" s="13" t="str">
        <x:v>AminoAcids</x:v>
      </x:c>
      <x:c r="U47" s="14" t="b">
        <x:v>1</x:v>
      </x:c>
    </x:row>
    <x:row r="48">
      <x:c r="A48" s="13" t="str">
        <x:v>Cellulose</x:v>
      </x:c>
      <x:c r="B48" s="13" t="str">
        <x:v>cellulose</x:v>
      </x:c>
      <x:c r="C48" s="24"/>
      <x:c r="D48" s="22" t="str">
        <x:v>g/L</x:v>
      </x:c>
      <x:c r="E48" s="22" t="str">
        <x:v>compound mass</x:v>
      </x:c>
      <x:c r="F48" s="13" t="str">
        <x:v>raw_liquid_fraction</x:v>
      </x:c>
      <x:c r="G48" s="13" t="str">
        <x:v>baseline</x:v>
      </x:c>
      <x:c r="H48" s="13" t="str">
        <x:v>baseline</x:v>
      </x:c>
      <x:c r="I48" s="13" t="str">
        <x:v>All</x:v>
      </x:c>
      <x:c r="J48" s="13"/>
      <x:c r="K48" s="13"/>
      <x:c r="L48" s="13" t="str">
        <x:v>none</x:v>
      </x:c>
      <x:c r="M48" s="13"/>
      <x:c r="N48" s="13" t="str">
        <x:v>component</x:v>
      </x:c>
      <x:c r="O48" s="13" t="str">
        <x:v>not_measured</x:v>
      </x:c>
      <x:c r="P48" s="13" t="str">
        <x:v>E</x:v>
      </x:c>
      <x:c r="Q48" s="13"/>
      <x:c r="R48" s="13" t="str">
        <x:v>Particulate structural carbohydrate.</x:v>
      </x:c>
      <x:c r="S48" s="13" t="n">
        <x:v>10</x:v>
      </x:c>
      <x:c r="T48" s="13" t="str">
        <x:v>Cellulose</x:v>
      </x:c>
      <x:c r="U48" s="14" t="b">
        <x:v>1</x:v>
      </x:c>
    </x:row>
    <x:row r="49">
      <x:c r="A49" s="13" t="str">
        <x:v>Hemicellulose</x:v>
      </x:c>
      <x:c r="B49" s="13" t="str">
        <x:v>hemicellulose</x:v>
      </x:c>
      <x:c r="C49" s="24"/>
      <x:c r="D49" s="22" t="str">
        <x:v>g/L</x:v>
      </x:c>
      <x:c r="E49" s="22" t="str">
        <x:v>compound mass</x:v>
      </x:c>
      <x:c r="F49" s="13" t="str">
        <x:v>raw_liquid_fraction</x:v>
      </x:c>
      <x:c r="G49" s="13" t="str">
        <x:v>baseline</x:v>
      </x:c>
      <x:c r="H49" s="13" t="str">
        <x:v>baseline</x:v>
      </x:c>
      <x:c r="I49" s="13" t="str">
        <x:v>All</x:v>
      </x:c>
      <x:c r="J49" s="13"/>
      <x:c r="K49" s="13"/>
      <x:c r="L49" s="13" t="str">
        <x:v>none</x:v>
      </x:c>
      <x:c r="M49" s="13"/>
      <x:c r="N49" s="13" t="str">
        <x:v>component</x:v>
      </x:c>
      <x:c r="O49" s="13" t="str">
        <x:v>not_measured</x:v>
      </x:c>
      <x:c r="P49" s="13" t="str">
        <x:v>E</x:v>
      </x:c>
      <x:c r="Q49" s="13"/>
      <x:c r="R49" s="13" t="str">
        <x:v>Particulate structural carbohydrate.</x:v>
      </x:c>
      <x:c r="S49" s="13" t="n">
        <x:v>10</x:v>
      </x:c>
      <x:c r="T49" s="13" t="str">
        <x:v>Hemicellulose</x:v>
      </x:c>
      <x:c r="U49" s="14" t="b">
        <x:v>1</x:v>
      </x:c>
    </x:row>
    <x:row r="50">
      <x:c r="A50" s="13" t="str">
        <x:v>Lignin</x:v>
      </x:c>
      <x:c r="B50" s="13" t="str">
        <x:v>lignin</x:v>
      </x:c>
      <x:c r="C50" s="24"/>
      <x:c r="D50" s="22" t="str">
        <x:v>g/L</x:v>
      </x:c>
      <x:c r="E50" s="22" t="str">
        <x:v>compound mass</x:v>
      </x:c>
      <x:c r="F50" s="13" t="str">
        <x:v>raw_liquid_fraction</x:v>
      </x:c>
      <x:c r="G50" s="13" t="str">
        <x:v>baseline</x:v>
      </x:c>
      <x:c r="H50" s="13" t="str">
        <x:v>baseline</x:v>
      </x:c>
      <x:c r="I50" s="13" t="str">
        <x:v>All</x:v>
      </x:c>
      <x:c r="J50" s="13"/>
      <x:c r="K50" s="13"/>
      <x:c r="L50" s="13" t="str">
        <x:v>none</x:v>
      </x:c>
      <x:c r="M50" s="13"/>
      <x:c r="N50" s="13" t="str">
        <x:v>component</x:v>
      </x:c>
      <x:c r="O50" s="13" t="str">
        <x:v>not_measured</x:v>
      </x:c>
      <x:c r="P50" s="13" t="str">
        <x:v>E</x:v>
      </x:c>
      <x:c r="Q50" s="13"/>
      <x:c r="R50" s="13" t="str">
        <x:v>Non-biodegradable structural organic.</x:v>
      </x:c>
      <x:c r="S50" s="13" t="n">
        <x:v>10</x:v>
      </x:c>
      <x:c r="T50" s="13" t="str">
        <x:v>Lignin</x:v>
      </x:c>
      <x:c r="U50" s="14" t="b">
        <x:v>1</x:v>
      </x:c>
    </x:row>
    <x:row r="51">
      <x:c r="A51" s="13" t="str">
        <x:v>Pectin</x:v>
      </x:c>
      <x:c r="B51" s="13" t="str">
        <x:v>pectin</x:v>
      </x:c>
      <x:c r="C51" s="24"/>
      <x:c r="D51" s="22" t="str">
        <x:v>g/L</x:v>
      </x:c>
      <x:c r="E51" s="22" t="str">
        <x:v>compound mass</x:v>
      </x:c>
      <x:c r="F51" s="13" t="str">
        <x:v>raw_liquid_fraction</x:v>
      </x:c>
      <x:c r="G51" s="13" t="str">
        <x:v>baseline</x:v>
      </x:c>
      <x:c r="H51" s="13" t="str">
        <x:v>baseline</x:v>
      </x:c>
      <x:c r="I51" s="13" t="str">
        <x:v>All</x:v>
      </x:c>
      <x:c r="J51" s="13"/>
      <x:c r="K51" s="13"/>
      <x:c r="L51" s="13" t="str">
        <x:v>none</x:v>
      </x:c>
      <x:c r="M51" s="13"/>
      <x:c r="N51" s="13" t="str">
        <x:v>component</x:v>
      </x:c>
      <x:c r="O51" s="13" t="str">
        <x:v>not_measured</x:v>
      </x:c>
      <x:c r="P51" s="13" t="str">
        <x:v>E</x:v>
      </x:c>
      <x:c r="Q51" s="13"/>
      <x:c r="R51" s="13" t="str">
        <x:v>Optional structural carbohydrate.</x:v>
      </x:c>
      <x:c r="S51" s="13" t="n">
        <x:v>10</x:v>
      </x:c>
      <x:c r="T51" s="13" t="str">
        <x:v>Pectin</x:v>
      </x:c>
      <x:c r="U51" s="14" t="b">
        <x:v>1</x:v>
      </x:c>
    </x:row>
    <x:row r="52">
      <x:c r="A52" s="13" t="str">
        <x:v>Starch</x:v>
      </x:c>
      <x:c r="B52" s="13" t="str">
        <x:v>starch</x:v>
      </x:c>
      <x:c r="C52" s="24"/>
      <x:c r="D52" s="22" t="str">
        <x:v>g/L</x:v>
      </x:c>
      <x:c r="E52" s="22" t="str">
        <x:v>compound mass</x:v>
      </x:c>
      <x:c r="F52" s="13" t="str">
        <x:v>raw_liquid_fraction</x:v>
      </x:c>
      <x:c r="G52" s="13" t="str">
        <x:v>baseline</x:v>
      </x:c>
      <x:c r="H52" s="13" t="str">
        <x:v>baseline</x:v>
      </x:c>
      <x:c r="I52" s="13" t="str">
        <x:v>All</x:v>
      </x:c>
      <x:c r="J52" s="13"/>
      <x:c r="K52" s="13"/>
      <x:c r="L52" s="13" t="str">
        <x:v>none</x:v>
      </x:c>
      <x:c r="M52" s="13"/>
      <x:c r="N52" s="13" t="str">
        <x:v>component</x:v>
      </x:c>
      <x:c r="O52" s="13" t="str">
        <x:v>not_measured</x:v>
      </x:c>
      <x:c r="P52" s="13" t="str">
        <x:v>E</x:v>
      </x:c>
      <x:c r="Q52" s="13"/>
      <x:c r="R52" s="13" t="str">
        <x:v>Optional carbohydrate.</x:v>
      </x:c>
      <x:c r="S52" s="13" t="n">
        <x:v>10</x:v>
      </x:c>
      <x:c r="T52" s="13" t="str">
        <x:v>Starch</x:v>
      </x:c>
      <x:c r="U52" s="14" t="b">
        <x:v>1</x:v>
      </x:c>
    </x:row>
    <x:row r="53">
      <x:c r="A53" s="13" t="str">
        <x:v>Lipids</x:v>
      </x:c>
      <x:c r="B53" s="13" t="str">
        <x:v>lipids</x:v>
      </x:c>
      <x:c r="C53" s="24"/>
      <x:c r="D53" s="22" t="str">
        <x:v>g/L</x:v>
      </x:c>
      <x:c r="E53" s="22" t="str">
        <x:v>compound mass</x:v>
      </x:c>
      <x:c r="F53" s="13" t="str">
        <x:v>raw_liquid_fraction</x:v>
      </x:c>
      <x:c r="G53" s="13" t="str">
        <x:v>baseline</x:v>
      </x:c>
      <x:c r="H53" s="13" t="str">
        <x:v>baseline</x:v>
      </x:c>
      <x:c r="I53" s="13" t="str">
        <x:v>All</x:v>
      </x:c>
      <x:c r="J53" s="13"/>
      <x:c r="K53" s="13"/>
      <x:c r="L53" s="13" t="str">
        <x:v>none</x:v>
      </x:c>
      <x:c r="M53" s="13"/>
      <x:c r="N53" s="13" t="str">
        <x:v>component</x:v>
      </x:c>
      <x:c r="O53" s="13" t="str">
        <x:v>not_measured</x:v>
      </x:c>
      <x:c r="P53" s="13" t="str">
        <x:v>E</x:v>
      </x:c>
      <x:c r="Q53" s="13"/>
      <x:c r="R53" s="13" t="str">
        <x:v>Grouped lipid equivalent.</x:v>
      </x:c>
      <x:c r="S53" s="13" t="n">
        <x:v>10</x:v>
      </x:c>
      <x:c r="T53" s="13" t="str">
        <x:v>Lipids</x:v>
      </x:c>
      <x:c r="U53" s="14" t="b">
        <x:v>1</x:v>
      </x:c>
    </x:row>
    <x:row r="54">
      <x:c r="A54" s="13" t="str">
        <x:v>Other biodegradable organics</x:v>
      </x:c>
      <x:c r="B54" s="13" t="str">
        <x:v>other_biodegradable_organics</x:v>
      </x:c>
      <x:c r="C54" s="24"/>
      <x:c r="D54" s="22" t="str">
        <x:v>g/L</x:v>
      </x:c>
      <x:c r="E54" s="22" t="str">
        <x:v>compound mass</x:v>
      </x:c>
      <x:c r="F54" s="13" t="str">
        <x:v>raw_liquid_fraction</x:v>
      </x:c>
      <x:c r="G54" s="13" t="str">
        <x:v>baseline</x:v>
      </x:c>
      <x:c r="H54" s="13" t="str">
        <x:v>baseline</x:v>
      </x:c>
      <x:c r="I54" s="13" t="str">
        <x:v>All</x:v>
      </x:c>
      <x:c r="J54" s="13"/>
      <x:c r="K54" s="13"/>
      <x:c r="L54" s="13" t="str">
        <x:v>none</x:v>
      </x:c>
      <x:c r="M54" s="13"/>
      <x:c r="N54" s="13" t="str">
        <x:v>component</x:v>
      </x:c>
      <x:c r="O54" s="13" t="str">
        <x:v>not_measured</x:v>
      </x:c>
      <x:c r="P54" s="13" t="str">
        <x:v>E</x:v>
      </x:c>
      <x:c r="Q54" s="13"/>
      <x:c r="R54" s="13" t="str">
        <x:v>Use only for an explicitly reconciled residual.</x:v>
      </x:c>
      <x:c r="S54" s="13" t="n">
        <x:v>10</x:v>
      </x:c>
      <x:c r="T54" s="13" t="str">
        <x:v>OtherBiodegradableOrganics</x:v>
      </x:c>
      <x:c r="U54" s="14" t="b">
        <x:v>1</x:v>
      </x:c>
    </x:row>
    <x:row r="55">
      <x:c r="A55" s="13" t="str">
        <x:v>Non-biodegradable organics</x:v>
      </x:c>
      <x:c r="B55" s="13" t="str">
        <x:v>non_biodegradable_organics</x:v>
      </x:c>
      <x:c r="C55" s="24"/>
      <x:c r="D55" s="22" t="str">
        <x:v>g/L</x:v>
      </x:c>
      <x:c r="E55" s="22" t="str">
        <x:v>compound mass</x:v>
      </x:c>
      <x:c r="F55" s="13" t="str">
        <x:v>raw_liquid_fraction</x:v>
      </x:c>
      <x:c r="G55" s="13" t="str">
        <x:v>baseline</x:v>
      </x:c>
      <x:c r="H55" s="13" t="str">
        <x:v>baseline</x:v>
      </x:c>
      <x:c r="I55" s="13" t="str">
        <x:v>All</x:v>
      </x:c>
      <x:c r="J55" s="13"/>
      <x:c r="K55" s="13"/>
      <x:c r="L55" s="13" t="str">
        <x:v>none</x:v>
      </x:c>
      <x:c r="M55" s="13"/>
      <x:c r="N55" s="13" t="str">
        <x:v>component</x:v>
      </x:c>
      <x:c r="O55" s="13" t="str">
        <x:v>not_measured</x:v>
      </x:c>
      <x:c r="P55" s="13" t="str">
        <x:v>E</x:v>
      </x:c>
      <x:c r="Q55" s="13"/>
      <x:c r="R55" s="13" t="str">
        <x:v>Use only for an explicitly reconciled residual.</x:v>
      </x:c>
      <x:c r="S55" s="13" t="n">
        <x:v>10</x:v>
      </x:c>
      <x:c r="T55" s="13" t="str">
        <x:v>NonBiodegradableOrganics</x:v>
      </x:c>
      <x:c r="U55" s="14" t="b">
        <x:v>1</x:v>
      </x:c>
    </x:row>
    <x:row r="56">
      <x:c r="A56" s="13" t="str">
        <x:v>Microbial biomass</x:v>
      </x:c>
      <x:c r="B56" s="13" t="str">
        <x:v>microbial_biomass</x:v>
      </x:c>
      <x:c r="C56" s="24"/>
      <x:c r="D56" s="22" t="str">
        <x:v>g/L</x:v>
      </x:c>
      <x:c r="E56" s="22" t="str">
        <x:v>compound mass</x:v>
      </x:c>
      <x:c r="F56" s="13" t="str">
        <x:v>raw_liquid_fraction</x:v>
      </x:c>
      <x:c r="G56" s="13" t="str">
        <x:v>baseline</x:v>
      </x:c>
      <x:c r="H56" s="13" t="str">
        <x:v>baseline</x:v>
      </x:c>
      <x:c r="I56" s="13" t="str">
        <x:v>All</x:v>
      </x:c>
      <x:c r="J56" s="13"/>
      <x:c r="K56" s="13"/>
      <x:c r="L56" s="13" t="str">
        <x:v>none</x:v>
      </x:c>
      <x:c r="M56" s="13"/>
      <x:c r="N56" s="13" t="str">
        <x:v>component</x:v>
      </x:c>
      <x:c r="O56" s="13" t="str">
        <x:v>not_measured</x:v>
      </x:c>
      <x:c r="P56" s="13" t="str">
        <x:v>E</x:v>
      </x:c>
      <x:c r="Q56" s="13"/>
      <x:c r="R56" s="13" t="str">
        <x:v>Optional measured or modelled biomass.</x:v>
      </x:c>
      <x:c r="S56" s="13" t="n">
        <x:v>10</x:v>
      </x:c>
      <x:c r="T56" s="13" t="str">
        <x:v>MicrobialBiomass</x:v>
      </x:c>
      <x:c r="U56" s="14" t="b">
        <x:v>1</x:v>
      </x:c>
    </x:row>
    <x:row r="57">
      <x:c r="A57" s="13" t="str">
        <x:v>Soluble inert solids</x:v>
      </x:c>
      <x:c r="B57" s="13" t="str">
        <x:v>soluble_inert_solids</x:v>
      </x:c>
      <x:c r="C57" s="24"/>
      <x:c r="D57" s="22" t="str">
        <x:v>g/L</x:v>
      </x:c>
      <x:c r="E57" s="22" t="str">
        <x:v>compound mass</x:v>
      </x:c>
      <x:c r="F57" s="13" t="str">
        <x:v>raw_liquid_fraction</x:v>
      </x:c>
      <x:c r="G57" s="13" t="str">
        <x:v>baseline</x:v>
      </x:c>
      <x:c r="H57" s="13" t="str">
        <x:v>baseline</x:v>
      </x:c>
      <x:c r="I57" s="13" t="str">
        <x:v>All</x:v>
      </x:c>
      <x:c r="J57" s="13"/>
      <x:c r="K57" s="13"/>
      <x:c r="L57" s="13" t="str">
        <x:v>none</x:v>
      </x:c>
      <x:c r="M57" s="13"/>
      <x:c r="N57" s="13" t="str">
        <x:v>component</x:v>
      </x:c>
      <x:c r="O57" s="13" t="str">
        <x:v>not_measured</x:v>
      </x:c>
      <x:c r="P57" s="13" t="str">
        <x:v>E</x:v>
      </x:c>
      <x:c r="Q57" s="13"/>
      <x:c r="R57" s="13" t="str">
        <x:v>Grouped dissolved inert solids.</x:v>
      </x:c>
      <x:c r="S57" s="13" t="n">
        <x:v>10</x:v>
      </x:c>
      <x:c r="T57" s="13" t="str">
        <x:v>SolubleInertSolids</x:v>
      </x:c>
      <x:c r="U57" s="14" t="b">
        <x:v>1</x:v>
      </x:c>
    </x:row>
    <x:row r="58">
      <x:c r="A58" s="13" t="str">
        <x:v>Suspended biogenic solids</x:v>
      </x:c>
      <x:c r="B58" s="13" t="str">
        <x:v>suspended_solids</x:v>
      </x:c>
      <x:c r="C58" s="24" t="n">
        <x:v>0.0455235205</x:v>
      </x:c>
      <x:c r="D58" s="22" t="str">
        <x:v>mass_fraction</x:v>
      </x:c>
      <x:c r="E58" s="22" t="str">
        <x:v>compound mass</x:v>
      </x:c>
      <x:c r="F58" s="13" t="str">
        <x:v>raw_liquid_fraction</x:v>
      </x:c>
      <x:c r="G58" s="13" t="str">
        <x:v>baseline</x:v>
      </x:c>
      <x:c r="H58" s="13" t="str">
        <x:v>baseline</x:v>
      </x:c>
      <x:c r="I58" s="13" t="str">
        <x:v>All</x:v>
      </x:c>
      <x:c r="J58" s="13"/>
      <x:c r="K58" s="13"/>
      <x:c r="L58" s="13" t="str">
        <x:v>none</x:v>
      </x:c>
      <x:c r="M58" s="13"/>
      <x:c r="N58" s="13" t="str">
        <x:v>component</x:v>
      </x:c>
      <x:c r="O58" s="13" t="str">
        <x:v>assumed</x:v>
      </x:c>
      <x:c r="P58" s="13" t="str">
        <x:v>E</x:v>
      </x:c>
      <x:c r="Q58" s="13"/>
      <x:c r="R58" s="13" t="str">
        <x:v>Phase 1 dummy value retained.</x:v>
      </x:c>
      <x:c r="S58" s="13" t="n">
        <x:v>10</x:v>
      </x:c>
      <x:c r="T58" s="13" t="str">
        <x:v>SuspendedSolids</x:v>
      </x:c>
      <x:c r="U58" s="14" t="b">
        <x:v>1</x:v>
      </x:c>
    </x:row>
    <x:row r="59">
      <x:c r="A59" s="13" t="str">
        <x:v>Suspended inert solids</x:v>
      </x:c>
      <x:c r="B59" s="13" t="str">
        <x:v>suspended_inert_solids</x:v>
      </x:c>
      <x:c r="C59" s="24"/>
      <x:c r="D59" s="22" t="str">
        <x:v>g/L</x:v>
      </x:c>
      <x:c r="E59" s="22" t="str">
        <x:v>compound mass</x:v>
      </x:c>
      <x:c r="F59" s="13" t="str">
        <x:v>raw_liquid_fraction</x:v>
      </x:c>
      <x:c r="G59" s="13" t="str">
        <x:v>baseline</x:v>
      </x:c>
      <x:c r="H59" s="13" t="str">
        <x:v>baseline</x:v>
      </x:c>
      <x:c r="I59" s="13" t="str">
        <x:v>All</x:v>
      </x:c>
      <x:c r="J59" s="13"/>
      <x:c r="K59" s="13"/>
      <x:c r="L59" s="13" t="str">
        <x:v>none</x:v>
      </x:c>
      <x:c r="M59" s="13"/>
      <x:c r="N59" s="13" t="str">
        <x:v>component</x:v>
      </x:c>
      <x:c r="O59" s="13" t="str">
        <x:v>not_measured</x:v>
      </x:c>
      <x:c r="P59" s="13" t="str">
        <x:v>E</x:v>
      </x:c>
      <x:c r="Q59" s="13"/>
      <x:c r="R59" s="13" t="str">
        <x:v>Grouped grit/mineral suspended solids.</x:v>
      </x:c>
      <x:c r="S59" s="13" t="n">
        <x:v>10</x:v>
      </x:c>
      <x:c r="T59" s="13" t="str">
        <x:v>SuspendedInertSolids</x:v>
      </x:c>
      <x:c r="U59" s="14" t="b">
        <x:v>1</x:v>
      </x:c>
    </x:row>
    <x:row r="60">
      <x:c r="A60" s="13" t="str">
        <x:v>Inert solids</x:v>
      </x:c>
      <x:c r="B60" s="13" t="str">
        <x:v>inert_solids</x:v>
      </x:c>
      <x:c r="C60" s="24" t="n">
        <x:v>0.0050581689</x:v>
      </x:c>
      <x:c r="D60" s="22" t="str">
        <x:v>mass_fraction</x:v>
      </x:c>
      <x:c r="E60" s="22" t="str">
        <x:v>compound mass</x:v>
      </x:c>
      <x:c r="F60" s="13" t="str">
        <x:v>raw_liquid_fraction</x:v>
      </x:c>
      <x:c r="G60" s="13" t="str">
        <x:v>baseline</x:v>
      </x:c>
      <x:c r="H60" s="13" t="str">
        <x:v>baseline</x:v>
      </x:c>
      <x:c r="I60" s="13" t="str">
        <x:v>All</x:v>
      </x:c>
      <x:c r="J60" s="13"/>
      <x:c r="K60" s="13"/>
      <x:c r="L60" s="13" t="str">
        <x:v>none</x:v>
      </x:c>
      <x:c r="M60" s="13"/>
      <x:c r="N60" s="13" t="str">
        <x:v>component</x:v>
      </x:c>
      <x:c r="O60" s="13" t="str">
        <x:v>assumed</x:v>
      </x:c>
      <x:c r="P60" s="13" t="str">
        <x:v>E</x:v>
      </x:c>
      <x:c r="Q60" s="13"/>
      <x:c r="R60" s="13" t="str">
        <x:v>Phase 1 dummy value retained.</x:v>
      </x:c>
      <x:c r="S60" s="13" t="n">
        <x:v>10</x:v>
      </x:c>
      <x:c r="T60" s="13" t="str">
        <x:v>InertSolids</x:v>
      </x:c>
      <x:c r="U60" s="14" t="b">
        <x:v>1</x:v>
      </x:c>
    </x:row>
    <x:row r="61">
      <x:c r="A61" s="13" t="str">
        <x:v>Ash</x:v>
      </x:c>
      <x:c r="B61" s="13" t="str">
        <x:v>ash</x:v>
      </x:c>
      <x:c r="C61" s="24"/>
      <x:c r="D61" s="22" t="str">
        <x:v>g/L</x:v>
      </x:c>
      <x:c r="E61" s="22" t="str">
        <x:v>compound mass</x:v>
      </x:c>
      <x:c r="F61" s="13" t="str">
        <x:v>raw_liquid_fraction</x:v>
      </x:c>
      <x:c r="G61" s="13" t="str">
        <x:v>baseline</x:v>
      </x:c>
      <x:c r="H61" s="13" t="str">
        <x:v>baseline</x:v>
      </x:c>
      <x:c r="I61" s="13" t="str">
        <x:v>All</x:v>
      </x:c>
      <x:c r="J61" s="13"/>
      <x:c r="K61" s="13"/>
      <x:c r="L61" s="13" t="str">
        <x:v>none</x:v>
      </x:c>
      <x:c r="M61" s="13"/>
      <x:c r="N61" s="13" t="str">
        <x:v>component</x:v>
      </x:c>
      <x:c r="O61" s="13" t="str">
        <x:v>not_measured</x:v>
      </x:c>
      <x:c r="P61" s="13" t="str">
        <x:v>E</x:v>
      </x:c>
      <x:c r="Q61" s="13"/>
      <x:c r="R61" s="13" t="str">
        <x:v>Mineral ash pool.</x:v>
      </x:c>
      <x:c r="S61" s="13" t="n">
        <x:v>10</x:v>
      </x:c>
      <x:c r="T61" s="13" t="str">
        <x:v>Ash</x:v>
      </x:c>
      <x:c r="U61" s="14" t="b">
        <x:v>1</x:v>
      </x:c>
    </x:row>
    <x:row r="62">
      <x:c r="A62" s="13" t="str">
        <x:v>Heavy metals</x:v>
      </x:c>
      <x:c r="B62" s="13" t="str">
        <x:v>heavy_metals</x:v>
      </x:c>
      <x:c r="C62" s="24"/>
      <x:c r="D62" s="22" t="str">
        <x:v>mg/kg wet</x:v>
      </x:c>
      <x:c r="E62" s="22" t="str">
        <x:v>compound mass</x:v>
      </x:c>
      <x:c r="F62" s="13" t="str">
        <x:v>raw_liquid_fraction</x:v>
      </x:c>
      <x:c r="G62" s="13" t="str">
        <x:v>baseline</x:v>
      </x:c>
      <x:c r="H62" s="13" t="str">
        <x:v>baseline</x:v>
      </x:c>
      <x:c r="I62" s="13" t="str">
        <x:v>All</x:v>
      </x:c>
      <x:c r="J62" s="13"/>
      <x:c r="K62" s="13"/>
      <x:c r="L62" s="13" t="str">
        <x:v>none</x:v>
      </x:c>
      <x:c r="M62" s="13"/>
      <x:c r="N62" s="13" t="str">
        <x:v>component</x:v>
      </x:c>
      <x:c r="O62" s="13" t="str">
        <x:v>not_measured</x:v>
      </x:c>
      <x:c r="P62" s="13" t="str">
        <x:v>E</x:v>
      </x:c>
      <x:c r="Q62" s="13"/>
      <x:c r="R62" s="13" t="str">
        <x:v>Grouped screening pool; retain individual lab results in reference data.</x:v>
      </x:c>
      <x:c r="S62" s="13" t="n">
        <x:v>10</x:v>
      </x:c>
      <x:c r="T62" s="13" t="str">
        <x:v>HeavyMetals</x:v>
      </x:c>
      <x:c r="U62" s="14" t="b">
        <x:v>1</x:v>
      </x:c>
    </x:row>
    <x:row r="63">
      <x:c r="A63" s="13" t="str">
        <x:v>PFAS / persistent organics</x:v>
      </x:c>
      <x:c r="B63" s="13" t="str">
        <x:v>persistent_organics</x:v>
      </x:c>
      <x:c r="C63" s="24"/>
      <x:c r="D63" s="22" t="str">
        <x:v>mg/kg wet</x:v>
      </x:c>
      <x:c r="E63" s="22" t="str">
        <x:v>compound mass</x:v>
      </x:c>
      <x:c r="F63" s="13" t="str">
        <x:v>raw_liquid_fraction</x:v>
      </x:c>
      <x:c r="G63" s="13" t="str">
        <x:v>baseline</x:v>
      </x:c>
      <x:c r="H63" s="13" t="str">
        <x:v>baseline</x:v>
      </x:c>
      <x:c r="I63" s="13" t="str">
        <x:v>All</x:v>
      </x:c>
      <x:c r="J63" s="13"/>
      <x:c r="K63" s="13"/>
      <x:c r="L63" s="13" t="str">
        <x:v>none</x:v>
      </x:c>
      <x:c r="M63" s="13"/>
      <x:c r="N63" s="13" t="str">
        <x:v>component</x:v>
      </x:c>
      <x:c r="O63" s="13" t="str">
        <x:v>not_measured</x:v>
      </x:c>
      <x:c r="P63" s="13" t="str">
        <x:v>E</x:v>
      </x:c>
      <x:c r="Q63" s="13"/>
      <x:c r="R63" s="13" t="str">
        <x:v>Grouped inventory pool; no concentration is assumed.</x:v>
      </x:c>
      <x:c r="S63" s="13" t="n">
        <x:v>10</x:v>
      </x:c>
      <x:c r="T63" s="13" t="str">
        <x:v>PersistentOrganics</x:v>
      </x:c>
      <x:c r="U63" s="14" t="b">
        <x:v>1</x:v>
      </x:c>
    </x:row>
    <x:row r="64">
      <x:c r="A64" s="13" t="str">
        <x:v>Pesticides</x:v>
      </x:c>
      <x:c r="B64" s="13" t="str">
        <x:v>pesticides</x:v>
      </x:c>
      <x:c r="C64" s="24"/>
      <x:c r="D64" s="22" t="str">
        <x:v>mg/kg wet</x:v>
      </x:c>
      <x:c r="E64" s="22" t="str">
        <x:v>compound mass</x:v>
      </x:c>
      <x:c r="F64" s="13" t="str">
        <x:v>raw_liquid_fraction</x:v>
      </x:c>
      <x:c r="G64" s="13" t="str">
        <x:v>baseline</x:v>
      </x:c>
      <x:c r="H64" s="13" t="str">
        <x:v>baseline</x:v>
      </x:c>
      <x:c r="I64" s="13" t="str">
        <x:v>All</x:v>
      </x:c>
      <x:c r="J64" s="13"/>
      <x:c r="K64" s="13"/>
      <x:c r="L64" s="13" t="str">
        <x:v>none</x:v>
      </x:c>
      <x:c r="M64" s="13"/>
      <x:c r="N64" s="13" t="str">
        <x:v>component</x:v>
      </x:c>
      <x:c r="O64" s="13" t="str">
        <x:v>not_measured</x:v>
      </x:c>
      <x:c r="P64" s="13" t="str">
        <x:v>E</x:v>
      </x:c>
      <x:c r="Q64" s="13"/>
      <x:c r="R64" s="13" t="str">
        <x:v>Grouped inventory pool; no concentration is assumed.</x:v>
      </x:c>
      <x:c r="S64" s="13" t="n">
        <x:v>10</x:v>
      </x:c>
      <x:c r="T64" s="13" t="str">
        <x:v>Pesticides</x:v>
      </x:c>
      <x:c r="U64" s="14" t="b">
        <x:v>1</x:v>
      </x:c>
    </x:row>
    <x:row r="65">
      <x:c r="A65" s="13" t="str">
        <x:v>Microplastics</x:v>
      </x:c>
      <x:c r="B65" s="13" t="str">
        <x:v>microplastics</x:v>
      </x:c>
      <x:c r="C65" s="24"/>
      <x:c r="D65" s="22" t="str">
        <x:v>mg/kg wet</x:v>
      </x:c>
      <x:c r="E65" s="22" t="str">
        <x:v>compound mass</x:v>
      </x:c>
      <x:c r="F65" s="13" t="str">
        <x:v>raw_liquid_fraction</x:v>
      </x:c>
      <x:c r="G65" s="13" t="str">
        <x:v>baseline</x:v>
      </x:c>
      <x:c r="H65" s="13" t="str">
        <x:v>baseline</x:v>
      </x:c>
      <x:c r="I65" s="13" t="str">
        <x:v>All</x:v>
      </x:c>
      <x:c r="J65" s="13"/>
      <x:c r="K65" s="13"/>
      <x:c r="L65" s="13" t="str">
        <x:v>none</x:v>
      </x:c>
      <x:c r="M65" s="13"/>
      <x:c r="N65" s="13" t="str">
        <x:v>component</x:v>
      </x:c>
      <x:c r="O65" s="13" t="str">
        <x:v>not_measured</x:v>
      </x:c>
      <x:c r="P65" s="13" t="str">
        <x:v>E</x:v>
      </x:c>
      <x:c r="Q65" s="13"/>
      <x:c r="R65" s="13" t="str">
        <x:v>Mass basis only; particle count remains analytical metadata.</x:v>
      </x:c>
      <x:c r="S65" s="13" t="n">
        <x:v>10</x:v>
      </x:c>
      <x:c r="T65" s="13" t="str">
        <x:v>Microplastics</x:v>
      </x:c>
      <x:c r="U65" s="14" t="b">
        <x:v>1</x:v>
      </x:c>
    </x:row>
    <x:row r="66">
      <x:c r="A66" s="13" t="str">
        <x:v>Pathogen indicator pool</x:v>
      </x:c>
      <x:c r="B66" s="13" t="str">
        <x:v>pathogen_indicators</x:v>
      </x:c>
      <x:c r="C66" s="24"/>
      <x:c r="D66" s="22" t="str">
        <x:v>mg/kg wet</x:v>
      </x:c>
      <x:c r="E66" s="22" t="str">
        <x:v>compound mass</x:v>
      </x:c>
      <x:c r="F66" s="13" t="str">
        <x:v>raw_liquid_fraction</x:v>
      </x:c>
      <x:c r="G66" s="13" t="str">
        <x:v>baseline</x:v>
      </x:c>
      <x:c r="H66" s="13" t="str">
        <x:v>baseline</x:v>
      </x:c>
      <x:c r="I66" s="13" t="str">
        <x:v>All</x:v>
      </x:c>
      <x:c r="J66" s="13"/>
      <x:c r="K66" s="13"/>
      <x:c r="L66" s="13" t="str">
        <x:v>none</x:v>
      </x:c>
      <x:c r="M66" s="13"/>
      <x:c r="N66" s="13" t="str">
        <x:v>component</x:v>
      </x:c>
      <x:c r="O66" s="13" t="str">
        <x:v>not_measured</x:v>
      </x:c>
      <x:c r="P66" s="13" t="str">
        <x:v>E</x:v>
      </x:c>
      <x:c r="Q66" s="13"/>
      <x:c r="R66" s="13" t="str">
        <x:v>Mass surrogate for inventory only; CFU remains analytical metadata.</x:v>
      </x:c>
      <x:c r="S66" s="13" t="n">
        <x:v>10</x:v>
      </x:c>
      <x:c r="T66" s="13" t="str">
        <x:v>PathogenIndicators</x:v>
      </x:c>
      <x:c r="U66" s="14" t="b">
        <x:v>1</x:v>
      </x:c>
    </x:row>
    <x:row r="67">
      <x:c r="A67" s="13" t="str">
        <x:v>Total protein</x:v>
      </x:c>
      <x:c r="B67" s="13" t="str">
        <x:v>total_protein</x:v>
      </x:c>
      <x:c r="C67" s="24"/>
      <x:c r="D67" s="22" t="str">
        <x:v>g/L</x:v>
      </x:c>
      <x:c r="E67" s="22" t="str">
        <x:v>protein mass</x:v>
      </x:c>
      <x:c r="F67" s="13" t="str">
        <x:v>raw_liquid_fraction</x:v>
      </x:c>
      <x:c r="G67" s="13" t="str">
        <x:v>baseline</x:v>
      </x:c>
      <x:c r="H67" s="13" t="str">
        <x:v>baseline</x:v>
      </x:c>
      <x:c r="I67" s="13" t="str">
        <x:v>All</x:v>
      </x:c>
      <x:c r="J67" s="13"/>
      <x:c r="K67" s="13"/>
      <x:c r="L67" s="13" t="str">
        <x:v>none</x:v>
      </x:c>
      <x:c r="M67" s="13"/>
      <x:c r="N67" s="13" t="str">
        <x:v>aggregate</x:v>
      </x:c>
      <x:c r="O67" s="13" t="str">
        <x:v>not_measured</x:v>
      </x:c>
      <x:c r="P67" s="13" t="str">
        <x:v>E</x:v>
      </x:c>
      <x:c r="Q67" s="13"/>
      <x:c r="R67" s="13" t="str">
        <x:v>Analytical measurement only; never allocated as extra stream mass.</x:v>
      </x:c>
      <x:c r="S67" s="13" t="n">
        <x:v>50</x:v>
      </x:c>
      <x:c r="T67" s="13"/>
      <x:c r="U67" s="14" t="b">
        <x:v>1</x:v>
      </x:c>
    </x:row>
    <x:row r="68">
      <x:c r="A68" s="13" t="str">
        <x:v>Total soluble sugars</x:v>
      </x:c>
      <x:c r="B68" s="13" t="str">
        <x:v>total_soluble_sugars</x:v>
      </x:c>
      <x:c r="C68" s="24"/>
      <x:c r="D68" s="22" t="str">
        <x:v>g/L</x:v>
      </x:c>
      <x:c r="E68" s="22" t="str">
        <x:v>sugar mass</x:v>
      </x:c>
      <x:c r="F68" s="13" t="str">
        <x:v>raw_liquid_fraction</x:v>
      </x:c>
      <x:c r="G68" s="13" t="str">
        <x:v>baseline</x:v>
      </x:c>
      <x:c r="H68" s="13" t="str">
        <x:v>baseline</x:v>
      </x:c>
      <x:c r="I68" s="13" t="str">
        <x:v>All</x:v>
      </x:c>
      <x:c r="J68" s="13"/>
      <x:c r="K68" s="13"/>
      <x:c r="L68" s="13" t="str">
        <x:v>none</x:v>
      </x:c>
      <x:c r="M68" s="13"/>
      <x:c r="N68" s="13" t="str">
        <x:v>aggregate</x:v>
      </x:c>
      <x:c r="O68" s="13" t="str">
        <x:v>not_measured</x:v>
      </x:c>
      <x:c r="P68" s="13" t="str">
        <x:v>E</x:v>
      </x:c>
      <x:c r="Q68" s="13"/>
      <x:c r="R68" s="13" t="str">
        <x:v>Analytical measurement only; never allocated as extra stream mass.</x:v>
      </x:c>
      <x:c r="S68" s="13" t="n">
        <x:v>50</x:v>
      </x:c>
      <x:c r="T68" s="13"/>
      <x:c r="U68" s="14" t="b">
        <x:v>1</x:v>
      </x:c>
    </x:row>
    <x:row r="69">
      <x:c r="A69" s="13" t="str">
        <x:v>Total VFAs</x:v>
      </x:c>
      <x:c r="B69" s="13" t="str">
        <x:v>total_vfas</x:v>
      </x:c>
      <x:c r="C69" s="24"/>
      <x:c r="D69" s="22" t="str">
        <x:v>g/L</x:v>
      </x:c>
      <x:c r="E69" s="22" t="str">
        <x:v>acid mass</x:v>
      </x:c>
      <x:c r="F69" s="13" t="str">
        <x:v>raw_liquid_fraction</x:v>
      </x:c>
      <x:c r="G69" s="13" t="str">
        <x:v>baseline</x:v>
      </x:c>
      <x:c r="H69" s="13" t="str">
        <x:v>baseline</x:v>
      </x:c>
      <x:c r="I69" s="13" t="str">
        <x:v>All</x:v>
      </x:c>
      <x:c r="J69" s="13"/>
      <x:c r="K69" s="13"/>
      <x:c r="L69" s="13" t="str">
        <x:v>none</x:v>
      </x:c>
      <x:c r="M69" s="13"/>
      <x:c r="N69" s="13" t="str">
        <x:v>aggregate</x:v>
      </x:c>
      <x:c r="O69" s="13" t="str">
        <x:v>not_measured</x:v>
      </x:c>
      <x:c r="P69" s="13" t="str">
        <x:v>E</x:v>
      </x:c>
      <x:c r="Q69" s="13"/>
      <x:c r="R69" s="13" t="str">
        <x:v>Analytical measurement only; never allocated as extra stream mass.</x:v>
      </x:c>
      <x:c r="S69" s="13" t="n">
        <x:v>50</x:v>
      </x:c>
      <x:c r="T69" s="13"/>
      <x:c r="U69" s="14" t="b">
        <x:v>1</x:v>
      </x:c>
    </x:row>
    <x:row r="70">
      <x:c r="A70" s="13" t="str">
        <x:v>Chemical oxygen demand</x:v>
      </x:c>
      <x:c r="B70" s="13" t="str">
        <x:v>cod</x:v>
      </x:c>
      <x:c r="C70" s="24"/>
      <x:c r="D70" s="22" t="str">
        <x:v>mg/L</x:v>
      </x:c>
      <x:c r="E70" s="22" t="str">
        <x:v>O2 equivalent</x:v>
      </x:c>
      <x:c r="F70" s="13" t="str">
        <x:v>raw_liquid_fraction</x:v>
      </x:c>
      <x:c r="G70" s="13" t="str">
        <x:v>baseline</x:v>
      </x:c>
      <x:c r="H70" s="13" t="str">
        <x:v>baseline</x:v>
      </x:c>
      <x:c r="I70" s="13" t="str">
        <x:v>All</x:v>
      </x:c>
      <x:c r="J70" s="13"/>
      <x:c r="K70" s="13"/>
      <x:c r="L70" s="13" t="str">
        <x:v>none</x:v>
      </x:c>
      <x:c r="M70" s="13"/>
      <x:c r="N70" s="13" t="str">
        <x:v>aggregate</x:v>
      </x:c>
      <x:c r="O70" s="13" t="str">
        <x:v>not_measured</x:v>
      </x:c>
      <x:c r="P70" s="13" t="str">
        <x:v>E</x:v>
      </x:c>
      <x:c r="Q70" s="13"/>
      <x:c r="R70" s="13" t="str">
        <x:v>Analytical measurement only; never allocated as extra stream mass.</x:v>
      </x:c>
      <x:c r="S70" s="13" t="n">
        <x:v>50</x:v>
      </x:c>
      <x:c r="T70" s="13"/>
      <x:c r="U70" s="14" t="b">
        <x:v>1</x:v>
      </x:c>
    </x:row>
    <x:row r="71">
      <x:c r="A71" s="13" t="str">
        <x:v>Soluble COD</x:v>
      </x:c>
      <x:c r="B71" s="13" t="str">
        <x:v>soluble_cod</x:v>
      </x:c>
      <x:c r="C71" s="24"/>
      <x:c r="D71" s="22" t="str">
        <x:v>mg/L</x:v>
      </x:c>
      <x:c r="E71" s="22" t="str">
        <x:v>O2 equivalent</x:v>
      </x:c>
      <x:c r="F71" s="13" t="str">
        <x:v>raw_liquid_fraction</x:v>
      </x:c>
      <x:c r="G71" s="13" t="str">
        <x:v>baseline</x:v>
      </x:c>
      <x:c r="H71" s="13" t="str">
        <x:v>baseline</x:v>
      </x:c>
      <x:c r="I71" s="13" t="str">
        <x:v>All</x:v>
      </x:c>
      <x:c r="J71" s="13"/>
      <x:c r="K71" s="13"/>
      <x:c r="L71" s="13" t="str">
        <x:v>none</x:v>
      </x:c>
      <x:c r="M71" s="13"/>
      <x:c r="N71" s="13" t="str">
        <x:v>aggregate</x:v>
      </x:c>
      <x:c r="O71" s="13" t="str">
        <x:v>not_measured</x:v>
      </x:c>
      <x:c r="P71" s="13" t="str">
        <x:v>E</x:v>
      </x:c>
      <x:c r="Q71" s="13"/>
      <x:c r="R71" s="13" t="str">
        <x:v>Analytical measurement only; never allocated as extra stream mass.</x:v>
      </x:c>
      <x:c r="S71" s="13" t="n">
        <x:v>50</x:v>
      </x:c>
      <x:c r="T71" s="13"/>
      <x:c r="U71" s="14" t="b">
        <x:v>1</x:v>
      </x:c>
    </x:row>
    <x:row r="72">
      <x:c r="A72" s="13" t="str">
        <x:v>Particulate COD</x:v>
      </x:c>
      <x:c r="B72" s="13" t="str">
        <x:v>particulate_cod</x:v>
      </x:c>
      <x:c r="C72" s="24"/>
      <x:c r="D72" s="22" t="str">
        <x:v>mg/L</x:v>
      </x:c>
      <x:c r="E72" s="22" t="str">
        <x:v>O2 equivalent</x:v>
      </x:c>
      <x:c r="F72" s="13" t="str">
        <x:v>raw_liquid_fraction</x:v>
      </x:c>
      <x:c r="G72" s="13" t="str">
        <x:v>baseline</x:v>
      </x:c>
      <x:c r="H72" s="13" t="str">
        <x:v>baseline</x:v>
      </x:c>
      <x:c r="I72" s="13" t="str">
        <x:v>All</x:v>
      </x:c>
      <x:c r="J72" s="13"/>
      <x:c r="K72" s="13"/>
      <x:c r="L72" s="13" t="str">
        <x:v>none</x:v>
      </x:c>
      <x:c r="M72" s="13"/>
      <x:c r="N72" s="13" t="str">
        <x:v>aggregate</x:v>
      </x:c>
      <x:c r="O72" s="13" t="str">
        <x:v>not_measured</x:v>
      </x:c>
      <x:c r="P72" s="13" t="str">
        <x:v>E</x:v>
      </x:c>
      <x:c r="Q72" s="13"/>
      <x:c r="R72" s="13" t="str">
        <x:v>Analytical measurement only; never allocated as extra stream mass.</x:v>
      </x:c>
      <x:c r="S72" s="13" t="n">
        <x:v>50</x:v>
      </x:c>
      <x:c r="T72" s="13"/>
      <x:c r="U72" s="14" t="b">
        <x:v>1</x:v>
      </x:c>
    </x:row>
    <x:row r="73">
      <x:c r="A73" s="13" t="str">
        <x:v>Biochemical oxygen demand</x:v>
      </x:c>
      <x:c r="B73" s="13" t="str">
        <x:v>bod5</x:v>
      </x:c>
      <x:c r="C73" s="24"/>
      <x:c r="D73" s="22" t="str">
        <x:v>mg/L</x:v>
      </x:c>
      <x:c r="E73" s="22" t="str">
        <x:v>O2 equivalent</x:v>
      </x:c>
      <x:c r="F73" s="13" t="str">
        <x:v>raw_liquid_fraction</x:v>
      </x:c>
      <x:c r="G73" s="13" t="str">
        <x:v>baseline</x:v>
      </x:c>
      <x:c r="H73" s="13" t="str">
        <x:v>baseline</x:v>
      </x:c>
      <x:c r="I73" s="13" t="str">
        <x:v>All</x:v>
      </x:c>
      <x:c r="J73" s="13"/>
      <x:c r="K73" s="13"/>
      <x:c r="L73" s="13" t="str">
        <x:v>none</x:v>
      </x:c>
      <x:c r="M73" s="13"/>
      <x:c r="N73" s="13" t="str">
        <x:v>aggregate</x:v>
      </x:c>
      <x:c r="O73" s="13" t="str">
        <x:v>not_measured</x:v>
      </x:c>
      <x:c r="P73" s="13" t="str">
        <x:v>E</x:v>
      </x:c>
      <x:c r="Q73" s="13"/>
      <x:c r="R73" s="13" t="str">
        <x:v>Analytical measurement only; never allocated as extra stream mass.</x:v>
      </x:c>
      <x:c r="S73" s="13" t="n">
        <x:v>50</x:v>
      </x:c>
      <x:c r="T73" s="13"/>
      <x:c r="U73" s="14" t="b">
        <x:v>1</x:v>
      </x:c>
    </x:row>
    <x:row r="74">
      <x:c r="A74" s="13" t="str">
        <x:v>Total organic carbon</x:v>
      </x:c>
      <x:c r="B74" s="13" t="str">
        <x:v>toc</x:v>
      </x:c>
      <x:c r="C74" s="24"/>
      <x:c r="D74" s="22" t="str">
        <x:v>mg/L</x:v>
      </x:c>
      <x:c r="E74" s="22" t="str">
        <x:v>C</x:v>
      </x:c>
      <x:c r="F74" s="13" t="str">
        <x:v>raw_liquid_fraction</x:v>
      </x:c>
      <x:c r="G74" s="13" t="str">
        <x:v>baseline</x:v>
      </x:c>
      <x:c r="H74" s="13" t="str">
        <x:v>baseline</x:v>
      </x:c>
      <x:c r="I74" s="13" t="str">
        <x:v>All</x:v>
      </x:c>
      <x:c r="J74" s="13"/>
      <x:c r="K74" s="13"/>
      <x:c r="L74" s="13" t="str">
        <x:v>none</x:v>
      </x:c>
      <x:c r="M74" s="13"/>
      <x:c r="N74" s="13" t="str">
        <x:v>aggregate</x:v>
      </x:c>
      <x:c r="O74" s="13" t="str">
        <x:v>not_measured</x:v>
      </x:c>
      <x:c r="P74" s="13" t="str">
        <x:v>E</x:v>
      </x:c>
      <x:c r="Q74" s="13"/>
      <x:c r="R74" s="13" t="str">
        <x:v>Analytical measurement only; never allocated as extra stream mass.</x:v>
      </x:c>
      <x:c r="S74" s="13" t="n">
        <x:v>50</x:v>
      </x:c>
      <x:c r="T74" s="13"/>
      <x:c r="U74" s="14" t="b">
        <x:v>1</x:v>
      </x:c>
    </x:row>
    <x:row r="75">
      <x:c r="A75" s="13" t="str">
        <x:v>Total solids</x:v>
      </x:c>
      <x:c r="B75" s="13" t="str">
        <x:v>total_solids</x:v>
      </x:c>
      <x:c r="C75" s="24"/>
      <x:c r="D75" s="22" t="str">
        <x:v>g/L</x:v>
      </x:c>
      <x:c r="E75" s="22" t="str">
        <x:v>dry mass</x:v>
      </x:c>
      <x:c r="F75" s="13" t="str">
        <x:v>raw_liquid_fraction</x:v>
      </x:c>
      <x:c r="G75" s="13" t="str">
        <x:v>baseline</x:v>
      </x:c>
      <x:c r="H75" s="13" t="str">
        <x:v>baseline</x:v>
      </x:c>
      <x:c r="I75" s="13" t="str">
        <x:v>All</x:v>
      </x:c>
      <x:c r="J75" s="13"/>
      <x:c r="K75" s="13"/>
      <x:c r="L75" s="13" t="str">
        <x:v>none</x:v>
      </x:c>
      <x:c r="M75" s="13"/>
      <x:c r="N75" s="13" t="str">
        <x:v>aggregate</x:v>
      </x:c>
      <x:c r="O75" s="13" t="str">
        <x:v>not_measured</x:v>
      </x:c>
      <x:c r="P75" s="13" t="str">
        <x:v>E</x:v>
      </x:c>
      <x:c r="Q75" s="13"/>
      <x:c r="R75" s="13" t="str">
        <x:v>Analytical measurement only; never allocated as extra stream mass.</x:v>
      </x:c>
      <x:c r="S75" s="13" t="n">
        <x:v>50</x:v>
      </x:c>
      <x:c r="T75" s="13"/>
      <x:c r="U75" s="14" t="b">
        <x:v>1</x:v>
      </x:c>
    </x:row>
    <x:row r="76">
      <x:c r="A76" s="13" t="str">
        <x:v>Volatile solids</x:v>
      </x:c>
      <x:c r="B76" s="13" t="str">
        <x:v>volatile_solids</x:v>
      </x:c>
      <x:c r="C76" s="24"/>
      <x:c r="D76" s="22" t="str">
        <x:v>g/L</x:v>
      </x:c>
      <x:c r="E76" s="22" t="str">
        <x:v>dry mass</x:v>
      </x:c>
      <x:c r="F76" s="13" t="str">
        <x:v>raw_liquid_fraction</x:v>
      </x:c>
      <x:c r="G76" s="13" t="str">
        <x:v>baseline</x:v>
      </x:c>
      <x:c r="H76" s="13" t="str">
        <x:v>baseline</x:v>
      </x:c>
      <x:c r="I76" s="13" t="str">
        <x:v>All</x:v>
      </x:c>
      <x:c r="J76" s="13"/>
      <x:c r="K76" s="13"/>
      <x:c r="L76" s="13" t="str">
        <x:v>none</x:v>
      </x:c>
      <x:c r="M76" s="13"/>
      <x:c r="N76" s="13" t="str">
        <x:v>aggregate</x:v>
      </x:c>
      <x:c r="O76" s="13" t="str">
        <x:v>not_measured</x:v>
      </x:c>
      <x:c r="P76" s="13" t="str">
        <x:v>E</x:v>
      </x:c>
      <x:c r="Q76" s="13"/>
      <x:c r="R76" s="13" t="str">
        <x:v>Analytical measurement only; never allocated as extra stream mass.</x:v>
      </x:c>
      <x:c r="S76" s="13" t="n">
        <x:v>50</x:v>
      </x:c>
      <x:c r="T76" s="13"/>
      <x:c r="U76" s="14" t="b">
        <x:v>1</x:v>
      </x:c>
    </x:row>
    <x:row r="77">
      <x:c r="A77" s="13" t="str">
        <x:v>Total suspended solids</x:v>
      </x:c>
      <x:c r="B77" s="13" t="str">
        <x:v>total_suspended_solids</x:v>
      </x:c>
      <x:c r="C77" s="24"/>
      <x:c r="D77" s="22" t="str">
        <x:v>mg/L</x:v>
      </x:c>
      <x:c r="E77" s="22" t="str">
        <x:v>dry mass</x:v>
      </x:c>
      <x:c r="F77" s="13" t="str">
        <x:v>raw_liquid_fraction</x:v>
      </x:c>
      <x:c r="G77" s="13" t="str">
        <x:v>baseline</x:v>
      </x:c>
      <x:c r="H77" s="13" t="str">
        <x:v>baseline</x:v>
      </x:c>
      <x:c r="I77" s="13" t="str">
        <x:v>All</x:v>
      </x:c>
      <x:c r="J77" s="13"/>
      <x:c r="K77" s="13"/>
      <x:c r="L77" s="13" t="str">
        <x:v>none</x:v>
      </x:c>
      <x:c r="M77" s="13"/>
      <x:c r="N77" s="13" t="str">
        <x:v>aggregate</x:v>
      </x:c>
      <x:c r="O77" s="13" t="str">
        <x:v>not_measured</x:v>
      </x:c>
      <x:c r="P77" s="13" t="str">
        <x:v>E</x:v>
      </x:c>
      <x:c r="Q77" s="13"/>
      <x:c r="R77" s="13" t="str">
        <x:v>Analytical measurement only; never allocated as extra stream mass.</x:v>
      </x:c>
      <x:c r="S77" s="13" t="n">
        <x:v>50</x:v>
      </x:c>
      <x:c r="T77" s="13"/>
      <x:c r="U77" s="14" t="b">
        <x:v>1</x:v>
      </x:c>
    </x:row>
    <x:row r="78">
      <x:c r="A78" s="13" t="str">
        <x:v>Volatile suspended solids</x:v>
      </x:c>
      <x:c r="B78" s="13" t="str">
        <x:v>volatile_suspended_solids</x:v>
      </x:c>
      <x:c r="C78" s="24"/>
      <x:c r="D78" s="22" t="str">
        <x:v>mg/L</x:v>
      </x:c>
      <x:c r="E78" s="22" t="str">
        <x:v>dry mass</x:v>
      </x:c>
      <x:c r="F78" s="13" t="str">
        <x:v>raw_liquid_fraction</x:v>
      </x:c>
      <x:c r="G78" s="13" t="str">
        <x:v>baseline</x:v>
      </x:c>
      <x:c r="H78" s="13" t="str">
        <x:v>baseline</x:v>
      </x:c>
      <x:c r="I78" s="13" t="str">
        <x:v>All</x:v>
      </x:c>
      <x:c r="J78" s="13"/>
      <x:c r="K78" s="13"/>
      <x:c r="L78" s="13" t="str">
        <x:v>none</x:v>
      </x:c>
      <x:c r="M78" s="13"/>
      <x:c r="N78" s="13" t="str">
        <x:v>aggregate</x:v>
      </x:c>
      <x:c r="O78" s="13" t="str">
        <x:v>not_measured</x:v>
      </x:c>
      <x:c r="P78" s="13" t="str">
        <x:v>E</x:v>
      </x:c>
      <x:c r="Q78" s="13"/>
      <x:c r="R78" s="13" t="str">
        <x:v>Analytical measurement only; never allocated as extra stream mass.</x:v>
      </x:c>
      <x:c r="S78" s="13" t="n">
        <x:v>50</x:v>
      </x:c>
      <x:c r="T78" s="13"/>
      <x:c r="U78" s="14" t="b">
        <x:v>1</x:v>
      </x:c>
    </x:row>
    <x:row r="79">
      <x:c r="A79" s="13" t="str">
        <x:v>Total dissolved solids</x:v>
      </x:c>
      <x:c r="B79" s="13" t="str">
        <x:v>total_dissolved_solids</x:v>
      </x:c>
      <x:c r="C79" s="24"/>
      <x:c r="D79" s="22" t="str">
        <x:v>mg/L</x:v>
      </x:c>
      <x:c r="E79" s="22" t="str">
        <x:v>dry mass</x:v>
      </x:c>
      <x:c r="F79" s="13" t="str">
        <x:v>raw_liquid_fraction</x:v>
      </x:c>
      <x:c r="G79" s="13" t="str">
        <x:v>baseline</x:v>
      </x:c>
      <x:c r="H79" s="13" t="str">
        <x:v>baseline</x:v>
      </x:c>
      <x:c r="I79" s="13" t="str">
        <x:v>All</x:v>
      </x:c>
      <x:c r="J79" s="13"/>
      <x:c r="K79" s="13"/>
      <x:c r="L79" s="13" t="str">
        <x:v>none</x:v>
      </x:c>
      <x:c r="M79" s="13"/>
      <x:c r="N79" s="13" t="str">
        <x:v>aggregate</x:v>
      </x:c>
      <x:c r="O79" s="13" t="str">
        <x:v>not_measured</x:v>
      </x:c>
      <x:c r="P79" s="13" t="str">
        <x:v>E</x:v>
      </x:c>
      <x:c r="Q79" s="13"/>
      <x:c r="R79" s="13" t="str">
        <x:v>Analytical measurement only; never allocated as extra stream mass.</x:v>
      </x:c>
      <x:c r="S79" s="13" t="n">
        <x:v>50</x:v>
      </x:c>
      <x:c r="T79" s="13"/>
      <x:c r="U79" s="14" t="b">
        <x:v>1</x:v>
      </x:c>
    </x:row>
    <x:row r="80">
      <x:c r="A80" s="13" t="str">
        <x:v>Total nitrogen</x:v>
      </x:c>
      <x:c r="B80" s="13" t="str">
        <x:v>total_nitrogen</x:v>
      </x:c>
      <x:c r="C80" s="24"/>
      <x:c r="D80" s="22" t="str">
        <x:v>mg/L</x:v>
      </x:c>
      <x:c r="E80" s="22" t="str">
        <x:v>N</x:v>
      </x:c>
      <x:c r="F80" s="13" t="str">
        <x:v>raw_liquid_fraction</x:v>
      </x:c>
      <x:c r="G80" s="13" t="str">
        <x:v>baseline</x:v>
      </x:c>
      <x:c r="H80" s="13" t="str">
        <x:v>baseline</x:v>
      </x:c>
      <x:c r="I80" s="13" t="str">
        <x:v>All</x:v>
      </x:c>
      <x:c r="J80" s="13"/>
      <x:c r="K80" s="13"/>
      <x:c r="L80" s="13" t="str">
        <x:v>none</x:v>
      </x:c>
      <x:c r="M80" s="13"/>
      <x:c r="N80" s="13" t="str">
        <x:v>aggregate</x:v>
      </x:c>
      <x:c r="O80" s="13" t="str">
        <x:v>not_measured</x:v>
      </x:c>
      <x:c r="P80" s="13" t="str">
        <x:v>E</x:v>
      </x:c>
      <x:c r="Q80" s="13"/>
      <x:c r="R80" s="13" t="str">
        <x:v>Analytical measurement only; never allocated as extra stream mass.</x:v>
      </x:c>
      <x:c r="S80" s="13" t="n">
        <x:v>50</x:v>
      </x:c>
      <x:c r="T80" s="13"/>
      <x:c r="U80" s="14" t="b">
        <x:v>1</x:v>
      </x:c>
    </x:row>
    <x:row r="81">
      <x:c r="A81" s="13" t="str">
        <x:v>Total Kjeldahl nitrogen</x:v>
      </x:c>
      <x:c r="B81" s="13" t="str">
        <x:v>tkn</x:v>
      </x:c>
      <x:c r="C81" s="24"/>
      <x:c r="D81" s="22" t="str">
        <x:v>mg/L</x:v>
      </x:c>
      <x:c r="E81" s="22" t="str">
        <x:v>N</x:v>
      </x:c>
      <x:c r="F81" s="13" t="str">
        <x:v>raw_liquid_fraction</x:v>
      </x:c>
      <x:c r="G81" s="13" t="str">
        <x:v>baseline</x:v>
      </x:c>
      <x:c r="H81" s="13" t="str">
        <x:v>baseline</x:v>
      </x:c>
      <x:c r="I81" s="13" t="str">
        <x:v>All</x:v>
      </x:c>
      <x:c r="J81" s="13"/>
      <x:c r="K81" s="13"/>
      <x:c r="L81" s="13" t="str">
        <x:v>none</x:v>
      </x:c>
      <x:c r="M81" s="13"/>
      <x:c r="N81" s="13" t="str">
        <x:v>aggregate</x:v>
      </x:c>
      <x:c r="O81" s="13" t="str">
        <x:v>not_measured</x:v>
      </x:c>
      <x:c r="P81" s="13" t="str">
        <x:v>E</x:v>
      </x:c>
      <x:c r="Q81" s="13"/>
      <x:c r="R81" s="13" t="str">
        <x:v>Analytical measurement only; never allocated as extra stream mass.</x:v>
      </x:c>
      <x:c r="S81" s="13" t="n">
        <x:v>50</x:v>
      </x:c>
      <x:c r="T81" s="13"/>
      <x:c r="U81" s="14" t="b">
        <x:v>1</x:v>
      </x:c>
    </x:row>
    <x:row r="82">
      <x:c r="A82" s="13" t="str">
        <x:v>Total phosphorus</x:v>
      </x:c>
      <x:c r="B82" s="13" t="str">
        <x:v>total_phosphorus</x:v>
      </x:c>
      <x:c r="C82" s="24"/>
      <x:c r="D82" s="22" t="str">
        <x:v>mg/L</x:v>
      </x:c>
      <x:c r="E82" s="22" t="str">
        <x:v>P</x:v>
      </x:c>
      <x:c r="F82" s="13" t="str">
        <x:v>raw_liquid_fraction</x:v>
      </x:c>
      <x:c r="G82" s="13" t="str">
        <x:v>baseline</x:v>
      </x:c>
      <x:c r="H82" s="13" t="str">
        <x:v>baseline</x:v>
      </x:c>
      <x:c r="I82" s="13" t="str">
        <x:v>All</x:v>
      </x:c>
      <x:c r="J82" s="13"/>
      <x:c r="K82" s="13"/>
      <x:c r="L82" s="13" t="str">
        <x:v>none</x:v>
      </x:c>
      <x:c r="M82" s="13"/>
      <x:c r="N82" s="13" t="str">
        <x:v>aggregate</x:v>
      </x:c>
      <x:c r="O82" s="13" t="str">
        <x:v>not_measured</x:v>
      </x:c>
      <x:c r="P82" s="13" t="str">
        <x:v>E</x:v>
      </x:c>
      <x:c r="Q82" s="13"/>
      <x:c r="R82" s="13" t="str">
        <x:v>Analytical measurement only; never allocated as extra stream mass.</x:v>
      </x:c>
      <x:c r="S82" s="13" t="n">
        <x:v>50</x:v>
      </x:c>
      <x:c r="T82" s="13"/>
      <x:c r="U82" s="14" t="b">
        <x:v>1</x:v>
      </x:c>
    </x:row>
    <x:row r="83">
      <x:c r="A83" s="13" t="str">
        <x:v>Dissolved phosphorus</x:v>
      </x:c>
      <x:c r="B83" s="13" t="str">
        <x:v>dissolved_phosphorus</x:v>
      </x:c>
      <x:c r="C83" s="24"/>
      <x:c r="D83" s="22" t="str">
        <x:v>mg/L</x:v>
      </x:c>
      <x:c r="E83" s="22" t="str">
        <x:v>P</x:v>
      </x:c>
      <x:c r="F83" s="13" t="str">
        <x:v>raw_liquid_fraction</x:v>
      </x:c>
      <x:c r="G83" s="13" t="str">
        <x:v>baseline</x:v>
      </x:c>
      <x:c r="H83" s="13" t="str">
        <x:v>baseline</x:v>
      </x:c>
      <x:c r="I83" s="13" t="str">
        <x:v>All</x:v>
      </x:c>
      <x:c r="J83" s="13"/>
      <x:c r="K83" s="13"/>
      <x:c r="L83" s="13" t="str">
        <x:v>none</x:v>
      </x:c>
      <x:c r="M83" s="13"/>
      <x:c r="N83" s="13" t="str">
        <x:v>aggregate</x:v>
      </x:c>
      <x:c r="O83" s="13" t="str">
        <x:v>not_measured</x:v>
      </x:c>
      <x:c r="P83" s="13" t="str">
        <x:v>E</x:v>
      </x:c>
      <x:c r="Q83" s="13"/>
      <x:c r="R83" s="13" t="str">
        <x:v>Analytical measurement only; never allocated as extra stream mass.</x:v>
      </x:c>
      <x:c r="S83" s="13" t="n">
        <x:v>50</x:v>
      </x:c>
      <x:c r="T83" s="13"/>
      <x:c r="U83" s="14" t="b">
        <x:v>1</x:v>
      </x:c>
    </x:row>
  </x:sheetData>
  <x:conditionalFormatting sqref="P2:P83">
    <x:cfRule type="containsText" dxfId="1" priority="1" operator="containsText" text="E"/>
  </x:conditionalFormatting>
  <x:conditionalFormatting sqref="C2:C83">
    <x:cfRule type="containsBlanks" dxfId="2" priority="2"/>
  </x:conditionalFormatting>
  <x:dataValidations count="5">
    <x:dataValidation type="list" sqref="N2:N83">
      <x:formula1>"component,aggregate,physical,flow,parameter"</x:formula1>
    </x:dataValidation>
    <x:dataValidation type="list" sqref="O2:O83">
      <x:formula1>"measured,assumed,estimated,calculated,not_measured,below_detection_limit,assumed_absent,intentionally_excluded"</x:formula1>
    </x:dataValidation>
    <x:dataValidation type="list" sqref="P2:P83">
      <x:formula1>"A,B,C,D,E"</x:formula1>
    </x:dataValidation>
    <x:dataValidation type="list" sqref="L2:L83">
      <x:formula1>"none,uniform,triangular,normal,lognormal"</x:formula1>
    </x:dataValidation>
    <x:dataValidation type="list" sqref="U2:U83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ca65311481840b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880000114440918" hidden="0" customWidth="1"/>
    <x:col min="2" max="2" width="30.6299991607666" hidden="0" customWidth="1"/>
    <x:col min="3" max="3" width="28.6299991607666" hidden="0" customWidth="1"/>
    <x:col min="4" max="4" width="12.880000114440918" hidden="0" customWidth="1"/>
    <x:col min="5" max="5" width="14.5" hidden="0" customWidth="1"/>
    <x:col min="6" max="6" width="8" hidden="0" customWidth="1"/>
    <x:col min="7" max="7" width="8.380000114440918" hidden="0" customWidth="1"/>
    <x:col min="8" max="8" width="9.5" hidden="0" customWidth="1"/>
    <x:col min="9" max="9" width="7.130000114440918" hidden="0" customWidth="1"/>
    <x:col min="10" max="10" width="19.75" hidden="0" customWidth="1"/>
    <x:col min="11" max="11" width="52" hidden="0" customWidth="1"/>
    <x:col min="12" max="12" width="14.630000114440918" hidden="0" customWidth="1"/>
    <x:col min="13" max="13" width="5.25" hidden="0" customWidth="1"/>
  </x:cols>
  <x:sheetData>
    <x:row r="1" ht="32" customHeight="1">
      <x:c r="A1" s="46" t="str">
        <x:v>category</x:v>
      </x:c>
      <x:c r="B1" s="47" t="str">
        <x:v>name</x:v>
      </x:c>
      <x:c r="C1" s="47" t="str">
        <x:v>python_name</x:v>
      </x:c>
      <x:c r="D1" s="47" t="str">
        <x:v>value</x:v>
      </x:c>
      <x:c r="E1" s="47" t="str">
        <x:v>unit</x:v>
      </x:c>
      <x:c r="F1" s="47" t="str">
        <x:v>minimum</x:v>
      </x:c>
      <x:c r="G1" s="47" t="str">
        <x:v>maximum</x:v>
      </x:c>
      <x:c r="H1" s="47" t="str">
        <x:v>distribution</x:v>
      </x:c>
      <x:c r="I1" s="47" t="str">
        <x:v>required</x:v>
      </x:c>
      <x:c r="J1" s="47" t="str">
        <x:v>source</x:v>
      </x:c>
      <x:c r="K1" s="47" t="str">
        <x:v>comment</x:v>
      </x:c>
      <x:c r="L1" s="47" t="str">
        <x:v>phase_introduced</x:v>
      </x:c>
      <x:c r="M1" s="48" t="str">
        <x:v>active</x:v>
      </x:c>
    </x:row>
    <x:row r="2">
      <x:c r="A2" s="58" t="str">
        <x:v>feed</x:v>
      </x:c>
      <x:c r="B2" s="58" t="str">
        <x:v>Default feed temperature</x:v>
      </x:c>
      <x:c r="C2" s="58" t="str">
        <x:v>default_feed_temperature</x:v>
      </x:c>
      <x:c r="D2" s="59" t="n">
        <x:v>25</x:v>
      </x:c>
      <x:c r="E2" s="58" t="str">
        <x:v>degC</x:v>
      </x:c>
      <x:c r="F2" s="58" t="n">
        <x:v>0</x:v>
      </x:c>
      <x:c r="G2" s="58" t="n">
        <x:v>60</x:v>
      </x:c>
      <x:c r="H2" s="58" t="str">
        <x:v>none</x:v>
      </x:c>
      <x:c r="I2" s="60" t="b">
        <x:v>1</x:v>
      </x:c>
      <x:c r="J2" s="58" t="str">
        <x:v>Phase 1 assumption</x:v>
      </x:c>
      <x:c r="K2" s="58" t="str">
        <x:v>Workbook measurement overrides this value.</x:v>
      </x:c>
      <x:c r="L2" s="58" t="n">
        <x:v>1</x:v>
      </x:c>
      <x:c r="M2" s="60" t="b">
        <x:v>1</x:v>
      </x:c>
    </x:row>
    <x:row r="3">
      <x:c r="A3" s="58" t="str">
        <x:v>feed</x:v>
      </x:c>
      <x:c r="B3" s="58" t="str">
        <x:v>Default atmospheric pressure</x:v>
      </x:c>
      <x:c r="C3" s="58" t="str">
        <x:v>default_pressure</x:v>
      </x:c>
      <x:c r="D3" s="59" t="n">
        <x:v>101325</x:v>
      </x:c>
      <x:c r="E3" s="58" t="str">
        <x:v>Pa</x:v>
      </x:c>
      <x:c r="F3" s="58" t="n">
        <x:v>50000</x:v>
      </x:c>
      <x:c r="G3" s="58" t="n">
        <x:v>200000</x:v>
      </x:c>
      <x:c r="H3" s="58" t="str">
        <x:v>none</x:v>
      </x:c>
      <x:c r="I3" s="60" t="b">
        <x:v>1</x:v>
      </x:c>
      <x:c r="J3" s="58" t="str">
        <x:v>Phase 1 assumption</x:v>
      </x:c>
      <x:c r="K3" s="58" t="str">
        <x:v>Atmospheric default.</x:v>
      </x:c>
      <x:c r="L3" s="58" t="n">
        <x:v>1</x:v>
      </x:c>
      <x:c r="M3" s="60" t="b">
        <x:v>1</x:v>
      </x:c>
    </x:row>
    <x:row r="4">
      <x:c r="A4" s="58" t="str">
        <x:v>primary_separation</x:v>
      </x:c>
      <x:c r="B4" s="58" t="str">
        <x:v>Default soluble fraction to clarified</x:v>
      </x:c>
      <x:c r="C4" s="58" t="str">
        <x:v>separator_default_soluble_split</x:v>
      </x:c>
      <x:c r="D4" s="59" t="n">
        <x:v>0.98</x:v>
      </x:c>
      <x:c r="E4" s="58" t="str">
        <x:v>fraction</x:v>
      </x:c>
      <x:c r="F4" s="58" t="n">
        <x:v>0</x:v>
      </x:c>
      <x:c r="G4" s="58" t="n">
        <x:v>1</x:v>
      </x:c>
      <x:c r="H4" s="58" t="str">
        <x:v>none</x:v>
      </x:c>
      <x:c r="I4" s="60" t="b">
        <x:v>1</x:v>
      </x:c>
      <x:c r="J4" s="58" t="str">
        <x:v>Engineering placeholder</x:v>
      </x:c>
      <x:c r="K4" s="58" t="str">
        <x:v>Retained for Phase 2 S101 only.</x:v>
      </x:c>
      <x:c r="L4" s="58" t="n">
        <x:v>2</x:v>
      </x:c>
      <x:c r="M4" s="60" t="b">
        <x:v>1</x:v>
      </x:c>
    </x:row>
    <x:row r="5">
      <x:c r="A5" s="58" t="str">
        <x:v>primary_separation</x:v>
      </x:c>
      <x:c r="B5" s="58" t="str">
        <x:v>Default particulate fraction to clarified</x:v>
      </x:c>
      <x:c r="C5" s="58" t="str">
        <x:v>separator_default_particulate_split</x:v>
      </x:c>
      <x:c r="D5" s="59" t="n">
        <x:v>0.1</x:v>
      </x:c>
      <x:c r="E5" s="58" t="str">
        <x:v>fraction</x:v>
      </x:c>
      <x:c r="F5" s="58" t="n">
        <x:v>0</x:v>
      </x:c>
      <x:c r="G5" s="58" t="n">
        <x:v>1</x:v>
      </x:c>
      <x:c r="H5" s="58" t="str">
        <x:v>none</x:v>
      </x:c>
      <x:c r="I5" s="60" t="b">
        <x:v>1</x:v>
      </x:c>
      <x:c r="J5" s="58" t="str">
        <x:v>Engineering placeholder</x:v>
      </x:c>
      <x:c r="K5" s="58" t="str">
        <x:v>Retained for Phase 2 S101 only.</x:v>
      </x:c>
      <x:c r="L5" s="58" t="n">
        <x:v>2</x:v>
      </x:c>
      <x:c r="M5" s="60" t="b">
        <x:v>1</x:v>
      </x:c>
    </x:row>
    <x:row r="6">
      <x:c r="A6" s="58" t="str">
        <x:v>preparation</x:v>
      </x:c>
      <x:c r="B6" s="58" t="str">
        <x:v>Cleaning electricity</x:v>
      </x:c>
      <x:c r="C6" s="58" t="str">
        <x:v>cleaning_electricity_kwh_per_t_wet</x:v>
      </x:c>
      <x:c r="D6" s="59"/>
      <x:c r="E6" s="58" t="str">
        <x:v>kWh/t wet</x:v>
      </x:c>
      <x:c r="F6" s="58" t="n">
        <x:v>0</x:v>
      </x:c>
      <x:c r="G6" s="58"/>
      <x:c r="H6" s="58" t="str">
        <x:v>none</x:v>
      </x:c>
      <x:c r="I6" s="60" t="b">
        <x:v>0</x:v>
      </x:c>
      <x:c r="J6" s="58" t="str">
        <x:v>Phase3Parameters</x:v>
      </x:c>
      <x:c r="K6" s="58" t="str">
        <x:v>Active in grass-entry scenarios; no duplicate value is held here.</x:v>
      </x:c>
      <x:c r="L6" s="58" t="n">
        <x:v>3</x:v>
      </x:c>
      <x:c r="M6" s="60" t="b">
        <x:v>1</x:v>
      </x:c>
    </x:row>
    <x:row r="7">
      <x:c r="A7" s="58" t="str">
        <x:v>pef</x:v>
      </x:c>
      <x:c r="B7" s="58" t="str">
        <x:v>Specific energy</x:v>
      </x:c>
      <x:c r="C7" s="58" t="str">
        <x:v>specific_energy_kwh_per_t_wet</x:v>
      </x:c>
      <x:c r="D7" s="59"/>
      <x:c r="E7" s="58" t="str">
        <x:v>kWh/t wet</x:v>
      </x:c>
      <x:c r="F7" s="58" t="n">
        <x:v>0</x:v>
      </x:c>
      <x:c r="G7" s="58"/>
      <x:c r="H7" s="58" t="str">
        <x:v>none</x:v>
      </x:c>
      <x:c r="I7" s="60" t="b">
        <x:v>0</x:v>
      </x:c>
      <x:c r="J7" s="58" t="str">
        <x:v>Phase3Parameters</x:v>
      </x:c>
      <x:c r="K7" s="58" t="str">
        <x:v>Active in F2/F3 only; no implicit default.</x:v>
      </x:c>
      <x:c r="L7" s="58" t="n">
        <x:v>3</x:v>
      </x:c>
      <x:c r="M7" s="60" t="b">
        <x:v>1</x:v>
      </x:c>
    </x:row>
    <x:row r="8">
      <x:c r="A8" s="58" t="str">
        <x:v>pef</x:v>
      </x:c>
      <x:c r="B8" s="58" t="str">
        <x:v>Electric field strength</x:v>
      </x:c>
      <x:c r="C8" s="58" t="str">
        <x:v>electric_field_strength_kv_per_cm</x:v>
      </x:c>
      <x:c r="D8" s="59"/>
      <x:c r="E8" s="58" t="str">
        <x:v>kV/cm</x:v>
      </x:c>
      <x:c r="F8" s="58" t="n">
        <x:v>0</x:v>
      </x:c>
      <x:c r="G8" s="58"/>
      <x:c r="H8" s="58" t="str">
        <x:v>none</x:v>
      </x:c>
      <x:c r="I8" s="60" t="b">
        <x:v>0</x:v>
      </x:c>
      <x:c r="J8" s="58" t="str">
        <x:v>Phase3Parameters</x:v>
      </x:c>
      <x:c r="K8" s="58" t="str">
        <x:v>Reported PEF design input.</x:v>
      </x:c>
      <x:c r="L8" s="58" t="n">
        <x:v>3</x:v>
      </x:c>
      <x:c r="M8" s="60" t="b">
        <x:v>1</x:v>
      </x:c>
    </x:row>
    <x:row r="9">
      <x:c r="A9" s="58" t="str">
        <x:v>pef</x:v>
      </x:c>
      <x:c r="B9" s="58" t="str">
        <x:v>Pulse width</x:v>
      </x:c>
      <x:c r="C9" s="58" t="str">
        <x:v>pulse_width_us</x:v>
      </x:c>
      <x:c r="D9" s="59"/>
      <x:c r="E9" s="58" t="str">
        <x:v>us</x:v>
      </x:c>
      <x:c r="F9" s="58" t="n">
        <x:v>0</x:v>
      </x:c>
      <x:c r="G9" s="58"/>
      <x:c r="H9" s="58" t="str">
        <x:v>none</x:v>
      </x:c>
      <x:c r="I9" s="60" t="b">
        <x:v>0</x:v>
      </x:c>
      <x:c r="J9" s="58" t="str">
        <x:v>Phase3Parameters</x:v>
      </x:c>
      <x:c r="K9" s="58" t="str">
        <x:v>Reported PEF design input.</x:v>
      </x:c>
      <x:c r="L9" s="58" t="n">
        <x:v>3</x:v>
      </x:c>
      <x:c r="M9" s="60" t="b">
        <x:v>1</x:v>
      </x:c>
    </x:row>
    <x:row r="10">
      <x:c r="A10" s="58" t="str">
        <x:v>pef</x:v>
      </x:c>
      <x:c r="B10" s="58" t="str">
        <x:v>Pulse number</x:v>
      </x:c>
      <x:c r="C10" s="58" t="str">
        <x:v>number_of_pulses</x:v>
      </x:c>
      <x:c r="D10" s="59"/>
      <x:c r="E10" s="58" t="str">
        <x:v>count</x:v>
      </x:c>
      <x:c r="F10" s="58" t="n">
        <x:v>0</x:v>
      </x:c>
      <x:c r="G10" s="58"/>
      <x:c r="H10" s="58" t="str">
        <x:v>none</x:v>
      </x:c>
      <x:c r="I10" s="60" t="b">
        <x:v>0</x:v>
      </x:c>
      <x:c r="J10" s="58" t="str">
        <x:v>Phase3Parameters</x:v>
      </x:c>
      <x:c r="K10" s="58" t="str">
        <x:v>Reported PEF design input.</x:v>
      </x:c>
      <x:c r="L10" s="58" t="n">
        <x:v>3</x:v>
      </x:c>
      <x:c r="M10" s="60" t="b">
        <x:v>1</x:v>
      </x:c>
    </x:row>
    <x:row r="11">
      <x:c r="A11" s="58" t="str">
        <x:v>pef</x:v>
      </x:c>
      <x:c r="B11" s="58" t="str">
        <x:v>Cell disintegration index</x:v>
      </x:c>
      <x:c r="C11" s="58" t="str">
        <x:v>cell_disintegration_index</x:v>
      </x:c>
      <x:c r="D11" s="59"/>
      <x:c r="E11" s="58" t="str">
        <x:v>fraction</x:v>
      </x:c>
      <x:c r="F11" s="58" t="n">
        <x:v>0</x:v>
      </x:c>
      <x:c r="G11" s="58" t="n">
        <x:v>1</x:v>
      </x:c>
      <x:c r="H11" s="58" t="str">
        <x:v>none</x:v>
      </x:c>
      <x:c r="I11" s="60" t="b">
        <x:v>0</x:v>
      </x:c>
      <x:c r="J11" s="58" t="str">
        <x:v>Phase3Parameters</x:v>
      </x:c>
      <x:c r="K11" s="58" t="str">
        <x:v>Empirical PEF performance indicator.</x:v>
      </x:c>
      <x:c r="L11" s="58" t="n">
        <x:v>3</x:v>
      </x:c>
      <x:c r="M11" s="60" t="b">
        <x:v>1</x:v>
      </x:c>
    </x:row>
    <x:row r="12">
      <x:c r="A12" s="58" t="str">
        <x:v>pressing</x:v>
      </x:c>
      <x:c r="B12" s="58" t="str">
        <x:v>Juice yield</x:v>
      </x:c>
      <x:c r="C12" s="58" t="str">
        <x:v>juice_yield_kg_per_kg_wet_feed</x:v>
      </x:c>
      <x:c r="D12" s="59"/>
      <x:c r="E12" s="58" t="str">
        <x:v>kg/kg wet grass</x:v>
      </x:c>
      <x:c r="F12" s="58" t="n">
        <x:v>0</x:v>
      </x:c>
      <x:c r="G12" s="58" t="n">
        <x:v>1</x:v>
      </x:c>
      <x:c r="H12" s="58" t="str">
        <x:v>none</x:v>
      </x:c>
      <x:c r="I12" s="60" t="b">
        <x:v>0</x:v>
      </x:c>
      <x:c r="J12" s="58" t="str">
        <x:v>Phase3Parameters</x:v>
      </x:c>
      <x:c r="K12" s="58" t="str">
        <x:v>Mode A; checked against cake moisture.</x:v>
      </x:c>
      <x:c r="L12" s="58" t="n">
        <x:v>3</x:v>
      </x:c>
      <x:c r="M12" s="60" t="b">
        <x:v>1</x:v>
      </x:c>
    </x:row>
    <x:row r="13">
      <x:c r="A13" s="58" t="str">
        <x:v>pressing</x:v>
      </x:c>
      <x:c r="B13" s="58" t="str">
        <x:v>Cake moisture</x:v>
      </x:c>
      <x:c r="C13" s="58" t="str">
        <x:v>cake_moisture_fraction</x:v>
      </x:c>
      <x:c r="D13" s="59"/>
      <x:c r="E13" s="58" t="str">
        <x:v>fraction wet basis</x:v>
      </x:c>
      <x:c r="F13" s="58" t="n">
        <x:v>0</x:v>
      </x:c>
      <x:c r="G13" s="58" t="n">
        <x:v>1</x:v>
      </x:c>
      <x:c r="H13" s="58" t="str">
        <x:v>none</x:v>
      </x:c>
      <x:c r="I13" s="60" t="b">
        <x:v>0</x:v>
      </x:c>
      <x:c r="J13" s="58" t="str">
        <x:v>Phase3Parameters</x:v>
      </x:c>
      <x:c r="K13" s="58" t="str">
        <x:v>Mode A analytical water target.</x:v>
      </x:c>
      <x:c r="L13" s="58" t="n">
        <x:v>3</x:v>
      </x:c>
      <x:c r="M13" s="60" t="b">
        <x:v>1</x:v>
      </x:c>
    </x:row>
    <x:row r="14">
      <x:c r="A14" s="58" t="str">
        <x:v>pressing</x:v>
      </x:c>
      <x:c r="B14" s="58" t="str">
        <x:v>Dry-matter recovery</x:v>
      </x:c>
      <x:c r="C14" s="58" t="str">
        <x:v>dry_solids_recovery_to_cake</x:v>
      </x:c>
      <x:c r="D14" s="59"/>
      <x:c r="E14" s="58" t="str">
        <x:v>fraction to cake</x:v>
      </x:c>
      <x:c r="F14" s="58" t="n">
        <x:v>0</x:v>
      </x:c>
      <x:c r="G14" s="58" t="n">
        <x:v>1</x:v>
      </x:c>
      <x:c r="H14" s="58" t="str">
        <x:v>none</x:v>
      </x:c>
      <x:c r="I14" s="60" t="b">
        <x:v>0</x:v>
      </x:c>
      <x:c r="J14" s="58" t="str">
        <x:v>Phase3Parameters</x:v>
      </x:c>
      <x:c r="K14" s="58" t="str">
        <x:v>Mode A partition input.</x:v>
      </x:c>
      <x:c r="L14" s="58" t="n">
        <x:v>3</x:v>
      </x:c>
      <x:c r="M14" s="60" t="b">
        <x:v>1</x:v>
      </x:c>
    </x:row>
    <x:row r="15">
      <x:c r="A15" s="58" t="str">
        <x:v>centrifuge</x:v>
      </x:c>
      <x:c r="B15" s="58" t="str">
        <x:v>TSS removal</x:v>
      </x:c>
      <x:c r="C15" s="58" t="str">
        <x:v>tss_removal_efficiency</x:v>
      </x:c>
      <x:c r="D15" s="59"/>
      <x:c r="E15" s="58" t="str">
        <x:v>fraction removed</x:v>
      </x:c>
      <x:c r="F15" s="58" t="n">
        <x:v>0</x:v>
      </x:c>
      <x:c r="G15" s="58" t="n">
        <x:v>1</x:v>
      </x:c>
      <x:c r="H15" s="58" t="str">
        <x:v>none</x:v>
      </x:c>
      <x:c r="I15" s="60" t="b">
        <x:v>0</x:v>
      </x:c>
      <x:c r="J15" s="58" t="str">
        <x:v>Phase3Parameters</x:v>
      </x:c>
      <x:c r="K15" s="58" t="str">
        <x:v>Active in all F0-F3 scenarios.</x:v>
      </x:c>
      <x:c r="L15" s="58" t="n">
        <x:v>3</x:v>
      </x:c>
      <x:c r="M15" s="60" t="b">
        <x:v>1</x:v>
      </x:c>
    </x:row>
    <x:row r="16">
      <x:c r="A16" s="58" t="str">
        <x:v>centrifuge</x:v>
      </x:c>
      <x:c r="B16" s="58" t="str">
        <x:v>Sludge moisture</x:v>
      </x:c>
      <x:c r="C16" s="58" t="str">
        <x:v>sludge_moisture_fraction</x:v>
      </x:c>
      <x:c r="D16" s="59"/>
      <x:c r="E16" s="58" t="str">
        <x:v>fraction wet basis</x:v>
      </x:c>
      <x:c r="F16" s="58" t="n">
        <x:v>0</x:v>
      </x:c>
      <x:c r="G16" s="58" t="n">
        <x:v>1</x:v>
      </x:c>
      <x:c r="H16" s="58" t="str">
        <x:v>none</x:v>
      </x:c>
      <x:c r="I16" s="60" t="b">
        <x:v>0</x:v>
      </x:c>
      <x:c r="J16" s="58" t="str">
        <x:v>Phase3Parameters</x:v>
      </x:c>
      <x:c r="K16" s="58" t="str">
        <x:v>Analytical sludge-water target.</x:v>
      </x:c>
      <x:c r="L16" s="58" t="n">
        <x:v>3</x:v>
      </x:c>
      <x:c r="M16" s="60" t="b">
        <x:v>1</x:v>
      </x:c>
    </x:row>
    <x:row r="17">
      <x:c r="A17" s="58" t="str">
        <x:v>centrifuge</x:v>
      </x:c>
      <x:c r="B17" s="58" t="str">
        <x:v>Specific electricity</x:v>
      </x:c>
      <x:c r="C17" s="58" t="str">
        <x:v>centrifuge_electricity_kwh_per_m3</x:v>
      </x:c>
      <x:c r="D17" s="59"/>
      <x:c r="E17" s="58" t="str">
        <x:v>kWh/m3</x:v>
      </x:c>
      <x:c r="F17" s="58" t="n">
        <x:v>0</x:v>
      </x:c>
      <x:c r="G17" s="58"/>
      <x:c r="H17" s="58" t="str">
        <x:v>none</x:v>
      </x:c>
      <x:c r="I17" s="60" t="b">
        <x:v>0</x:v>
      </x:c>
      <x:c r="J17" s="58" t="str">
        <x:v>Phase3Parameters</x:v>
      </x:c>
      <x:c r="K17" s="58" t="str">
        <x:v>Hydraulic-load electricity basis.</x:v>
      </x:c>
      <x:c r="L17" s="58" t="n">
        <x:v>3</x:v>
      </x:c>
      <x:c r="M17" s="60" t="b">
        <x:v>1</x:v>
      </x:c>
    </x:row>
    <x:row r="18">
      <x:c r="A18" s="61" t="str">
        <x:v>protein_recovery</x:v>
      </x:c>
      <x:c r="B18" s="61" t="str">
        <x:v>Protein recovery</x:v>
      </x:c>
      <x:c r="C18" s="61" t="str">
        <x:v>protein_recovery</x:v>
      </x:c>
      <x:c r="D18" s="62"/>
      <x:c r="E18" s="61" t="str">
        <x:v>fraction</x:v>
      </x:c>
      <x:c r="F18" s="61" t="n">
        <x:v>0</x:v>
      </x:c>
      <x:c r="G18" s="61" t="n">
        <x:v>1</x:v>
      </x:c>
      <x:c r="H18" s="61" t="str">
        <x:v>none</x:v>
      </x:c>
      <x:c r="I18" s="63" t="b">
        <x:v>0</x:v>
      </x:c>
      <x:c r="J18" s="61" t="str">
        <x:v>Phase4Parameters</x:v>
      </x:c>
      <x:c r="K18" s="61" t="str">
        <x:v>Phase 4 runtime values are held only in Phase4Parameters.</x:v>
      </x:c>
      <x:c r="L18" s="61" t="n">
        <x:v>4</x:v>
      </x:c>
      <x:c r="M18" s="63" t="b">
        <x:v>1</x:v>
      </x:c>
    </x:row>
    <x:row r="19">
      <x:c r="A19" s="61" t="str">
        <x:v>digestion</x:v>
      </x:c>
      <x:c r="B19" s="61" t="str">
        <x:v>COD removal</x:v>
      </x:c>
      <x:c r="C19" s="61" t="str">
        <x:v>digester_cod_removal</x:v>
      </x:c>
      <x:c r="D19" s="62"/>
      <x:c r="E19" s="61" t="str">
        <x:v>fraction</x:v>
      </x:c>
      <x:c r="F19" s="61" t="n">
        <x:v>0</x:v>
      </x:c>
      <x:c r="G19" s="61" t="n">
        <x:v>1</x:v>
      </x:c>
      <x:c r="H19" s="61" t="str">
        <x:v>none</x:v>
      </x:c>
      <x:c r="I19" s="63" t="b">
        <x:v>0</x:v>
      </x:c>
      <x:c r="J19" s="61" t="str">
        <x:v>Not yet available</x:v>
      </x:c>
      <x:c r="K19" s="61" t="str">
        <x:v>Deferred beyond Phase 3.</x:v>
      </x:c>
      <x:c r="L19" s="61" t="n">
        <x:v>4</x:v>
      </x:c>
      <x:c r="M19" s="63" t="b">
        <x:v>0</x:v>
      </x:c>
    </x:row>
    <x:row r="20">
      <x:c r="A20" s="61" t="str">
        <x:v>struvite</x:v>
      </x:c>
      <x:c r="B20" s="61" t="str">
        <x:v>Phosphorus recovery</x:v>
      </x:c>
      <x:c r="C20" s="61" t="str">
        <x:v>struvite_p_recovery</x:v>
      </x:c>
      <x:c r="D20" s="62"/>
      <x:c r="E20" s="61" t="str">
        <x:v>fraction</x:v>
      </x:c>
      <x:c r="F20" s="61" t="n">
        <x:v>0</x:v>
      </x:c>
      <x:c r="G20" s="61" t="n">
        <x:v>1</x:v>
      </x:c>
      <x:c r="H20" s="61" t="str">
        <x:v>none</x:v>
      </x:c>
      <x:c r="I20" s="63" t="b">
        <x:v>0</x:v>
      </x:c>
      <x:c r="J20" s="61" t="str">
        <x:v>Not yet available</x:v>
      </x:c>
      <x:c r="K20" s="61" t="str">
        <x:v>Deferred beyond Phase 3.</x:v>
      </x:c>
      <x:c r="L20" s="61" t="n">
        <x:v>4</x:v>
      </x:c>
      <x:c r="M20" s="63" t="b">
        <x:v>0</x:v>
      </x:c>
    </x:row>
    <x:row r="21">
      <x:c r="A21" s="61" t="str">
        <x:v>ammonia_recovery</x:v>
      </x:c>
      <x:c r="B21" s="61" t="str">
        <x:v>Ammonia recovery</x:v>
      </x:c>
      <x:c r="C21" s="61" t="str">
        <x:v>ammonia_recovery</x:v>
      </x:c>
      <x:c r="D21" s="62"/>
      <x:c r="E21" s="61" t="str">
        <x:v>fraction</x:v>
      </x:c>
      <x:c r="F21" s="61" t="n">
        <x:v>0</x:v>
      </x:c>
      <x:c r="G21" s="61" t="n">
        <x:v>1</x:v>
      </x:c>
      <x:c r="H21" s="61" t="str">
        <x:v>none</x:v>
      </x:c>
      <x:c r="I21" s="63" t="b">
        <x:v>0</x:v>
      </x:c>
      <x:c r="J21" s="61" t="str">
        <x:v>Not yet available</x:v>
      </x:c>
      <x:c r="K21" s="61" t="str">
        <x:v>Deferred beyond Phase 3.</x:v>
      </x:c>
      <x:c r="L21" s="61" t="n">
        <x:v>4</x:v>
      </x:c>
      <x:c r="M21" s="63" t="b">
        <x:v>0</x:v>
      </x:c>
    </x:row>
    <x:row r="22">
      <x:c r="A22" s="81" t="str">
        <x:v>protein_feed</x:v>
      </x:c>
      <x:c r="B22" s="81" t="str">
        <x:v>Protein-section feed</x:v>
      </x:c>
      <x:c r="C22" s="81" t="str">
        <x:v>phase4_protein_feed</x:v>
      </x:c>
      <x:c r="D22" s="79"/>
      <x:c r="E22" s="79" t="str">
        <x:v>kg/hr</x:v>
      </x:c>
      <x:c r="F22" s="79" t="n">
        <x:v>0</x:v>
      </x:c>
      <x:c r="G22" s="79"/>
      <x:c r="H22" s="79" t="str">
        <x:v>none</x:v>
      </x:c>
      <x:c r="I22" s="97" t="b">
        <x:v>0</x:v>
      </x:c>
      <x:c r="J22" s="98" t="str">
        <x:v>Clarified stream</x:v>
      </x:c>
      <x:c r="K22" s="98" t="str">
        <x:v>Calculated from the selected Phase 3 scenario.</x:v>
      </x:c>
      <x:c r="L22" s="98" t="n">
        <x:v>4</x:v>
      </x:c>
      <x:c r="M22" s="99" t="b">
        <x:v>1</x:v>
      </x:c>
    </x:row>
    <x:row r="23">
      <x:c r="A23" s="82" t="str">
        <x:v>acidification</x:v>
      </x:c>
      <x:c r="B23" s="82" t="str">
        <x:v>Pure acid demand</x:v>
      </x:c>
      <x:c r="C23" s="82" t="str">
        <x:v>phase4_acid_demand</x:v>
      </x:c>
      <x:c r="D23" s="80"/>
      <x:c r="E23" s="80" t="str">
        <x:v>kg/hr</x:v>
      </x:c>
      <x:c r="F23" s="80" t="n">
        <x:v>0</x:v>
      </x:c>
      <x:c r="G23" s="80"/>
      <x:c r="H23" s="80" t="str">
        <x:v>none</x:v>
      </x:c>
      <x:c r="I23" s="89" t="b">
        <x:v>0</x:v>
      </x:c>
      <x:c r="J23" s="100" t="str">
        <x:v>Phase4Parameters</x:v>
      </x:c>
      <x:c r="K23" s="100" t="str">
        <x:v>Calculated from the selected acid-demand method.</x:v>
      </x:c>
      <x:c r="L23" s="100" t="n">
        <x:v>4</x:v>
      </x:c>
      <x:c r="M23" s="101" t="b">
        <x:v>1</x:v>
      </x:c>
    </x:row>
    <x:row r="24">
      <x:c r="A24" s="82" t="str">
        <x:v>protein_precipitation</x:v>
      </x:c>
      <x:c r="B24" s="82" t="str">
        <x:v>Precipitation recovery</x:v>
      </x:c>
      <x:c r="C24" s="82" t="str">
        <x:v>phase4_precipitation_recovery</x:v>
      </x:c>
      <x:c r="D24" s="80"/>
      <x:c r="E24" s="80" t="str">
        <x:v>fraction</x:v>
      </x:c>
      <x:c r="F24" s="80" t="n">
        <x:v>0</x:v>
      </x:c>
      <x:c r="G24" s="80" t="n">
        <x:v>1</x:v>
      </x:c>
      <x:c r="H24" s="80" t="str">
        <x:v>none</x:v>
      </x:c>
      <x:c r="I24" s="89" t="b">
        <x:v>0</x:v>
      </x:c>
      <x:c r="J24" s="100" t="str">
        <x:v>Phase4Parameters</x:v>
      </x:c>
      <x:c r="K24" s="100" t="str">
        <x:v>Empirical pool transfer, not molecular protein protonation.</x:v>
      </x:c>
      <x:c r="L24" s="100" t="n">
        <x:v>4</x:v>
      </x:c>
      <x:c r="M24" s="101" t="b">
        <x:v>1</x:v>
      </x:c>
    </x:row>
    <x:row r="25">
      <x:c r="A25" s="82" t="str">
        <x:v>heat_coagulation</x:v>
      </x:c>
      <x:c r="B25" s="82" t="str">
        <x:v>Heat coagulation</x:v>
      </x:c>
      <x:c r="C25" s="82" t="str">
        <x:v>phase4_heat_coagulation</x:v>
      </x:c>
      <x:c r="D25" s="80"/>
      <x:c r="E25" s="80" t="str">
        <x:v>fraction</x:v>
      </x:c>
      <x:c r="F25" s="80" t="n">
        <x:v>0</x:v>
      </x:c>
      <x:c r="G25" s="80" t="n">
        <x:v>1</x:v>
      </x:c>
      <x:c r="H25" s="80" t="str">
        <x:v>none</x:v>
      </x:c>
      <x:c r="I25" s="89" t="b">
        <x:v>0</x:v>
      </x:c>
      <x:c r="J25" s="100" t="str">
        <x:v>Phase4Parameters</x:v>
      </x:c>
      <x:c r="K25" s="100" t="str">
        <x:v>Empirical heat-recovered protein pool.</x:v>
      </x:c>
      <x:c r="L25" s="100" t="n">
        <x:v>4</x:v>
      </x:c>
      <x:c r="M25" s="101" t="b">
        <x:v>1</x:v>
      </x:c>
    </x:row>
    <x:row r="26">
      <x:c r="A26" s="82" t="str">
        <x:v>protein_separation</x:v>
      </x:c>
      <x:c r="B26" s="82" t="str">
        <x:v>Protein separator</x:v>
      </x:c>
      <x:c r="C26" s="82" t="str">
        <x:v>phase4_separator</x:v>
      </x:c>
      <x:c r="D26" s="80"/>
      <x:c r="E26" s="80" t="str">
        <x:v>fraction</x:v>
      </x:c>
      <x:c r="F26" s="80" t="n">
        <x:v>0</x:v>
      </x:c>
      <x:c r="G26" s="80" t="n">
        <x:v>1</x:v>
      </x:c>
      <x:c r="H26" s="80" t="str">
        <x:v>none</x:v>
      </x:c>
      <x:c r="I26" s="89" t="b">
        <x:v>0</x:v>
      </x:c>
      <x:c r="J26" s="100" t="str">
        <x:v>Phase4Parameters</x:v>
      </x:c>
      <x:c r="K26" s="100" t="str">
        <x:v>Physical capture and cake-moisture allocation.</x:v>
      </x:c>
      <x:c r="L26" s="100" t="n">
        <x:v>4</x:v>
      </x:c>
      <x:c r="M26" s="101" t="b">
        <x:v>1</x:v>
      </x:c>
    </x:row>
    <x:row r="27">
      <x:c r="A27" s="82" t="str">
        <x:v>cake_washing</x:v>
      </x:c>
      <x:c r="B27" s="82" t="str">
        <x:v>Cake washing</x:v>
      </x:c>
      <x:c r="C27" s="82" t="str">
        <x:v>phase4_cake_washing</x:v>
      </x:c>
      <x:c r="D27" s="80"/>
      <x:c r="E27" s="80" t="str">
        <x:v>kg/kg dry cake</x:v>
      </x:c>
      <x:c r="F27" s="80" t="n">
        <x:v>0</x:v>
      </x:c>
      <x:c r="G27" s="80"/>
      <x:c r="H27" s="80" t="str">
        <x:v>none</x:v>
      </x:c>
      <x:c r="I27" s="89" t="b">
        <x:v>0</x:v>
      </x:c>
      <x:c r="J27" s="100" t="str">
        <x:v>Phase4Parameters</x:v>
      </x:c>
      <x:c r="K27" s="100" t="str">
        <x:v>Optional single-stage displacement wash.</x:v>
      </x:c>
      <x:c r="L27" s="100" t="n">
        <x:v>4</x:v>
      </x:c>
      <x:c r="M27" s="101" t="b">
        <x:v>1</x:v>
      </x:c>
    </x:row>
    <x:row r="28">
      <x:c r="A28" s="82" t="str">
        <x:v>dewatering</x:v>
      </x:c>
      <x:c r="B28" s="82" t="str">
        <x:v>Mechanical dewatering</x:v>
      </x:c>
      <x:c r="C28" s="82" t="str">
        <x:v>phase4_dewatering</x:v>
      </x:c>
      <x:c r="D28" s="80"/>
      <x:c r="E28" s="80" t="str">
        <x:v>fraction solids</x:v>
      </x:c>
      <x:c r="F28" s="80" t="n">
        <x:v>0</x:v>
      </x:c>
      <x:c r="G28" s="80" t="n">
        <x:v>1</x:v>
      </x:c>
      <x:c r="H28" s="80" t="str">
        <x:v>none</x:v>
      </x:c>
      <x:c r="I28" s="89" t="b">
        <x:v>0</x:v>
      </x:c>
      <x:c r="J28" s="100" t="str">
        <x:v>Phase4Parameters</x:v>
      </x:c>
      <x:c r="K28" s="100" t="str">
        <x:v>Raises cake solids before drying when required.</x:v>
      </x:c>
      <x:c r="L28" s="100" t="n">
        <x:v>4</x:v>
      </x:c>
      <x:c r="M28" s="101" t="b">
        <x:v>1</x:v>
      </x:c>
    </x:row>
    <x:row r="29">
      <x:c r="A29" s="82" t="str">
        <x:v>drying</x:v>
      </x:c>
      <x:c r="B29" s="82" t="str">
        <x:v>Low-temperature belt drying</x:v>
      </x:c>
      <x:c r="C29" s="82" t="str">
        <x:v>phase4_drying</x:v>
      </x:c>
      <x:c r="D29" s="80"/>
      <x:c r="E29" s="80" t="str">
        <x:v>kg/hr</x:v>
      </x:c>
      <x:c r="F29" s="80" t="n">
        <x:v>0</x:v>
      </x:c>
      <x:c r="G29" s="80"/>
      <x:c r="H29" s="80" t="str">
        <x:v>none</x:v>
      </x:c>
      <x:c r="I29" s="89" t="b">
        <x:v>0</x:v>
      </x:c>
      <x:c r="J29" s="100" t="str">
        <x:v>Phase4Parameters</x:v>
      </x:c>
      <x:c r="K29" s="100" t="str">
        <x:v>Utility-only air and no equipment CAPEX correlation.</x:v>
      </x:c>
      <x:c r="L29" s="100" t="n">
        <x:v>4</x:v>
      </x:c>
      <x:c r="M29" s="101" t="b">
        <x:v>1</x:v>
      </x:c>
    </x:row>
    <x:row r="30">
      <x:c r="A30" s="82" t="str">
        <x:v>neutralization</x:v>
      </x:c>
      <x:c r="B30" s="82" t="str">
        <x:v>Residual-liquid conditioning</x:v>
      </x:c>
      <x:c r="C30" s="82" t="str">
        <x:v>phase4_neutralization</x:v>
      </x:c>
      <x:c r="D30" s="80"/>
      <x:c r="E30" s="80" t="str">
        <x:v>kg/hr</x:v>
      </x:c>
      <x:c r="F30" s="80" t="n">
        <x:v>0</x:v>
      </x:c>
      <x:c r="G30" s="80"/>
      <x:c r="H30" s="80" t="str">
        <x:v>none</x:v>
      </x:c>
      <x:c r="I30" s="89" t="b">
        <x:v>0</x:v>
      </x:c>
      <x:c r="J30" s="100" t="str">
        <x:v>Phase4Parameters</x:v>
      </x:c>
      <x:c r="K30" s="100" t="str">
        <x:v>Molecular salt bookkeeping with pH as metadata.</x:v>
      </x:c>
      <x:c r="L30" s="100" t="n">
        <x:v>4</x:v>
      </x:c>
      <x:c r="M30" s="101" t="b">
        <x:v>1</x:v>
      </x:c>
    </x:row>
    <x:row r="31">
      <x:c r="A31" s="82" t="str">
        <x:v>protein_quality</x:v>
      </x:c>
      <x:c r="B31" s="82" t="str">
        <x:v>Protein product quality</x:v>
      </x:c>
      <x:c r="C31" s="82" t="str">
        <x:v>phase4_product_quality</x:v>
      </x:c>
      <x:c r="D31" s="80"/>
      <x:c r="E31" s="80" t="str">
        <x:v>fraction</x:v>
      </x:c>
      <x:c r="F31" s="80" t="n">
        <x:v>0</x:v>
      </x:c>
      <x:c r="G31" s="80" t="n">
        <x:v>1</x:v>
      </x:c>
      <x:c r="H31" s="80" t="str">
        <x:v>none</x:v>
      </x:c>
      <x:c r="I31" s="89" t="b">
        <x:v>0</x:v>
      </x:c>
      <x:c r="J31" s="100" t="str">
        <x:v>Calculated</x:v>
      </x:c>
      <x:c r="K31" s="100" t="str">
        <x:v>Classification remains unclassified pending external criteria.</x:v>
      </x:c>
      <x:c r="L31" s="100" t="n">
        <x:v>4</x:v>
      </x:c>
      <x:c r="M31" s="101" t="b">
        <x:v>1</x:v>
      </x:c>
    </x:row>
    <x:row r="32">
      <x:c r="A32" s="82" t="str">
        <x:v>protein_alternatives</x:v>
      </x:c>
      <x:c r="B32" s="82" t="str">
        <x:v>Inactive alternatives</x:v>
      </x:c>
      <x:c r="C32" s="82" t="str">
        <x:v>phase4_alternatives</x:v>
      </x:c>
      <x:c r="D32" s="80"/>
      <x:c r="E32" s="80" t="str">
        <x:v>text</x:v>
      </x:c>
      <x:c r="F32" s="80"/>
      <x:c r="G32" s="80"/>
      <x:c r="H32" s="80" t="str">
        <x:v>none</x:v>
      </x:c>
      <x:c r="I32" s="89" t="b">
        <x:v>0</x:v>
      </x:c>
      <x:c r="J32" s="100" t="str">
        <x:v>Missing data</x:v>
      </x:c>
      <x:c r="K32" s="100" t="str">
        <x:v>PR4 fermentation, PR5 CO2, and PR6 ultrafiltration are inactive.</x:v>
      </x:c>
      <x:c r="L32" s="100" t="n">
        <x:v>4</x:v>
      </x:c>
      <x:c r="M32" s="101" t="b">
        <x:v>0</x:v>
      </x:c>
    </x:row>
  </x:sheetData>
  <x:dataValidations count="3">
    <x:dataValidation type="list" sqref="H2:H17">
      <x:formula1>"none,uniform,triangular,normal,lognormal"</x:formula1>
    </x:dataValidation>
    <x:dataValidation type="list" sqref="I2:I17">
      <x:formula1>"true,false"</x:formula1>
    </x:dataValidation>
    <x:dataValidation type="list" sqref="M2:M17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5a9cb32a422468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7" hidden="0" customWidth="1"/>
    <x:col min="3" max="3" width="4.25" hidden="0" customWidth="1"/>
    <x:col min="4" max="4" width="8.75" hidden="0" customWidth="1"/>
    <x:col min="5" max="5" width="6.880000114440918" hidden="0" customWidth="1"/>
    <x:col min="6" max="6" width="20.1299991607666" hidden="0" customWidth="1"/>
    <x:col min="7" max="7" width="12.25" hidden="0" customWidth="1"/>
    <x:col min="8" max="8" width="16" hidden="0" customWidth="1"/>
    <x:col min="9" max="9" width="16.6299991607666" hidden="0" customWidth="1"/>
    <x:col min="10" max="10" width="10.130000114440918" hidden="0" customWidth="1"/>
    <x:col min="11" max="11" width="7.75" hidden="0" customWidth="1"/>
    <x:col min="12" max="12" width="58" hidden="0" customWidth="1"/>
  </x:cols>
  <x:sheetData>
    <x:row r="1">
      <x:c r="A1" s="67" t="str">
        <x:v>sample_id</x:v>
      </x:c>
      <x:c r="B1" s="67" t="str">
        <x:v>scenario</x:v>
      </x:c>
      <x:c r="C1" s="67" t="str">
        <x:v>year</x:v>
      </x:c>
      <x:c r="D1" s="67" t="str">
        <x:v>month</x:v>
      </x:c>
      <x:c r="E1" s="67" t="str">
        <x:v>season</x:v>
      </x:c>
      <x:c r="F1" s="67" t="str">
        <x:v>total_wet_grass_mass_kg</x:v>
      </x:c>
      <x:c r="G1" s="67" t="str">
        <x:v>operating_days</x:v>
      </x:c>
      <x:c r="H1" s="67" t="str">
        <x:v>average_flow_kg_hr</x:v>
      </x:c>
      <x:c r="I1" s="67" t="str">
        <x:v>measurement_status</x:v>
      </x:c>
      <x:c r="J1" s="67" t="str">
        <x:v>source_class</x:v>
      </x:c>
      <x:c r="K1" s="67" t="str">
        <x:v>reference</x:v>
      </x:c>
      <x:c r="L1" s="67" t="str">
        <x:v>comment</x:v>
      </x:c>
    </x:row>
    <x:row r="2">
      <x:c r="A2" s="61" t="str">
        <x:v>grass_baseline</x:v>
      </x:c>
      <x:c r="B2" s="61" t="str">
        <x:v>All</x:v>
      </x:c>
      <x:c r="C2" s="61" t="n">
        <x:v>2026</x:v>
      </x:c>
      <x:c r="D2" s="61" t="str">
        <x:v>January</x:v>
      </x:c>
      <x:c r="E2" s="61" t="str">
        <x:v>Winter</x:v>
      </x:c>
      <x:c r="F2" s="71" t="n">
        <x:v>165000</x:v>
      </x:c>
      <x:c r="G2" s="71" t="n">
        <x:v>31</x:v>
      </x:c>
      <x:c r="H2" s="72" t="n">
        <x:f>F2/(G2*24)</x:f>
        <x:v>221.7741935483871</x:v>
      </x:c>
      <x:c r="I2" s="61" t="str">
        <x:v>assumed</x:v>
      </x:c>
      <x:c r="J2" s="73" t="str">
        <x:v>E</x:v>
      </x:c>
      <x:c r="K2" s="61"/>
      <x:c r="L2" s="61" t="str">
        <x:v>Structural seasonal value only; replace with measured project availability.</x:v>
      </x:c>
    </x:row>
    <x:row r="3">
      <x:c r="A3" s="61" t="str">
        <x:v>grass_baseline</x:v>
      </x:c>
      <x:c r="B3" s="61" t="str">
        <x:v>All</x:v>
      </x:c>
      <x:c r="C3" s="61" t="n">
        <x:v>2026</x:v>
      </x:c>
      <x:c r="D3" s="61" t="str">
        <x:v>February</x:v>
      </x:c>
      <x:c r="E3" s="61" t="str">
        <x:v>Winter</x:v>
      </x:c>
      <x:c r="F3" s="71" t="n">
        <x:v>150000</x:v>
      </x:c>
      <x:c r="G3" s="71" t="n">
        <x:v>28</x:v>
      </x:c>
      <x:c r="H3" s="72" t="n">
        <x:f>F3/(G3*24)</x:f>
        <x:v>223.21428571428572</x:v>
      </x:c>
      <x:c r="I3" s="61" t="str">
        <x:v>assumed</x:v>
      </x:c>
      <x:c r="J3" s="73" t="str">
        <x:v>E</x:v>
      </x:c>
      <x:c r="K3" s="61"/>
      <x:c r="L3" s="61" t="str">
        <x:v>Structural seasonal value only; replace with measured project availability.</x:v>
      </x:c>
    </x:row>
    <x:row r="4">
      <x:c r="A4" s="61" t="str">
        <x:v>grass_baseline</x:v>
      </x:c>
      <x:c r="B4" s="61" t="str">
        <x:v>All</x:v>
      </x:c>
      <x:c r="C4" s="61" t="n">
        <x:v>2026</x:v>
      </x:c>
      <x:c r="D4" s="61" t="str">
        <x:v>March</x:v>
      </x:c>
      <x:c r="E4" s="61" t="str">
        <x:v>Spring</x:v>
      </x:c>
      <x:c r="F4" s="71" t="n">
        <x:v>190000</x:v>
      </x:c>
      <x:c r="G4" s="71" t="n">
        <x:v>31</x:v>
      </x:c>
      <x:c r="H4" s="72" t="n">
        <x:f>F4/(G4*24)</x:f>
        <x:v>255.3763440860215</x:v>
      </x:c>
      <x:c r="I4" s="61" t="str">
        <x:v>assumed</x:v>
      </x:c>
      <x:c r="J4" s="73" t="str">
        <x:v>E</x:v>
      </x:c>
      <x:c r="K4" s="61"/>
      <x:c r="L4" s="61" t="str">
        <x:v>Structural seasonal value only; replace with measured project availability.</x:v>
      </x:c>
    </x:row>
    <x:row r="5">
      <x:c r="A5" s="61" t="str">
        <x:v>grass_baseline</x:v>
      </x:c>
      <x:c r="B5" s="61" t="str">
        <x:v>All</x:v>
      </x:c>
      <x:c r="C5" s="61" t="n">
        <x:v>2026</x:v>
      </x:c>
      <x:c r="D5" s="61" t="str">
        <x:v>April</x:v>
      </x:c>
      <x:c r="E5" s="61" t="str">
        <x:v>Spring</x:v>
      </x:c>
      <x:c r="F5" s="71" t="n">
        <x:v>250000</x:v>
      </x:c>
      <x:c r="G5" s="71" t="n">
        <x:v>30</x:v>
      </x:c>
      <x:c r="H5" s="72" t="n">
        <x:f>F5/(G5*24)</x:f>
        <x:v>347.22222222222223</x:v>
      </x:c>
      <x:c r="I5" s="61" t="str">
        <x:v>assumed</x:v>
      </x:c>
      <x:c r="J5" s="73" t="str">
        <x:v>E</x:v>
      </x:c>
      <x:c r="K5" s="61"/>
      <x:c r="L5" s="61" t="str">
        <x:v>Structural seasonal value only; replace with measured project availability.</x:v>
      </x:c>
    </x:row>
    <x:row r="6">
      <x:c r="A6" s="61" t="str">
        <x:v>grass_baseline</x:v>
      </x:c>
      <x:c r="B6" s="61" t="str">
        <x:v>All</x:v>
      </x:c>
      <x:c r="C6" s="61" t="n">
        <x:v>2026</x:v>
      </x:c>
      <x:c r="D6" s="61" t="str">
        <x:v>May</x:v>
      </x:c>
      <x:c r="E6" s="61" t="str">
        <x:v>Spring</x:v>
      </x:c>
      <x:c r="F6" s="71" t="n">
        <x:v>320000</x:v>
      </x:c>
      <x:c r="G6" s="71" t="n">
        <x:v>31</x:v>
      </x:c>
      <x:c r="H6" s="72" t="n">
        <x:f>F6/(G6*24)</x:f>
        <x:v>430.10752688172045</x:v>
      </x:c>
      <x:c r="I6" s="61" t="str">
        <x:v>assumed</x:v>
      </x:c>
      <x:c r="J6" s="73" t="str">
        <x:v>E</x:v>
      </x:c>
      <x:c r="K6" s="61"/>
      <x:c r="L6" s="61" t="str">
        <x:v>Structural seasonal value only; replace with measured project availability.</x:v>
      </x:c>
    </x:row>
    <x:row r="7">
      <x:c r="A7" s="61" t="str">
        <x:v>grass_baseline</x:v>
      </x:c>
      <x:c r="B7" s="61" t="str">
        <x:v>All</x:v>
      </x:c>
      <x:c r="C7" s="61" t="n">
        <x:v>2026</x:v>
      </x:c>
      <x:c r="D7" s="61" t="str">
        <x:v>June</x:v>
      </x:c>
      <x:c r="E7" s="61" t="str">
        <x:v>Summer</x:v>
      </x:c>
      <x:c r="F7" s="71" t="n">
        <x:v>380000</x:v>
      </x:c>
      <x:c r="G7" s="71" t="n">
        <x:v>30</x:v>
      </x:c>
      <x:c r="H7" s="72" t="n">
        <x:f>F7/(G7*24)</x:f>
        <x:v>527.7777777777778</x:v>
      </x:c>
      <x:c r="I7" s="61" t="str">
        <x:v>assumed</x:v>
      </x:c>
      <x:c r="J7" s="73" t="str">
        <x:v>E</x:v>
      </x:c>
      <x:c r="K7" s="61"/>
      <x:c r="L7" s="61" t="str">
        <x:v>Structural seasonal value only; replace with measured project availability.</x:v>
      </x:c>
    </x:row>
    <x:row r="8">
      <x:c r="A8" s="61" t="str">
        <x:v>grass_baseline</x:v>
      </x:c>
      <x:c r="B8" s="61" t="str">
        <x:v>All</x:v>
      </x:c>
      <x:c r="C8" s="61" t="n">
        <x:v>2026</x:v>
      </x:c>
      <x:c r="D8" s="61" t="str">
        <x:v>July</x:v>
      </x:c>
      <x:c r="E8" s="61" t="str">
        <x:v>Summer</x:v>
      </x:c>
      <x:c r="F8" s="71" t="n">
        <x:v>420000</x:v>
      </x:c>
      <x:c r="G8" s="71" t="n">
        <x:v>31</x:v>
      </x:c>
      <x:c r="H8" s="72" t="n">
        <x:f>F8/(G8*24)</x:f>
        <x:v>564.516129032258</x:v>
      </x:c>
      <x:c r="I8" s="61" t="str">
        <x:v>assumed</x:v>
      </x:c>
      <x:c r="J8" s="73" t="str">
        <x:v>E</x:v>
      </x:c>
      <x:c r="K8" s="61"/>
      <x:c r="L8" s="61" t="str">
        <x:v>Structural seasonal value only; replace with measured project availability.</x:v>
      </x:c>
    </x:row>
    <x:row r="9">
      <x:c r="A9" s="61" t="str">
        <x:v>grass_baseline</x:v>
      </x:c>
      <x:c r="B9" s="61" t="str">
        <x:v>All</x:v>
      </x:c>
      <x:c r="C9" s="61" t="n">
        <x:v>2026</x:v>
      </x:c>
      <x:c r="D9" s="61" t="str">
        <x:v>August</x:v>
      </x:c>
      <x:c r="E9" s="61" t="str">
        <x:v>Summer</x:v>
      </x:c>
      <x:c r="F9" s="71" t="n">
        <x:v>400000</x:v>
      </x:c>
      <x:c r="G9" s="71" t="n">
        <x:v>31</x:v>
      </x:c>
      <x:c r="H9" s="72" t="n">
        <x:f>F9/(G9*24)</x:f>
        <x:v>537.6344086021505</x:v>
      </x:c>
      <x:c r="I9" s="61" t="str">
        <x:v>assumed</x:v>
      </x:c>
      <x:c r="J9" s="73" t="str">
        <x:v>E</x:v>
      </x:c>
      <x:c r="K9" s="61"/>
      <x:c r="L9" s="61" t="str">
        <x:v>Structural seasonal value only; replace with measured project availability.</x:v>
      </x:c>
    </x:row>
    <x:row r="10">
      <x:c r="A10" s="61" t="str">
        <x:v>grass_baseline</x:v>
      </x:c>
      <x:c r="B10" s="61" t="str">
        <x:v>All</x:v>
      </x:c>
      <x:c r="C10" s="61" t="n">
        <x:v>2026</x:v>
      </x:c>
      <x:c r="D10" s="61" t="str">
        <x:v>September</x:v>
      </x:c>
      <x:c r="E10" s="61" t="str">
        <x:v>Autumn</x:v>
      </x:c>
      <x:c r="F10" s="71" t="n">
        <x:v>330000</x:v>
      </x:c>
      <x:c r="G10" s="71" t="n">
        <x:v>30</x:v>
      </x:c>
      <x:c r="H10" s="72" t="n">
        <x:f>F10/(G10*24)</x:f>
        <x:v>458.3333333333333</x:v>
      </x:c>
      <x:c r="I10" s="61" t="str">
        <x:v>assumed</x:v>
      </x:c>
      <x:c r="J10" s="73" t="str">
        <x:v>E</x:v>
      </x:c>
      <x:c r="K10" s="61"/>
      <x:c r="L10" s="61" t="str">
        <x:v>Structural seasonal value only; replace with measured project availability.</x:v>
      </x:c>
    </x:row>
    <x:row r="11">
      <x:c r="A11" s="61" t="str">
        <x:v>grass_baseline</x:v>
      </x:c>
      <x:c r="B11" s="61" t="str">
        <x:v>All</x:v>
      </x:c>
      <x:c r="C11" s="61" t="n">
        <x:v>2026</x:v>
      </x:c>
      <x:c r="D11" s="61" t="str">
        <x:v>October</x:v>
      </x:c>
      <x:c r="E11" s="61" t="str">
        <x:v>Autumn</x:v>
      </x:c>
      <x:c r="F11" s="71" t="n">
        <x:v>260000</x:v>
      </x:c>
      <x:c r="G11" s="71" t="n">
        <x:v>31</x:v>
      </x:c>
      <x:c r="H11" s="72" t="n">
        <x:f>F11/(G11*24)</x:f>
        <x:v>349.4623655913978</x:v>
      </x:c>
      <x:c r="I11" s="61" t="str">
        <x:v>assumed</x:v>
      </x:c>
      <x:c r="J11" s="73" t="str">
        <x:v>E</x:v>
      </x:c>
      <x:c r="K11" s="61"/>
      <x:c r="L11" s="61" t="str">
        <x:v>Structural seasonal value only; replace with measured project availability.</x:v>
      </x:c>
    </x:row>
    <x:row r="12">
      <x:c r="A12" s="61" t="str">
        <x:v>grass_baseline</x:v>
      </x:c>
      <x:c r="B12" s="61" t="str">
        <x:v>All</x:v>
      </x:c>
      <x:c r="C12" s="61" t="n">
        <x:v>2026</x:v>
      </x:c>
      <x:c r="D12" s="61" t="str">
        <x:v>November</x:v>
      </x:c>
      <x:c r="E12" s="61" t="str">
        <x:v>Autumn</x:v>
      </x:c>
      <x:c r="F12" s="71" t="n">
        <x:v>200000</x:v>
      </x:c>
      <x:c r="G12" s="71" t="n">
        <x:v>30</x:v>
      </x:c>
      <x:c r="H12" s="72" t="n">
        <x:f>F12/(G12*24)</x:f>
        <x:v>277.77777777777777</x:v>
      </x:c>
      <x:c r="I12" s="61" t="str">
        <x:v>assumed</x:v>
      </x:c>
      <x:c r="J12" s="73" t="str">
        <x:v>E</x:v>
      </x:c>
      <x:c r="K12" s="61"/>
      <x:c r="L12" s="61" t="str">
        <x:v>Structural seasonal value only; replace with measured project availability.</x:v>
      </x:c>
    </x:row>
    <x:row r="13">
      <x:c r="A13" s="61" t="str">
        <x:v>grass_baseline</x:v>
      </x:c>
      <x:c r="B13" s="61" t="str">
        <x:v>All</x:v>
      </x:c>
      <x:c r="C13" s="61" t="n">
        <x:v>2026</x:v>
      </x:c>
      <x:c r="D13" s="61" t="str">
        <x:v>December</x:v>
      </x:c>
      <x:c r="E13" s="61" t="str">
        <x:v>Winter</x:v>
      </x:c>
      <x:c r="F13" s="71" t="n">
        <x:v>170000</x:v>
      </x:c>
      <x:c r="G13" s="71" t="n">
        <x:v>31</x:v>
      </x:c>
      <x:c r="H13" s="72" t="n">
        <x:f>F13/(G13*24)</x:f>
        <x:v>228.49462365591398</x:v>
      </x:c>
      <x:c r="I13" s="61" t="str">
        <x:v>assumed</x:v>
      </x:c>
      <x:c r="J13" s="73" t="str">
        <x:v>E</x:v>
      </x:c>
      <x:c r="K13" s="61"/>
      <x:c r="L13" s="61" t="str">
        <x:v>Structural seasonal value only; replace with measured project availability.</x:v>
      </x:c>
    </x:row>
  </x:sheetData>
  <x:pageMargins left="0.7" right="0.7" top="0.75" bottom="0.75" header="0.3" footer="0.3"/>
  <x:tableParts count="1">
    <x:tablePart xmlns:r="http://schemas.openxmlformats.org/officeDocument/2006/relationships" r:id="R22ce720df9a74bf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27.25" hidden="0" customWidth="1"/>
    <x:col min="3" max="3" width="12.130000114440918" hidden="0" customWidth="1"/>
    <x:col min="4" max="4" width="11" hidden="0" customWidth="1"/>
    <x:col min="5" max="5" width="17.5" hidden="0" customWidth="1"/>
    <x:col min="6" max="6" width="12.130000114440918" hidden="0" customWidth="1"/>
    <x:col min="7" max="7" width="11.5" hidden="0" customWidth="1"/>
    <x:col min="8" max="8" width="7" hidden="0" customWidth="1"/>
    <x:col min="9" max="9" width="5.630000114440918" hidden="0" customWidth="1"/>
    <x:col min="10" max="10" width="7.880000114440918" hidden="0" customWidth="1"/>
    <x:col min="11" max="11" width="8.25" hidden="0" customWidth="1"/>
    <x:col min="12" max="12" width="9.5" hidden="0" customWidth="1"/>
    <x:col min="13" max="13" width="15.380000114440918" hidden="0" customWidth="1"/>
    <x:col min="14" max="14" width="9.130000114440918" hidden="0" customWidth="1"/>
    <x:col min="15" max="15" width="16.6299991607666" hidden="0" customWidth="1"/>
    <x:col min="16" max="16" width="10.130000114440918" hidden="0" customWidth="1"/>
    <x:col min="17" max="17" width="28" hidden="0" customWidth="1"/>
    <x:col min="18" max="18" width="55" hidden="0" customWidth="1"/>
    <x:col min="19" max="19" width="6.25" hidden="0" customWidth="1"/>
    <x:col min="20" max="20" width="25.6299991607666" hidden="0" customWidth="1"/>
    <x:col min="21" max="21" width="5.130000114440918" hidden="0" customWidth="1"/>
  </x:cols>
  <x:sheetData>
    <x:row r="1">
      <x:c r="A1" s="67" t="str">
        <x:v>name</x:v>
      </x:c>
      <x:c r="B1" s="67" t="str">
        <x:v>python_name</x:v>
      </x:c>
      <x:c r="C1" s="67" t="str">
        <x:v>value</x:v>
      </x:c>
      <x:c r="D1" s="67" t="str">
        <x:v>unit</x:v>
      </x:c>
      <x:c r="E1" s="67" t="str">
        <x:v>basis</x:v>
      </x:c>
      <x:c r="F1" s="67" t="str">
        <x:v>stream</x:v>
      </x:c>
      <x:c r="G1" s="67" t="str">
        <x:v>sample_id</x:v>
      </x:c>
      <x:c r="H1" s="67" t="str">
        <x:v>scenario</x:v>
      </x:c>
      <x:c r="I1" s="67" t="str">
        <x:v>month</x:v>
      </x:c>
      <x:c r="J1" s="67" t="str">
        <x:v>minimum</x:v>
      </x:c>
      <x:c r="K1" s="67" t="str">
        <x:v>maximum</x:v>
      </x:c>
      <x:c r="L1" s="67" t="str">
        <x:v>distribution</x:v>
      </x:c>
      <x:c r="M1" s="67" t="str">
        <x:v>standard_deviation</x:v>
      </x:c>
      <x:c r="N1" s="67" t="str">
        <x:v>data_type</x:v>
      </x:c>
      <x:c r="O1" s="67" t="str">
        <x:v>measurement_status</x:v>
      </x:c>
      <x:c r="P1" s="67" t="str">
        <x:v>source_class</x:v>
      </x:c>
      <x:c r="Q1" s="67" t="str">
        <x:v>reference</x:v>
      </x:c>
      <x:c r="R1" s="67" t="str">
        <x:v>comment</x:v>
      </x:c>
      <x:c r="S1" s="67" t="str">
        <x:v>priority</x:v>
      </x:c>
      <x:c r="T1" s="67" t="str">
        <x:v>allocation_target</x:v>
      </x:c>
      <x:c r="U1" s="67" t="str">
        <x:v>active</x:v>
      </x:c>
    </x:row>
    <x:row r="2">
      <x:c r="A2" s="61" t="str">
        <x:v>Bulk density</x:v>
      </x:c>
      <x:c r="B2" s="61" t="str">
        <x:v>density</x:v>
      </x:c>
      <x:c r="C2" s="62" t="n">
        <x:v>900</x:v>
      </x:c>
      <x:c r="D2" s="61" t="str">
        <x:v>kg/m3</x:v>
      </x:c>
      <x:c r="E2" s="61" t="str">
        <x:v>stream property</x:v>
      </x:c>
      <x:c r="F2" s="61" t="str">
        <x:v>incoming_grass</x:v>
      </x:c>
      <x:c r="G2" s="61" t="str">
        <x:v>grass_baseline</x:v>
      </x:c>
      <x:c r="H2" s="61" t="str">
        <x:v>All</x:v>
      </x:c>
      <x:c r="I2" s="61" t="str">
        <x:v>All</x:v>
      </x:c>
      <x:c r="J2" s="61"/>
      <x:c r="K2" s="61"/>
      <x:c r="L2" s="61" t="str">
        <x:v>none</x:v>
      </x:c>
      <x:c r="M2" s="61"/>
      <x:c r="N2" s="61" t="str">
        <x:v>physical</x:v>
      </x:c>
      <x:c r="O2" s="61" t="str">
        <x:v>assumed</x:v>
      </x:c>
      <x:c r="P2" s="73" t="str">
        <x:v>E</x:v>
      </x:c>
      <x:c r="Q2" s="61"/>
      <x:c r="R2" s="61" t="str">
        <x:v>Structural value for volumetric reporting only.</x:v>
      </x:c>
      <x:c r="S2" s="61" t="n">
        <x:v>10</x:v>
      </x:c>
      <x:c r="T2" s="61"/>
      <x:c r="U2" s="63" t="b">
        <x:v>1</x:v>
      </x:c>
    </x:row>
    <x:row r="3">
      <x:c r="A3" s="61" t="str">
        <x:v>Temperature</x:v>
      </x:c>
      <x:c r="B3" s="61" t="str">
        <x:v>temperature</x:v>
      </x:c>
      <x:c r="C3" s="62" t="n">
        <x:v>20</x:v>
      </x:c>
      <x:c r="D3" s="61" t="str">
        <x:v>degC</x:v>
      </x:c>
      <x:c r="E3" s="61" t="str">
        <x:v>stream property</x:v>
      </x:c>
      <x:c r="F3" s="61" t="str">
        <x:v>incoming_grass</x:v>
      </x:c>
      <x:c r="G3" s="61" t="str">
        <x:v>grass_baseline</x:v>
      </x:c>
      <x:c r="H3" s="61" t="str">
        <x:v>All</x:v>
      </x:c>
      <x:c r="I3" s="61" t="str">
        <x:v>All</x:v>
      </x:c>
      <x:c r="J3" s="61"/>
      <x:c r="K3" s="61"/>
      <x:c r="L3" s="61" t="str">
        <x:v>none</x:v>
      </x:c>
      <x:c r="M3" s="61"/>
      <x:c r="N3" s="61" t="str">
        <x:v>physical</x:v>
      </x:c>
      <x:c r="O3" s="61" t="str">
        <x:v>assumed</x:v>
      </x:c>
      <x:c r="P3" s="73" t="str">
        <x:v>E</x:v>
      </x:c>
      <x:c r="Q3" s="61"/>
      <x:c r="R3" s="61" t="str">
        <x:v>Structural incoming-grass temperature.</x:v>
      </x:c>
      <x:c r="S3" s="61" t="n">
        <x:v>10</x:v>
      </x:c>
      <x:c r="T3" s="61"/>
      <x:c r="U3" s="63" t="b">
        <x:v>1</x:v>
      </x:c>
    </x:row>
    <x:row r="4">
      <x:c r="A4" s="61" t="str">
        <x:v>Pressure</x:v>
      </x:c>
      <x:c r="B4" s="61" t="str">
        <x:v>pressure</x:v>
      </x:c>
      <x:c r="C4" s="62" t="n">
        <x:v>101325</x:v>
      </x:c>
      <x:c r="D4" s="61" t="str">
        <x:v>Pa</x:v>
      </x:c>
      <x:c r="E4" s="61" t="str">
        <x:v>stream property</x:v>
      </x:c>
      <x:c r="F4" s="61" t="str">
        <x:v>incoming_grass</x:v>
      </x:c>
      <x:c r="G4" s="61" t="str">
        <x:v>grass_baseline</x:v>
      </x:c>
      <x:c r="H4" s="61" t="str">
        <x:v>All</x:v>
      </x:c>
      <x:c r="I4" s="61" t="str">
        <x:v>All</x:v>
      </x:c>
      <x:c r="J4" s="61"/>
      <x:c r="K4" s="61"/>
      <x:c r="L4" s="61" t="str">
        <x:v>none</x:v>
      </x:c>
      <x:c r="M4" s="61"/>
      <x:c r="N4" s="61" t="str">
        <x:v>physical</x:v>
      </x:c>
      <x:c r="O4" s="61" t="str">
        <x:v>assumed</x:v>
      </x:c>
      <x:c r="P4" s="73" t="str">
        <x:v>E</x:v>
      </x:c>
      <x:c r="Q4" s="61"/>
      <x:c r="R4" s="61" t="str">
        <x:v>Atmospheric structural value.</x:v>
      </x:c>
      <x:c r="S4" s="61" t="n">
        <x:v>10</x:v>
      </x:c>
      <x:c r="T4" s="61"/>
      <x:c r="U4" s="63" t="b">
        <x:v>1</x:v>
      </x:c>
    </x:row>
    <x:row r="5">
      <x:c r="A5" s="61" t="str">
        <x:v>pH</x:v>
      </x:c>
      <x:c r="B5" s="61" t="str">
        <x:v>ph</x:v>
      </x:c>
      <x:c r="C5" s="62" t="n">
        <x:v>6.5</x:v>
      </x:c>
      <x:c r="D5" s="61" t="str">
        <x:v>pH</x:v>
      </x:c>
      <x:c r="E5" s="61" t="str">
        <x:v>stream property</x:v>
      </x:c>
      <x:c r="F5" s="61" t="str">
        <x:v>incoming_grass</x:v>
      </x:c>
      <x:c r="G5" s="61" t="str">
        <x:v>grass_baseline</x:v>
      </x:c>
      <x:c r="H5" s="61" t="str">
        <x:v>All</x:v>
      </x:c>
      <x:c r="I5" s="61" t="str">
        <x:v>All</x:v>
      </x:c>
      <x:c r="J5" s="61"/>
      <x:c r="K5" s="61"/>
      <x:c r="L5" s="61" t="str">
        <x:v>none</x:v>
      </x:c>
      <x:c r="M5" s="61"/>
      <x:c r="N5" s="61" t="str">
        <x:v>physical</x:v>
      </x:c>
      <x:c r="O5" s="61" t="str">
        <x:v>assumed</x:v>
      </x:c>
      <x:c r="P5" s="73" t="str">
        <x:v>E</x:v>
      </x:c>
      <x:c r="Q5" s="61"/>
      <x:c r="R5" s="61" t="str">
        <x:v>Structural screening value; not used as a grass component.</x:v>
      </x:c>
      <x:c r="S5" s="61" t="n">
        <x:v>10</x:v>
      </x:c>
      <x:c r="T5" s="61"/>
      <x:c r="U5" s="63" t="b">
        <x:v>1</x:v>
      </x:c>
    </x:row>
    <x:row r="6">
      <x:c r="A6" s="61" t="str">
        <x:v>Total solids</x:v>
      </x:c>
      <x:c r="B6" s="61" t="str">
        <x:v>total_solids</x:v>
      </x:c>
      <x:c r="C6" s="62" t="n">
        <x:v>35</x:v>
      </x:c>
      <x:c r="D6" s="61" t="str">
        <x:v>% wet mass</x:v>
      </x:c>
      <x:c r="E6" s="61" t="str">
        <x:v>dry mass</x:v>
      </x:c>
      <x:c r="F6" s="61" t="str">
        <x:v>incoming_grass</x:v>
      </x:c>
      <x:c r="G6" s="61" t="str">
        <x:v>grass_baseline</x:v>
      </x:c>
      <x:c r="H6" s="61" t="str">
        <x:v>All</x:v>
      </x:c>
      <x:c r="I6" s="61" t="str">
        <x:v>All</x:v>
      </x:c>
      <x:c r="J6" s="61"/>
      <x:c r="K6" s="61"/>
      <x:c r="L6" s="61" t="str">
        <x:v>none</x:v>
      </x:c>
      <x:c r="M6" s="61"/>
      <x:c r="N6" s="61" t="str">
        <x:v>aggregate</x:v>
      </x:c>
      <x:c r="O6" s="61" t="str">
        <x:v>assumed</x:v>
      </x:c>
      <x:c r="P6" s="73" t="str">
        <x:v>E</x:v>
      </x:c>
      <x:c r="Q6" s="61"/>
      <x:c r="R6" s="61" t="str">
        <x:v>Consistent with the specification's provisional 60-70% moisture range.</x:v>
      </x:c>
      <x:c r="S6" s="61" t="n">
        <x:v>10</x:v>
      </x:c>
      <x:c r="T6" s="61"/>
      <x:c r="U6" s="63" t="b">
        <x:v>1</x:v>
      </x:c>
    </x:row>
    <x:row r="7">
      <x:c r="A7" s="61" t="str">
        <x:v>Volatile solids</x:v>
      </x:c>
      <x:c r="B7" s="61" t="str">
        <x:v>volatile_solids</x:v>
      </x:c>
      <x:c r="C7" s="62"/>
      <x:c r="D7" s="61" t="str">
        <x:v>% TS</x:v>
      </x:c>
      <x:c r="E7" s="61" t="str">
        <x:v>dry mass</x:v>
      </x:c>
      <x:c r="F7" s="61" t="str">
        <x:v>incoming_grass</x:v>
      </x:c>
      <x:c r="G7" s="61" t="str">
        <x:v>grass_baseline</x:v>
      </x:c>
      <x:c r="H7" s="61" t="str">
        <x:v>All</x:v>
      </x:c>
      <x:c r="I7" s="61" t="str">
        <x:v>All</x:v>
      </x:c>
      <x:c r="J7" s="61"/>
      <x:c r="K7" s="61"/>
      <x:c r="L7" s="61" t="str">
        <x:v>none</x:v>
      </x:c>
      <x:c r="M7" s="61"/>
      <x:c r="N7" s="61" t="str">
        <x:v>aggregate</x:v>
      </x:c>
      <x:c r="O7" s="61" t="str">
        <x:v>not_measured</x:v>
      </x:c>
      <x:c r="P7" s="73" t="str">
        <x:v>E</x:v>
      </x:c>
      <x:c r="Q7" s="61"/>
      <x:c r="R7" s="61" t="str">
        <x:v>Awaiting measured grass data.</x:v>
      </x:c>
      <x:c r="S7" s="61" t="n">
        <x:v>10</x:v>
      </x:c>
      <x:c r="T7" s="61"/>
      <x:c r="U7" s="63" t="b">
        <x:v>1</x:v>
      </x:c>
    </x:row>
    <x:row r="8">
      <x:c r="A8" s="61" t="str">
        <x:v>Cellulose</x:v>
      </x:c>
      <x:c r="B8" s="61" t="str">
        <x:v>cellulose</x:v>
      </x:c>
      <x:c r="C8" s="62" t="n">
        <x:v>0.12</x:v>
      </x:c>
      <x:c r="D8" s="61" t="str">
        <x:v>mass_fraction</x:v>
      </x:c>
      <x:c r="E8" s="61" t="str">
        <x:v>compound mass</x:v>
      </x:c>
      <x:c r="F8" s="61" t="str">
        <x:v>incoming_grass</x:v>
      </x:c>
      <x:c r="G8" s="61" t="str">
        <x:v>grass_baseline</x:v>
      </x:c>
      <x:c r="H8" s="61" t="str">
        <x:v>All</x:v>
      </x:c>
      <x:c r="I8" s="61" t="str">
        <x:v>All</x:v>
      </x:c>
      <x:c r="J8" s="61"/>
      <x:c r="K8" s="61"/>
      <x:c r="L8" s="61" t="str">
        <x:v>none</x:v>
      </x:c>
      <x:c r="M8" s="61"/>
      <x:c r="N8" s="61" t="str">
        <x:v>component</x:v>
      </x:c>
      <x:c r="O8" s="61" t="str">
        <x:v>assumed</x:v>
      </x:c>
      <x:c r="P8" s="73" t="str">
        <x:v>E</x:v>
      </x:c>
      <x:c r="Q8" s="61"/>
      <x:c r="R8" s="61" t="str">
        <x:v>Structural component fraction.</x:v>
      </x:c>
      <x:c r="S8" s="61" t="n">
        <x:v>10</x:v>
      </x:c>
      <x:c r="T8" s="61" t="str">
        <x:v>Cellulose</x:v>
      </x:c>
      <x:c r="U8" s="63" t="b">
        <x:v>1</x:v>
      </x:c>
    </x:row>
    <x:row r="9">
      <x:c r="A9" s="61" t="str">
        <x:v>Hemicellulose</x:v>
      </x:c>
      <x:c r="B9" s="61" t="str">
        <x:v>hemicellulose</x:v>
      </x:c>
      <x:c r="C9" s="62" t="n">
        <x:v>0.07</x:v>
      </x:c>
      <x:c r="D9" s="61" t="str">
        <x:v>mass_fraction</x:v>
      </x:c>
      <x:c r="E9" s="61" t="str">
        <x:v>compound mass</x:v>
      </x:c>
      <x:c r="F9" s="61" t="str">
        <x:v>incoming_grass</x:v>
      </x:c>
      <x:c r="G9" s="61" t="str">
        <x:v>grass_baseline</x:v>
      </x:c>
      <x:c r="H9" s="61" t="str">
        <x:v>All</x:v>
      </x:c>
      <x:c r="I9" s="61" t="str">
        <x:v>All</x:v>
      </x:c>
      <x:c r="J9" s="61"/>
      <x:c r="K9" s="61"/>
      <x:c r="L9" s="61" t="str">
        <x:v>none</x:v>
      </x:c>
      <x:c r="M9" s="61"/>
      <x:c r="N9" s="61" t="str">
        <x:v>component</x:v>
      </x:c>
      <x:c r="O9" s="61" t="str">
        <x:v>assumed</x:v>
      </x:c>
      <x:c r="P9" s="73" t="str">
        <x:v>E</x:v>
      </x:c>
      <x:c r="Q9" s="61"/>
      <x:c r="R9" s="61" t="str">
        <x:v>Structural component fraction.</x:v>
      </x:c>
      <x:c r="S9" s="61" t="n">
        <x:v>10</x:v>
      </x:c>
      <x:c r="T9" s="61" t="str">
        <x:v>Hemicellulose</x:v>
      </x:c>
      <x:c r="U9" s="63" t="b">
        <x:v>1</x:v>
      </x:c>
    </x:row>
    <x:row r="10">
      <x:c r="A10" s="61" t="str">
        <x:v>Lignin</x:v>
      </x:c>
      <x:c r="B10" s="61" t="str">
        <x:v>lignin</x:v>
      </x:c>
      <x:c r="C10" s="62" t="n">
        <x:v>0.04</x:v>
      </x:c>
      <x:c r="D10" s="61" t="str">
        <x:v>mass_fraction</x:v>
      </x:c>
      <x:c r="E10" s="61" t="str">
        <x:v>compound mass</x:v>
      </x:c>
      <x:c r="F10" s="61" t="str">
        <x:v>incoming_grass</x:v>
      </x:c>
      <x:c r="G10" s="61" t="str">
        <x:v>grass_baseline</x:v>
      </x:c>
      <x:c r="H10" s="61" t="str">
        <x:v>All</x:v>
      </x:c>
      <x:c r="I10" s="61" t="str">
        <x:v>All</x:v>
      </x:c>
      <x:c r="J10" s="61"/>
      <x:c r="K10" s="61"/>
      <x:c r="L10" s="61" t="str">
        <x:v>none</x:v>
      </x:c>
      <x:c r="M10" s="61"/>
      <x:c r="N10" s="61" t="str">
        <x:v>component</x:v>
      </x:c>
      <x:c r="O10" s="61" t="str">
        <x:v>assumed</x:v>
      </x:c>
      <x:c r="P10" s="73" t="str">
        <x:v>E</x:v>
      </x:c>
      <x:c r="Q10" s="61"/>
      <x:c r="R10" s="61" t="str">
        <x:v>Structural component fraction.</x:v>
      </x:c>
      <x:c r="S10" s="61" t="n">
        <x:v>10</x:v>
      </x:c>
      <x:c r="T10" s="61" t="str">
        <x:v>Lignin</x:v>
      </x:c>
      <x:c r="U10" s="63" t="b">
        <x:v>1</x:v>
      </x:c>
    </x:row>
    <x:row r="11">
      <x:c r="A11" s="61" t="str">
        <x:v>Pectin</x:v>
      </x:c>
      <x:c r="B11" s="61" t="str">
        <x:v>pectin</x:v>
      </x:c>
      <x:c r="C11" s="62" t="n">
        <x:v>0.015</x:v>
      </x:c>
      <x:c r="D11" s="61" t="str">
        <x:v>mass_fraction</x:v>
      </x:c>
      <x:c r="E11" s="61" t="str">
        <x:v>compound mass</x:v>
      </x:c>
      <x:c r="F11" s="61" t="str">
        <x:v>incoming_grass</x:v>
      </x:c>
      <x:c r="G11" s="61" t="str">
        <x:v>grass_baseline</x:v>
      </x:c>
      <x:c r="H11" s="61" t="str">
        <x:v>All</x:v>
      </x:c>
      <x:c r="I11" s="61" t="str">
        <x:v>All</x:v>
      </x:c>
      <x:c r="J11" s="61"/>
      <x:c r="K11" s="61"/>
      <x:c r="L11" s="61" t="str">
        <x:v>none</x:v>
      </x:c>
      <x:c r="M11" s="61"/>
      <x:c r="N11" s="61" t="str">
        <x:v>component</x:v>
      </x:c>
      <x:c r="O11" s="61" t="str">
        <x:v>assumed</x:v>
      </x:c>
      <x:c r="P11" s="73" t="str">
        <x:v>E</x:v>
      </x:c>
      <x:c r="Q11" s="61"/>
      <x:c r="R11" s="61" t="str">
        <x:v>Structural component fraction.</x:v>
      </x:c>
      <x:c r="S11" s="61" t="n">
        <x:v>10</x:v>
      </x:c>
      <x:c r="T11" s="61" t="str">
        <x:v>Pectin</x:v>
      </x:c>
      <x:c r="U11" s="63" t="b">
        <x:v>1</x:v>
      </x:c>
    </x:row>
    <x:row r="12">
      <x:c r="A12" s="61" t="str">
        <x:v>Starch</x:v>
      </x:c>
      <x:c r="B12" s="61" t="str">
        <x:v>starch</x:v>
      </x:c>
      <x:c r="C12" s="62" t="n">
        <x:v>0.005</x:v>
      </x:c>
      <x:c r="D12" s="61" t="str">
        <x:v>mass_fraction</x:v>
      </x:c>
      <x:c r="E12" s="61" t="str">
        <x:v>compound mass</x:v>
      </x:c>
      <x:c r="F12" s="61" t="str">
        <x:v>incoming_grass</x:v>
      </x:c>
      <x:c r="G12" s="61" t="str">
        <x:v>grass_baseline</x:v>
      </x:c>
      <x:c r="H12" s="61" t="str">
        <x:v>All</x:v>
      </x:c>
      <x:c r="I12" s="61" t="str">
        <x:v>All</x:v>
      </x:c>
      <x:c r="J12" s="61"/>
      <x:c r="K12" s="61"/>
      <x:c r="L12" s="61" t="str">
        <x:v>none</x:v>
      </x:c>
      <x:c r="M12" s="61"/>
      <x:c r="N12" s="61" t="str">
        <x:v>component</x:v>
      </x:c>
      <x:c r="O12" s="61" t="str">
        <x:v>assumed</x:v>
      </x:c>
      <x:c r="P12" s="73" t="str">
        <x:v>E</x:v>
      </x:c>
      <x:c r="Q12" s="61"/>
      <x:c r="R12" s="61" t="str">
        <x:v>Structural component fraction.</x:v>
      </x:c>
      <x:c r="S12" s="61" t="n">
        <x:v>10</x:v>
      </x:c>
      <x:c r="T12" s="61" t="str">
        <x:v>Starch</x:v>
      </x:c>
      <x:c r="U12" s="63" t="b">
        <x:v>1</x:v>
      </x:c>
    </x:row>
    <x:row r="13">
      <x:c r="A13" s="61" t="str">
        <x:v>Entrapped sugars</x:v>
      </x:c>
      <x:c r="B13" s="61" t="str">
        <x:v>entrapped_sugars</x:v>
      </x:c>
      <x:c r="C13" s="62" t="n">
        <x:v>0.01</x:v>
      </x:c>
      <x:c r="D13" s="61" t="str">
        <x:v>mass_fraction</x:v>
      </x:c>
      <x:c r="E13" s="61" t="str">
        <x:v>glucose equivalent</x:v>
      </x:c>
      <x:c r="F13" s="61" t="str">
        <x:v>incoming_grass</x:v>
      </x:c>
      <x:c r="G13" s="61" t="str">
        <x:v>grass_baseline</x:v>
      </x:c>
      <x:c r="H13" s="61" t="str">
        <x:v>All</x:v>
      </x:c>
      <x:c r="I13" s="61" t="str">
        <x:v>All</x:v>
      </x:c>
      <x:c r="J13" s="61"/>
      <x:c r="K13" s="61"/>
      <x:c r="L13" s="61" t="str">
        <x:v>none</x:v>
      </x:c>
      <x:c r="M13" s="61"/>
      <x:c r="N13" s="61" t="str">
        <x:v>component</x:v>
      </x:c>
      <x:c r="O13" s="61" t="str">
        <x:v>assumed</x:v>
      </x:c>
      <x:c r="P13" s="73" t="str">
        <x:v>E</x:v>
      </x:c>
      <x:c r="Q13" s="61"/>
      <x:c r="R13" s="61" t="str">
        <x:v>Empirical pool available for conservative PEF release.</x:v>
      </x:c>
      <x:c r="S13" s="61" t="n">
        <x:v>10</x:v>
      </x:c>
      <x:c r="T13" s="61" t="str">
        <x:v>EntrappedSugars</x:v>
      </x:c>
      <x:c r="U13" s="63" t="b">
        <x:v>1</x:v>
      </x:c>
    </x:row>
    <x:row r="14">
      <x:c r="A14" s="61" t="str">
        <x:v>Soluble protein</x:v>
      </x:c>
      <x:c r="B14" s="61" t="str">
        <x:v>soluble_protein</x:v>
      </x:c>
      <x:c r="C14" s="62" t="n">
        <x:v>0.005</x:v>
      </x:c>
      <x:c r="D14" s="61" t="str">
        <x:v>mass_fraction</x:v>
      </x:c>
      <x:c r="E14" s="61" t="str">
        <x:v>protein equivalent</x:v>
      </x:c>
      <x:c r="F14" s="61" t="str">
        <x:v>incoming_grass</x:v>
      </x:c>
      <x:c r="G14" s="61" t="str">
        <x:v>grass_baseline</x:v>
      </x:c>
      <x:c r="H14" s="61" t="str">
        <x:v>All</x:v>
      </x:c>
      <x:c r="I14" s="61" t="str">
        <x:v>All</x:v>
      </x:c>
      <x:c r="J14" s="61"/>
      <x:c r="K14" s="61"/>
      <x:c r="L14" s="61" t="str">
        <x:v>none</x:v>
      </x:c>
      <x:c r="M14" s="61"/>
      <x:c r="N14" s="61" t="str">
        <x:v>component</x:v>
      </x:c>
      <x:c r="O14" s="61" t="str">
        <x:v>assumed</x:v>
      </x:c>
      <x:c r="P14" s="73" t="str">
        <x:v>E</x:v>
      </x:c>
      <x:c r="Q14" s="61"/>
      <x:c r="R14" s="61" t="str">
        <x:v>Structural protein pool.</x:v>
      </x:c>
      <x:c r="S14" s="61" t="n">
        <x:v>10</x:v>
      </x:c>
      <x:c r="T14" s="61" t="str">
        <x:v>SolubleProtein</x:v>
      </x:c>
      <x:c r="U14" s="63" t="b">
        <x:v>1</x:v>
      </x:c>
    </x:row>
    <x:row r="15">
      <x:c r="A15" s="61" t="str">
        <x:v>Suspended protein</x:v>
      </x:c>
      <x:c r="B15" s="61" t="str">
        <x:v>suspended_protein</x:v>
      </x:c>
      <x:c r="C15" s="62" t="n">
        <x:v>0.025</x:v>
      </x:c>
      <x:c r="D15" s="61" t="str">
        <x:v>mass_fraction</x:v>
      </x:c>
      <x:c r="E15" s="61" t="str">
        <x:v>protein equivalent</x:v>
      </x:c>
      <x:c r="F15" s="61" t="str">
        <x:v>incoming_grass</x:v>
      </x:c>
      <x:c r="G15" s="61" t="str">
        <x:v>grass_baseline</x:v>
      </x:c>
      <x:c r="H15" s="61" t="str">
        <x:v>All</x:v>
      </x:c>
      <x:c r="I15" s="61" t="str">
        <x:v>All</x:v>
      </x:c>
      <x:c r="J15" s="61"/>
      <x:c r="K15" s="61"/>
      <x:c r="L15" s="61" t="str">
        <x:v>none</x:v>
      </x:c>
      <x:c r="M15" s="61"/>
      <x:c r="N15" s="61" t="str">
        <x:v>component</x:v>
      </x:c>
      <x:c r="O15" s="61" t="str">
        <x:v>assumed</x:v>
      </x:c>
      <x:c r="P15" s="73" t="str">
        <x:v>E</x:v>
      </x:c>
      <x:c r="Q15" s="61"/>
      <x:c r="R15" s="61" t="str">
        <x:v>Structural protein pool available for PEF solubilization.</x:v>
      </x:c>
      <x:c r="S15" s="61" t="n">
        <x:v>10</x:v>
      </x:c>
      <x:c r="T15" s="61" t="str">
        <x:v>SuspendedProtein</x:v>
      </x:c>
      <x:c r="U15" s="63" t="b">
        <x:v>1</x:v>
      </x:c>
    </x:row>
    <x:row r="16">
      <x:c r="A16" s="61" t="str">
        <x:v>Peptides</x:v>
      </x:c>
      <x:c r="B16" s="61" t="str">
        <x:v>peptides</x:v>
      </x:c>
      <x:c r="C16" s="62" t="n">
        <x:v>0.002</x:v>
      </x:c>
      <x:c r="D16" s="61" t="str">
        <x:v>mass_fraction</x:v>
      </x:c>
      <x:c r="E16" s="61" t="str">
        <x:v>protein equivalent</x:v>
      </x:c>
      <x:c r="F16" s="61" t="str">
        <x:v>incoming_grass</x:v>
      </x:c>
      <x:c r="G16" s="61" t="str">
        <x:v>grass_baseline</x:v>
      </x:c>
      <x:c r="H16" s="61" t="str">
        <x:v>All</x:v>
      </x:c>
      <x:c r="I16" s="61" t="str">
        <x:v>All</x:v>
      </x:c>
      <x:c r="J16" s="61"/>
      <x:c r="K16" s="61"/>
      <x:c r="L16" s="61" t="str">
        <x:v>none</x:v>
      </x:c>
      <x:c r="M16" s="61"/>
      <x:c r="N16" s="61" t="str">
        <x:v>component</x:v>
      </x:c>
      <x:c r="O16" s="61" t="str">
        <x:v>assumed</x:v>
      </x:c>
      <x:c r="P16" s="73" t="str">
        <x:v>E</x:v>
      </x:c>
      <x:c r="Q16" s="61"/>
      <x:c r="R16" s="61" t="str">
        <x:v>Structural peptide pool.</x:v>
      </x:c>
      <x:c r="S16" s="61" t="n">
        <x:v>10</x:v>
      </x:c>
      <x:c r="T16" s="61" t="str">
        <x:v>Peptides</x:v>
      </x:c>
      <x:c r="U16" s="63" t="b">
        <x:v>1</x:v>
      </x:c>
    </x:row>
    <x:row r="17">
      <x:c r="A17" s="61" t="str">
        <x:v>Free amino acids</x:v>
      </x:c>
      <x:c r="B17" s="61" t="str">
        <x:v>amino_acids</x:v>
      </x:c>
      <x:c r="C17" s="62" t="n">
        <x:v>0.002</x:v>
      </x:c>
      <x:c r="D17" s="61" t="str">
        <x:v>mass_fraction</x:v>
      </x:c>
      <x:c r="E17" s="61" t="str">
        <x:v>amino-acid equivalent</x:v>
      </x:c>
      <x:c r="F17" s="61" t="str">
        <x:v>incoming_grass</x:v>
      </x:c>
      <x:c r="G17" s="61" t="str">
        <x:v>grass_baseline</x:v>
      </x:c>
      <x:c r="H17" s="61" t="str">
        <x:v>All</x:v>
      </x:c>
      <x:c r="I17" s="61" t="str">
        <x:v>All</x:v>
      </x:c>
      <x:c r="J17" s="61"/>
      <x:c r="K17" s="61"/>
      <x:c r="L17" s="61" t="str">
        <x:v>none</x:v>
      </x:c>
      <x:c r="M17" s="61"/>
      <x:c r="N17" s="61" t="str">
        <x:v>component</x:v>
      </x:c>
      <x:c r="O17" s="61" t="str">
        <x:v>assumed</x:v>
      </x:c>
      <x:c r="P17" s="73" t="str">
        <x:v>E</x:v>
      </x:c>
      <x:c r="Q17" s="61"/>
      <x:c r="R17" s="61" t="str">
        <x:v>Structural amino-acid pool.</x:v>
      </x:c>
      <x:c r="S17" s="61" t="n">
        <x:v>10</x:v>
      </x:c>
      <x:c r="T17" s="61" t="str">
        <x:v>AminoAcids</x:v>
      </x:c>
      <x:c r="U17" s="63" t="b">
        <x:v>1</x:v>
      </x:c>
    </x:row>
    <x:row r="18">
      <x:c r="A18" s="61" t="str">
        <x:v>Lipids</x:v>
      </x:c>
      <x:c r="B18" s="61" t="str">
        <x:v>lipids</x:v>
      </x:c>
      <x:c r="C18" s="62" t="n">
        <x:v>0.008</x:v>
      </x:c>
      <x:c r="D18" s="61" t="str">
        <x:v>mass_fraction</x:v>
      </x:c>
      <x:c r="E18" s="61" t="str">
        <x:v>compound mass</x:v>
      </x:c>
      <x:c r="F18" s="61" t="str">
        <x:v>incoming_grass</x:v>
      </x:c>
      <x:c r="G18" s="61" t="str">
        <x:v>grass_baseline</x:v>
      </x:c>
      <x:c r="H18" s="61" t="str">
        <x:v>All</x:v>
      </x:c>
      <x:c r="I18" s="61" t="str">
        <x:v>All</x:v>
      </x:c>
      <x:c r="J18" s="61"/>
      <x:c r="K18" s="61"/>
      <x:c r="L18" s="61" t="str">
        <x:v>none</x:v>
      </x:c>
      <x:c r="M18" s="61"/>
      <x:c r="N18" s="61" t="str">
        <x:v>component</x:v>
      </x:c>
      <x:c r="O18" s="61" t="str">
        <x:v>assumed</x:v>
      </x:c>
      <x:c r="P18" s="73" t="str">
        <x:v>E</x:v>
      </x:c>
      <x:c r="Q18" s="61"/>
      <x:c r="R18" s="61" t="str">
        <x:v>Structural organic pool.</x:v>
      </x:c>
      <x:c r="S18" s="61" t="n">
        <x:v>10</x:v>
      </x:c>
      <x:c r="T18" s="61" t="str">
        <x:v>Lipids</x:v>
      </x:c>
      <x:c r="U18" s="63" t="b">
        <x:v>1</x:v>
      </x:c>
    </x:row>
    <x:row r="19">
      <x:c r="A19" s="61" t="str">
        <x:v>Particulate biodegradable organics</x:v>
      </x:c>
      <x:c r="B19" s="61" t="str">
        <x:v>particulate_biodegradable_organics</x:v>
      </x:c>
      <x:c r="C19" s="62" t="n">
        <x:v>0.015</x:v>
      </x:c>
      <x:c r="D19" s="61" t="str">
        <x:v>mass_fraction</x:v>
      </x:c>
      <x:c r="E19" s="61" t="str">
        <x:v>empirical organic mass</x:v>
      </x:c>
      <x:c r="F19" s="61" t="str">
        <x:v>incoming_grass</x:v>
      </x:c>
      <x:c r="G19" s="61" t="str">
        <x:v>grass_baseline</x:v>
      </x:c>
      <x:c r="H19" s="61" t="str">
        <x:v>All</x:v>
      </x:c>
      <x:c r="I19" s="61" t="str">
        <x:v>All</x:v>
      </x:c>
      <x:c r="J19" s="61"/>
      <x:c r="K19" s="61"/>
      <x:c r="L19" s="61" t="str">
        <x:v>none</x:v>
      </x:c>
      <x:c r="M19" s="61"/>
      <x:c r="N19" s="61" t="str">
        <x:v>component</x:v>
      </x:c>
      <x:c r="O19" s="61" t="str">
        <x:v>assumed</x:v>
      </x:c>
      <x:c r="P19" s="73" t="str">
        <x:v>E</x:v>
      </x:c>
      <x:c r="Q19" s="61"/>
      <x:c r="R19" s="61" t="str">
        <x:v>Metadata-matched source for conservative soluble-COD transfer.</x:v>
      </x:c>
      <x:c r="S19" s="61" t="n">
        <x:v>10</x:v>
      </x:c>
      <x:c r="T19" s="61" t="str">
        <x:v>ParticulateBiodegradableOrganics</x:v>
      </x:c>
      <x:c r="U19" s="63" t="b">
        <x:v>1</x:v>
      </x:c>
    </x:row>
    <x:row r="20">
      <x:c r="A20" s="61" t="str">
        <x:v>Non-biodegradable organics</x:v>
      </x:c>
      <x:c r="B20" s="61" t="str">
        <x:v>non_biodegradable_organics</x:v>
      </x:c>
      <x:c r="C20" s="62" t="n">
        <x:v>0.005</x:v>
      </x:c>
      <x:c r="D20" s="61" t="str">
        <x:v>mass_fraction</x:v>
      </x:c>
      <x:c r="E20" s="61" t="str">
        <x:v>empirical organic mass</x:v>
      </x:c>
      <x:c r="F20" s="61" t="str">
        <x:v>incoming_grass</x:v>
      </x:c>
      <x:c r="G20" s="61" t="str">
        <x:v>grass_baseline</x:v>
      </x:c>
      <x:c r="H20" s="61" t="str">
        <x:v>All</x:v>
      </x:c>
      <x:c r="I20" s="61" t="str">
        <x:v>All</x:v>
      </x:c>
      <x:c r="J20" s="61"/>
      <x:c r="K20" s="61"/>
      <x:c r="L20" s="61" t="str">
        <x:v>none</x:v>
      </x:c>
      <x:c r="M20" s="61"/>
      <x:c r="N20" s="61" t="str">
        <x:v>component</x:v>
      </x:c>
      <x:c r="O20" s="61" t="str">
        <x:v>assumed</x:v>
      </x:c>
      <x:c r="P20" s="73" t="str">
        <x:v>E</x:v>
      </x:c>
      <x:c r="Q20" s="61"/>
      <x:c r="R20" s="61" t="str">
        <x:v>Structural organic pool.</x:v>
      </x:c>
      <x:c r="S20" s="61" t="n">
        <x:v>10</x:v>
      </x:c>
      <x:c r="T20" s="61" t="str">
        <x:v>NonBiodegradableOrganics</x:v>
      </x:c>
      <x:c r="U20" s="63" t="b">
        <x:v>1</x:v>
      </x:c>
    </x:row>
    <x:row r="21">
      <x:c r="A21" s="61" t="str">
        <x:v>Suspended biogenic solids</x:v>
      </x:c>
      <x:c r="B21" s="61" t="str">
        <x:v>suspended_solids</x:v>
      </x:c>
      <x:c r="C21" s="62" t="n">
        <x:v>0.008</x:v>
      </x:c>
      <x:c r="D21" s="61" t="str">
        <x:v>mass_fraction</x:v>
      </x:c>
      <x:c r="E21" s="61" t="str">
        <x:v>empirical solids mass</x:v>
      </x:c>
      <x:c r="F21" s="61" t="str">
        <x:v>incoming_grass</x:v>
      </x:c>
      <x:c r="G21" s="61" t="str">
        <x:v>grass_baseline</x:v>
      </x:c>
      <x:c r="H21" s="61" t="str">
        <x:v>All</x:v>
      </x:c>
      <x:c r="I21" s="61" t="str">
        <x:v>All</x:v>
      </x:c>
      <x:c r="J21" s="61"/>
      <x:c r="K21" s="61"/>
      <x:c r="L21" s="61" t="str">
        <x:v>none</x:v>
      </x:c>
      <x:c r="M21" s="61"/>
      <x:c r="N21" s="61" t="str">
        <x:v>component</x:v>
      </x:c>
      <x:c r="O21" s="61" t="str">
        <x:v>assumed</x:v>
      </x:c>
      <x:c r="P21" s="73" t="str">
        <x:v>E</x:v>
      </x:c>
      <x:c r="Q21" s="61"/>
      <x:c r="R21" s="61" t="str">
        <x:v>Structural suspended-solids pool.</x:v>
      </x:c>
      <x:c r="S21" s="61" t="n">
        <x:v>10</x:v>
      </x:c>
      <x:c r="T21" s="61" t="str">
        <x:v>SuspendedSolids</x:v>
      </x:c>
      <x:c r="U21" s="63" t="b">
        <x:v>1</x:v>
      </x:c>
    </x:row>
    <x:row r="22">
      <x:c r="A22" s="61" t="str">
        <x:v>Ash</x:v>
      </x:c>
      <x:c r="B22" s="61" t="str">
        <x:v>ash</x:v>
      </x:c>
      <x:c r="C22" s="62" t="n">
        <x:v>0.01</x:v>
      </x:c>
      <x:c r="D22" s="61" t="str">
        <x:v>mass_fraction</x:v>
      </x:c>
      <x:c r="E22" s="61" t="str">
        <x:v>mineral mass</x:v>
      </x:c>
      <x:c r="F22" s="61" t="str">
        <x:v>incoming_grass</x:v>
      </x:c>
      <x:c r="G22" s="61" t="str">
        <x:v>grass_baseline</x:v>
      </x:c>
      <x:c r="H22" s="61" t="str">
        <x:v>All</x:v>
      </x:c>
      <x:c r="I22" s="61" t="str">
        <x:v>All</x:v>
      </x:c>
      <x:c r="J22" s="61"/>
      <x:c r="K22" s="61"/>
      <x:c r="L22" s="61" t="str">
        <x:v>none</x:v>
      </x:c>
      <x:c r="M22" s="61"/>
      <x:c r="N22" s="61" t="str">
        <x:v>component</x:v>
      </x:c>
      <x:c r="O22" s="61" t="str">
        <x:v>assumed</x:v>
      </x:c>
      <x:c r="P22" s="73" t="str">
        <x:v>E</x:v>
      </x:c>
      <x:c r="Q22" s="61"/>
      <x:c r="R22" s="61" t="str">
        <x:v>Structural ash pool.</x:v>
      </x:c>
      <x:c r="S22" s="61" t="n">
        <x:v>10</x:v>
      </x:c>
      <x:c r="T22" s="61" t="str">
        <x:v>Ash</x:v>
      </x:c>
      <x:c r="U22" s="63" t="b">
        <x:v>1</x:v>
      </x:c>
    </x:row>
    <x:row r="23">
      <x:c r="A23" s="61" t="str">
        <x:v>Sand and grit</x:v>
      </x:c>
      <x:c r="B23" s="61" t="str">
        <x:v>sand</x:v>
      </x:c>
      <x:c r="C23" s="62" t="n">
        <x:v>0.004</x:v>
      </x:c>
      <x:c r="D23" s="61" t="str">
        <x:v>mass_fraction</x:v>
      </x:c>
      <x:c r="E23" s="61" t="str">
        <x:v>grouped mineral mass</x:v>
      </x:c>
      <x:c r="F23" s="61" t="str">
        <x:v>incoming_grass</x:v>
      </x:c>
      <x:c r="G23" s="61" t="str">
        <x:v>grass_baseline</x:v>
      </x:c>
      <x:c r="H23" s="61" t="str">
        <x:v>All</x:v>
      </x:c>
      <x:c r="I23" s="61" t="str">
        <x:v>All</x:v>
      </x:c>
      <x:c r="J23" s="61"/>
      <x:c r="K23" s="61"/>
      <x:c r="L23" s="61" t="str">
        <x:v>none</x:v>
      </x:c>
      <x:c r="M23" s="61"/>
      <x:c r="N23" s="61" t="str">
        <x:v>component</x:v>
      </x:c>
      <x:c r="O23" s="61" t="str">
        <x:v>assumed</x:v>
      </x:c>
      <x:c r="P23" s="73" t="str">
        <x:v>E</x:v>
      </x:c>
      <x:c r="Q23" s="61"/>
      <x:c r="R23" s="61" t="str">
        <x:v>Explicit cleaning target; not an exact mineral identity.</x:v>
      </x:c>
      <x:c r="S23" s="61" t="n">
        <x:v>10</x:v>
      </x:c>
      <x:c r="T23" s="61" t="str">
        <x:v>Sand</x:v>
      </x:c>
      <x:c r="U23" s="63" t="b">
        <x:v>1</x:v>
      </x:c>
    </x:row>
    <x:row r="24">
      <x:c r="A24" s="61" t="str">
        <x:v>Roadside litter</x:v>
      </x:c>
      <x:c r="B24" s="61" t="str">
        <x:v>litter</x:v>
      </x:c>
      <x:c r="C24" s="62" t="n">
        <x:v>0.001</x:v>
      </x:c>
      <x:c r="D24" s="61" t="str">
        <x:v>mass_fraction</x:v>
      </x:c>
      <x:c r="E24" s="61" t="str">
        <x:v>grouped litter mass</x:v>
      </x:c>
      <x:c r="F24" s="61" t="str">
        <x:v>incoming_grass</x:v>
      </x:c>
      <x:c r="G24" s="61" t="str">
        <x:v>grass_baseline</x:v>
      </x:c>
      <x:c r="H24" s="61" t="str">
        <x:v>All</x:v>
      </x:c>
      <x:c r="I24" s="61" t="str">
        <x:v>All</x:v>
      </x:c>
      <x:c r="J24" s="61"/>
      <x:c r="K24" s="61"/>
      <x:c r="L24" s="61" t="str">
        <x:v>none</x:v>
      </x:c>
      <x:c r="M24" s="61"/>
      <x:c r="N24" s="61" t="str">
        <x:v>component</x:v>
      </x:c>
      <x:c r="O24" s="61" t="str">
        <x:v>assumed</x:v>
      </x:c>
      <x:c r="P24" s="73" t="str">
        <x:v>E</x:v>
      </x:c>
      <x:c r="Q24" s="61"/>
      <x:c r="R24" s="61" t="str">
        <x:v>Explicit cleaning target; mixed material pool.</x:v>
      </x:c>
      <x:c r="S24" s="61" t="n">
        <x:v>10</x:v>
      </x:c>
      <x:c r="T24" s="61" t="str">
        <x:v>Litter</x:v>
      </x:c>
      <x:c r="U24" s="63" t="b">
        <x:v>1</x:v>
      </x:c>
    </x:row>
    <x:row r="25">
      <x:c r="A25" s="61" t="str">
        <x:v>Other inert solids</x:v>
      </x:c>
      <x:c r="B25" s="61" t="str">
        <x:v>inert_solids</x:v>
      </x:c>
      <x:c r="C25" s="62" t="n">
        <x:v>0.002</x:v>
      </x:c>
      <x:c r="D25" s="61" t="str">
        <x:v>mass_fraction</x:v>
      </x:c>
      <x:c r="E25" s="61" t="str">
        <x:v>grouped inert mass</x:v>
      </x:c>
      <x:c r="F25" s="61" t="str">
        <x:v>incoming_grass</x:v>
      </x:c>
      <x:c r="G25" s="61" t="str">
        <x:v>grass_baseline</x:v>
      </x:c>
      <x:c r="H25" s="61" t="str">
        <x:v>All</x:v>
      </x:c>
      <x:c r="I25" s="61" t="str">
        <x:v>All</x:v>
      </x:c>
      <x:c r="J25" s="61"/>
      <x:c r="K25" s="61"/>
      <x:c r="L25" s="61" t="str">
        <x:v>none</x:v>
      </x:c>
      <x:c r="M25" s="61"/>
      <x:c r="N25" s="61" t="str">
        <x:v>component</x:v>
      </x:c>
      <x:c r="O25" s="61" t="str">
        <x:v>assumed</x:v>
      </x:c>
      <x:c r="P25" s="73" t="str">
        <x:v>E</x:v>
      </x:c>
      <x:c r="Q25" s="61"/>
      <x:c r="R25" s="61" t="str">
        <x:v>Structural inert pool.</x:v>
      </x:c>
      <x:c r="S25" s="61" t="n">
        <x:v>10</x:v>
      </x:c>
      <x:c r="T25" s="61" t="str">
        <x:v>InertSolids</x:v>
      </x:c>
      <x:c r="U25" s="63" t="b">
        <x:v>1</x:v>
      </x:c>
    </x:row>
    <x:row r="26">
      <x:c r="A26" s="61" t="str">
        <x:v>Dissolved organic nitrogen</x:v>
      </x:c>
      <x:c r="B26" s="61" t="str">
        <x:v>organic_nitrogen</x:v>
      </x:c>
      <x:c r="C26" s="62" t="n">
        <x:v>0.0005</x:v>
      </x:c>
      <x:c r="D26" s="61" t="str">
        <x:v>mass_fraction</x:v>
      </x:c>
      <x:c r="E26" s="61" t="str">
        <x:v>N equivalent</x:v>
      </x:c>
      <x:c r="F26" s="61" t="str">
        <x:v>incoming_grass</x:v>
      </x:c>
      <x:c r="G26" s="61" t="str">
        <x:v>grass_baseline</x:v>
      </x:c>
      <x:c r="H26" s="61" t="str">
        <x:v>All</x:v>
      </x:c>
      <x:c r="I26" s="61" t="str">
        <x:v>All</x:v>
      </x:c>
      <x:c r="J26" s="61"/>
      <x:c r="K26" s="61"/>
      <x:c r="L26" s="61" t="str">
        <x:v>none</x:v>
      </x:c>
      <x:c r="M26" s="61"/>
      <x:c r="N26" s="61" t="str">
        <x:v>component</x:v>
      </x:c>
      <x:c r="O26" s="61" t="str">
        <x:v>assumed</x:v>
      </x:c>
      <x:c r="P26" s="73" t="str">
        <x:v>E</x:v>
      </x:c>
      <x:c r="Q26" s="61"/>
      <x:c r="R26" s="61" t="str">
        <x:v>kg component equals kg N equivalent.</x:v>
      </x:c>
      <x:c r="S26" s="61" t="n">
        <x:v>10</x:v>
      </x:c>
      <x:c r="T26" s="61" t="str">
        <x:v>OrganicNitrogen</x:v>
      </x:c>
      <x:c r="U26" s="63" t="b">
        <x:v>1</x:v>
      </x:c>
    </x:row>
    <x:row r="27">
      <x:c r="A27" s="61" t="str">
        <x:v>Particulate nitrogen</x:v>
      </x:c>
      <x:c r="B27" s="61" t="str">
        <x:v>particulate_nitrogen</x:v>
      </x:c>
      <x:c r="C27" s="62" t="n">
        <x:v>0.0005</x:v>
      </x:c>
      <x:c r="D27" s="61" t="str">
        <x:v>mass_fraction</x:v>
      </x:c>
      <x:c r="E27" s="61" t="str">
        <x:v>N equivalent</x:v>
      </x:c>
      <x:c r="F27" s="61" t="str">
        <x:v>incoming_grass</x:v>
      </x:c>
      <x:c r="G27" s="61" t="str">
        <x:v>grass_baseline</x:v>
      </x:c>
      <x:c r="H27" s="61" t="str">
        <x:v>All</x:v>
      </x:c>
      <x:c r="I27" s="61" t="str">
        <x:v>All</x:v>
      </x:c>
      <x:c r="J27" s="61"/>
      <x:c r="K27" s="61"/>
      <x:c r="L27" s="61" t="str">
        <x:v>none</x:v>
      </x:c>
      <x:c r="M27" s="61"/>
      <x:c r="N27" s="61" t="str">
        <x:v>component</x:v>
      </x:c>
      <x:c r="O27" s="61" t="str">
        <x:v>assumed</x:v>
      </x:c>
      <x:c r="P27" s="73" t="str">
        <x:v>E</x:v>
      </x:c>
      <x:c r="Q27" s="61"/>
      <x:c r="R27" s="61" t="str">
        <x:v>kg component equals kg N equivalent.</x:v>
      </x:c>
      <x:c r="S27" s="61" t="n">
        <x:v>10</x:v>
      </x:c>
      <x:c r="T27" s="61" t="str">
        <x:v>ParticulateNitrogen</x:v>
      </x:c>
      <x:c r="U27" s="63" t="b">
        <x:v>1</x:v>
      </x:c>
    </x:row>
    <x:row r="28">
      <x:c r="A28" s="61" t="str">
        <x:v>Particulate phosphorus</x:v>
      </x:c>
      <x:c r="B28" s="61" t="str">
        <x:v>particulate_phosphorus</x:v>
      </x:c>
      <x:c r="C28" s="62" t="n">
        <x:v>0.0004</x:v>
      </x:c>
      <x:c r="D28" s="61" t="str">
        <x:v>mass_fraction</x:v>
      </x:c>
      <x:c r="E28" s="61" t="str">
        <x:v>P equivalent</x:v>
      </x:c>
      <x:c r="F28" s="61" t="str">
        <x:v>incoming_grass</x:v>
      </x:c>
      <x:c r="G28" s="61" t="str">
        <x:v>grass_baseline</x:v>
      </x:c>
      <x:c r="H28" s="61" t="str">
        <x:v>All</x:v>
      </x:c>
      <x:c r="I28" s="61" t="str">
        <x:v>All</x:v>
      </x:c>
      <x:c r="J28" s="61"/>
      <x:c r="K28" s="61"/>
      <x:c r="L28" s="61" t="str">
        <x:v>none</x:v>
      </x:c>
      <x:c r="M28" s="61"/>
      <x:c r="N28" s="61" t="str">
        <x:v>component</x:v>
      </x:c>
      <x:c r="O28" s="61" t="str">
        <x:v>assumed</x:v>
      </x:c>
      <x:c r="P28" s="73" t="str">
        <x:v>E</x:v>
      </x:c>
      <x:c r="Q28" s="61"/>
      <x:c r="R28" s="61" t="str">
        <x:v>kg component equals kg P equivalent.</x:v>
      </x:c>
      <x:c r="S28" s="61" t="n">
        <x:v>10</x:v>
      </x:c>
      <x:c r="T28" s="61" t="str">
        <x:v>ParticulatePhosphorus</x:v>
      </x:c>
      <x:c r="U28" s="63" t="b">
        <x:v>1</x:v>
      </x:c>
    </x:row>
    <x:row r="29">
      <x:c r="A29" s="61" t="str">
        <x:v>Dissolved phosphorus</x:v>
      </x:c>
      <x:c r="B29" s="61" t="str">
        <x:v>dissolved_phosphorus</x:v>
      </x:c>
      <x:c r="C29" s="62" t="n">
        <x:v>0.0001</x:v>
      </x:c>
      <x:c r="D29" s="61" t="str">
        <x:v>mass_fraction</x:v>
      </x:c>
      <x:c r="E29" s="61" t="str">
        <x:v>P equivalent</x:v>
      </x:c>
      <x:c r="F29" s="61" t="str">
        <x:v>incoming_grass</x:v>
      </x:c>
      <x:c r="G29" s="61" t="str">
        <x:v>grass_baseline</x:v>
      </x:c>
      <x:c r="H29" s="61" t="str">
        <x:v>All</x:v>
      </x:c>
      <x:c r="I29" s="61" t="str">
        <x:v>All</x:v>
      </x:c>
      <x:c r="J29" s="61"/>
      <x:c r="K29" s="61"/>
      <x:c r="L29" s="61" t="str">
        <x:v>none</x:v>
      </x:c>
      <x:c r="M29" s="61"/>
      <x:c r="N29" s="61" t="str">
        <x:v>component</x:v>
      </x:c>
      <x:c r="O29" s="61" t="str">
        <x:v>assumed</x:v>
      </x:c>
      <x:c r="P29" s="73" t="str">
        <x:v>E</x:v>
      </x:c>
      <x:c r="Q29" s="61"/>
      <x:c r="R29" s="61" t="str">
        <x:v>kg component equals kg P equivalent.</x:v>
      </x:c>
      <x:c r="S29" s="61" t="n">
        <x:v>10</x:v>
      </x:c>
      <x:c r="T29" s="61" t="str">
        <x:v>DissolvedPhosphorus</x:v>
      </x:c>
      <x:c r="U29" s="63" t="b">
        <x:v>1</x:v>
      </x:c>
    </x:row>
    <x:row r="30">
      <x:c r="A30" s="61" t="str">
        <x:v>Particulate potassium</x:v>
      </x:c>
      <x:c r="B30" s="61" t="str">
        <x:v>particulate_potassium</x:v>
      </x:c>
      <x:c r="C30" s="62" t="n">
        <x:v>0.0007</x:v>
      </x:c>
      <x:c r="D30" s="61" t="str">
        <x:v>mass_fraction</x:v>
      </x:c>
      <x:c r="E30" s="61" t="str">
        <x:v>K equivalent</x:v>
      </x:c>
      <x:c r="F30" s="61" t="str">
        <x:v>incoming_grass</x:v>
      </x:c>
      <x:c r="G30" s="61" t="str">
        <x:v>grass_baseline</x:v>
      </x:c>
      <x:c r="H30" s="61" t="str">
        <x:v>All</x:v>
      </x:c>
      <x:c r="I30" s="61" t="str">
        <x:v>All</x:v>
      </x:c>
      <x:c r="J30" s="61"/>
      <x:c r="K30" s="61"/>
      <x:c r="L30" s="61" t="str">
        <x:v>none</x:v>
      </x:c>
      <x:c r="M30" s="61"/>
      <x:c r="N30" s="61" t="str">
        <x:v>component</x:v>
      </x:c>
      <x:c r="O30" s="61" t="str">
        <x:v>assumed</x:v>
      </x:c>
      <x:c r="P30" s="73" t="str">
        <x:v>E</x:v>
      </x:c>
      <x:c r="Q30" s="61"/>
      <x:c r="R30" s="61" t="str">
        <x:v>Mass convention matched to K ion.</x:v>
      </x:c>
      <x:c r="S30" s="61" t="n">
        <x:v>10</x:v>
      </x:c>
      <x:c r="T30" s="61" t="str">
        <x:v>ParticulatePotassium</x:v>
      </x:c>
      <x:c r="U30" s="63" t="b">
        <x:v>1</x:v>
      </x:c>
    </x:row>
    <x:row r="31">
      <x:c r="A31" s="61" t="str">
        <x:v>Dissolved potassium</x:v>
      </x:c>
      <x:c r="B31" s="61" t="str">
        <x:v>potassium</x:v>
      </x:c>
      <x:c r="C31" s="62" t="n">
        <x:v>0.0005</x:v>
      </x:c>
      <x:c r="D31" s="61" t="str">
        <x:v>mass_fraction</x:v>
      </x:c>
      <x:c r="E31" s="61" t="str">
        <x:v>K equivalent</x:v>
      </x:c>
      <x:c r="F31" s="61" t="str">
        <x:v>incoming_grass</x:v>
      </x:c>
      <x:c r="G31" s="61" t="str">
        <x:v>grass_baseline</x:v>
      </x:c>
      <x:c r="H31" s="61" t="str">
        <x:v>All</x:v>
      </x:c>
      <x:c r="I31" s="61" t="str">
        <x:v>All</x:v>
      </x:c>
      <x:c r="J31" s="61"/>
      <x:c r="K31" s="61"/>
      <x:c r="L31" s="61" t="str">
        <x:v>none</x:v>
      </x:c>
      <x:c r="M31" s="61"/>
      <x:c r="N31" s="61" t="str">
        <x:v>component</x:v>
      </x:c>
      <x:c r="O31" s="61" t="str">
        <x:v>assumed</x:v>
      </x:c>
      <x:c r="P31" s="73" t="str">
        <x:v>E</x:v>
      </x:c>
      <x:c r="Q31" s="61"/>
      <x:c r="R31" s="61" t="str">
        <x:v>Structural dissolved K pool.</x:v>
      </x:c>
      <x:c r="S31" s="61" t="n">
        <x:v>10</x:v>
      </x:c>
      <x:c r="T31" s="61" t="str">
        <x:v>PotassiumIon</x:v>
      </x:c>
      <x:c r="U31" s="63" t="b">
        <x:v>1</x:v>
      </x:c>
    </x:row>
    <x:row r="32">
      <x:c r="A32" s="61" t="str">
        <x:v>Ammonium</x:v>
      </x:c>
      <x:c r="B32" s="61" t="str">
        <x:v>ammonium</x:v>
      </x:c>
      <x:c r="C32" s="62" t="n">
        <x:v>0.0002</x:v>
      </x:c>
      <x:c r="D32" s="61" t="str">
        <x:v>mass_fraction</x:v>
      </x:c>
      <x:c r="E32" s="61" t="str">
        <x:v>compound mass</x:v>
      </x:c>
      <x:c r="F32" s="61" t="str">
        <x:v>incoming_grass</x:v>
      </x:c>
      <x:c r="G32" s="61" t="str">
        <x:v>grass_baseline</x:v>
      </x:c>
      <x:c r="H32" s="61" t="str">
        <x:v>All</x:v>
      </x:c>
      <x:c r="I32" s="61" t="str">
        <x:v>All</x:v>
      </x:c>
      <x:c r="J32" s="61"/>
      <x:c r="K32" s="61"/>
      <x:c r="L32" s="61" t="str">
        <x:v>none</x:v>
      </x:c>
      <x:c r="M32" s="61"/>
      <x:c r="N32" s="61" t="str">
        <x:v>component</x:v>
      </x:c>
      <x:c r="O32" s="61" t="str">
        <x:v>assumed</x:v>
      </x:c>
      <x:c r="P32" s="73" t="str">
        <x:v>E</x:v>
      </x:c>
      <x:c r="Q32" s="61"/>
      <x:c r="R32" s="61" t="str">
        <x:v>Structural ammonium pool.</x:v>
      </x:c>
      <x:c r="S32" s="61" t="n">
        <x:v>10</x:v>
      </x:c>
      <x:c r="T32" s="61" t="str">
        <x:v>Ammonium</x:v>
      </x:c>
      <x:c r="U32" s="63" t="b">
        <x:v>1</x:v>
      </x:c>
    </x:row>
    <x:row r="33">
      <x:c r="A33" s="61" t="str">
        <x:v>Heavy metals</x:v>
      </x:c>
      <x:c r="B33" s="61" t="str">
        <x:v>heavy_metals</x:v>
      </x:c>
      <x:c r="C33" s="62" t="n">
        <x:v>0.00002</x:v>
      </x:c>
      <x:c r="D33" s="61" t="str">
        <x:v>mass_fraction</x:v>
      </x:c>
      <x:c r="E33" s="61" t="str">
        <x:v>grouped inventory</x:v>
      </x:c>
      <x:c r="F33" s="61" t="str">
        <x:v>incoming_grass</x:v>
      </x:c>
      <x:c r="G33" s="61" t="str">
        <x:v>grass_baseline</x:v>
      </x:c>
      <x:c r="H33" s="61" t="str">
        <x:v>All</x:v>
      </x:c>
      <x:c r="I33" s="61" t="str">
        <x:v>All</x:v>
      </x:c>
      <x:c r="J33" s="61"/>
      <x:c r="K33" s="61"/>
      <x:c r="L33" s="61" t="str">
        <x:v>none</x:v>
      </x:c>
      <x:c r="M33" s="61"/>
      <x:c r="N33" s="61" t="str">
        <x:v>component</x:v>
      </x:c>
      <x:c r="O33" s="61" t="str">
        <x:v>assumed</x:v>
      </x:c>
      <x:c r="P33" s="73" t="str">
        <x:v>E</x:v>
      </x:c>
      <x:c r="Q33" s="61"/>
      <x:c r="R33" s="61" t="str">
        <x:v>Grouped screening inventory only.</x:v>
      </x:c>
      <x:c r="S33" s="61" t="n">
        <x:v>10</x:v>
      </x:c>
      <x:c r="T33" s="61" t="str">
        <x:v>HeavyMetals</x:v>
      </x:c>
      <x:c r="U33" s="63" t="b">
        <x:v>1</x:v>
      </x:c>
    </x:row>
    <x:row r="34">
      <x:c r="A34" s="61" t="str">
        <x:v>Persistent organics / PFAS</x:v>
      </x:c>
      <x:c r="B34" s="61" t="str">
        <x:v>persistent_organics</x:v>
      </x:c>
      <x:c r="C34" s="62" t="n">
        <x:v>0.000005</x:v>
      </x:c>
      <x:c r="D34" s="61" t="str">
        <x:v>mass_fraction</x:v>
      </x:c>
      <x:c r="E34" s="61" t="str">
        <x:v>grouped inventory</x:v>
      </x:c>
      <x:c r="F34" s="61" t="str">
        <x:v>incoming_grass</x:v>
      </x:c>
      <x:c r="G34" s="61" t="str">
        <x:v>grass_baseline</x:v>
      </x:c>
      <x:c r="H34" s="61" t="str">
        <x:v>All</x:v>
      </x:c>
      <x:c r="I34" s="61" t="str">
        <x:v>All</x:v>
      </x:c>
      <x:c r="J34" s="61"/>
      <x:c r="K34" s="61"/>
      <x:c r="L34" s="61" t="str">
        <x:v>none</x:v>
      </x:c>
      <x:c r="M34" s="61"/>
      <x:c r="N34" s="61" t="str">
        <x:v>component</x:v>
      </x:c>
      <x:c r="O34" s="61" t="str">
        <x:v>assumed</x:v>
      </x:c>
      <x:c r="P34" s="73" t="str">
        <x:v>E</x:v>
      </x:c>
      <x:c r="Q34" s="61"/>
      <x:c r="R34" s="61" t="str">
        <x:v>Grouped screening inventory only.</x:v>
      </x:c>
      <x:c r="S34" s="61" t="n">
        <x:v>10</x:v>
      </x:c>
      <x:c r="T34" s="61" t="str">
        <x:v>PersistentOrganics</x:v>
      </x:c>
      <x:c r="U34" s="63" t="b">
        <x:v>1</x:v>
      </x:c>
    </x:row>
    <x:row r="35">
      <x:c r="A35" s="61" t="str">
        <x:v>Pesticides</x:v>
      </x:c>
      <x:c r="B35" s="61" t="str">
        <x:v>pesticides</x:v>
      </x:c>
      <x:c r="C35" s="62" t="n">
        <x:v>0.000005</x:v>
      </x:c>
      <x:c r="D35" s="61" t="str">
        <x:v>mass_fraction</x:v>
      </x:c>
      <x:c r="E35" s="61" t="str">
        <x:v>grouped inventory</x:v>
      </x:c>
      <x:c r="F35" s="61" t="str">
        <x:v>incoming_grass</x:v>
      </x:c>
      <x:c r="G35" s="61" t="str">
        <x:v>grass_baseline</x:v>
      </x:c>
      <x:c r="H35" s="61" t="str">
        <x:v>All</x:v>
      </x:c>
      <x:c r="I35" s="61" t="str">
        <x:v>All</x:v>
      </x:c>
      <x:c r="J35" s="61"/>
      <x:c r="K35" s="61"/>
      <x:c r="L35" s="61" t="str">
        <x:v>none</x:v>
      </x:c>
      <x:c r="M35" s="61"/>
      <x:c r="N35" s="61" t="str">
        <x:v>component</x:v>
      </x:c>
      <x:c r="O35" s="61" t="str">
        <x:v>assumed</x:v>
      </x:c>
      <x:c r="P35" s="73" t="str">
        <x:v>E</x:v>
      </x:c>
      <x:c r="Q35" s="61"/>
      <x:c r="R35" s="61" t="str">
        <x:v>Grouped screening inventory only.</x:v>
      </x:c>
      <x:c r="S35" s="61" t="n">
        <x:v>10</x:v>
      </x:c>
      <x:c r="T35" s="61" t="str">
        <x:v>Pesticides</x:v>
      </x:c>
      <x:c r="U35" s="63" t="b">
        <x:v>1</x:v>
      </x:c>
    </x:row>
    <x:row r="36">
      <x:c r="A36" s="61" t="str">
        <x:v>Microplastics</x:v>
      </x:c>
      <x:c r="B36" s="61" t="str">
        <x:v>microplastics</x:v>
      </x:c>
      <x:c r="C36" s="62" t="n">
        <x:v>0.00002</x:v>
      </x:c>
      <x:c r="D36" s="61" t="str">
        <x:v>mass_fraction</x:v>
      </x:c>
      <x:c r="E36" s="61" t="str">
        <x:v>grouped inventory</x:v>
      </x:c>
      <x:c r="F36" s="61" t="str">
        <x:v>incoming_grass</x:v>
      </x:c>
      <x:c r="G36" s="61" t="str">
        <x:v>grass_baseline</x:v>
      </x:c>
      <x:c r="H36" s="61" t="str">
        <x:v>All</x:v>
      </x:c>
      <x:c r="I36" s="61" t="str">
        <x:v>All</x:v>
      </x:c>
      <x:c r="J36" s="61"/>
      <x:c r="K36" s="61"/>
      <x:c r="L36" s="61" t="str">
        <x:v>none</x:v>
      </x:c>
      <x:c r="M36" s="61"/>
      <x:c r="N36" s="61" t="str">
        <x:v>component</x:v>
      </x:c>
      <x:c r="O36" s="61" t="str">
        <x:v>assumed</x:v>
      </x:c>
      <x:c r="P36" s="73" t="str">
        <x:v>E</x:v>
      </x:c>
      <x:c r="Q36" s="61"/>
      <x:c r="R36" s="61" t="str">
        <x:v>Grouped screening inventory only.</x:v>
      </x:c>
      <x:c r="S36" s="61" t="n">
        <x:v>10</x:v>
      </x:c>
      <x:c r="T36" s="61" t="str">
        <x:v>Microplastics</x:v>
      </x:c>
      <x:c r="U36" s="63" t="b">
        <x:v>1</x:v>
      </x:c>
    </x:row>
    <x:row r="37">
      <x:c r="A37" s="61" t="str">
        <x:v>Pathogen indicator mass surrogate</x:v>
      </x:c>
      <x:c r="B37" s="61" t="str">
        <x:v>pathogen_indicators</x:v>
      </x:c>
      <x:c r="C37" s="62" t="n">
        <x:v>0.00005</x:v>
      </x:c>
      <x:c r="D37" s="61" t="str">
        <x:v>mass_fraction</x:v>
      </x:c>
      <x:c r="E37" s="61" t="str">
        <x:v>mass surrogate</x:v>
      </x:c>
      <x:c r="F37" s="61" t="str">
        <x:v>incoming_grass</x:v>
      </x:c>
      <x:c r="G37" s="61" t="str">
        <x:v>grass_baseline</x:v>
      </x:c>
      <x:c r="H37" s="61" t="str">
        <x:v>All</x:v>
      </x:c>
      <x:c r="I37" s="61" t="str">
        <x:v>All</x:v>
      </x:c>
      <x:c r="J37" s="61"/>
      <x:c r="K37" s="61"/>
      <x:c r="L37" s="61" t="str">
        <x:v>none</x:v>
      </x:c>
      <x:c r="M37" s="61"/>
      <x:c r="N37" s="61" t="str">
        <x:v>component</x:v>
      </x:c>
      <x:c r="O37" s="61" t="str">
        <x:v>assumed</x:v>
      </x:c>
      <x:c r="P37" s="73" t="str">
        <x:v>E</x:v>
      </x:c>
      <x:c r="Q37" s="61"/>
      <x:c r="R37" s="61" t="str">
        <x:v>Mass surrogate only; CFU remains analytical metadata.</x:v>
      </x:c>
      <x:c r="S37" s="61" t="n">
        <x:v>10</x:v>
      </x:c>
      <x:c r="T37" s="61" t="str">
        <x:v>PathogenIndicators</x:v>
      </x:c>
      <x:c r="U37" s="63" t="b">
        <x:v>1</x:v>
      </x:c>
    </x:row>
    <x:row r="38">
      <x:c r="A38" s="61" t="str">
        <x:v>Total COD</x:v>
      </x:c>
      <x:c r="B38" s="61" t="str">
        <x:v>cod</x:v>
      </x:c>
      <x:c r="C38" s="62"/>
      <x:c r="D38" s="61" t="str">
        <x:v>g/kg wet</x:v>
      </x:c>
      <x:c r="E38" s="61" t="str">
        <x:v>O2 equivalent</x:v>
      </x:c>
      <x:c r="F38" s="61" t="str">
        <x:v>incoming_grass</x:v>
      </x:c>
      <x:c r="G38" s="61" t="str">
        <x:v>grass_baseline</x:v>
      </x:c>
      <x:c r="H38" s="61" t="str">
        <x:v>All</x:v>
      </x:c>
      <x:c r="I38" s="61" t="str">
        <x:v>All</x:v>
      </x:c>
      <x:c r="J38" s="61"/>
      <x:c r="K38" s="61"/>
      <x:c r="L38" s="61" t="str">
        <x:v>none</x:v>
      </x:c>
      <x:c r="M38" s="61"/>
      <x:c r="N38" s="61" t="str">
        <x:v>aggregate</x:v>
      </x:c>
      <x:c r="O38" s="61" t="str">
        <x:v>not_measured</x:v>
      </x:c>
      <x:c r="P38" s="73" t="str">
        <x:v>E</x:v>
      </x:c>
      <x:c r="Q38" s="61"/>
      <x:c r="R38" s="61" t="str">
        <x:v>Awaiting laboratory measurement; calculated COD is reported separately.</x:v>
      </x:c>
      <x:c r="S38" s="61" t="n">
        <x:v>10</x:v>
      </x:c>
      <x:c r="T38" s="61"/>
      <x:c r="U38" s="63" t="b">
        <x:v>1</x:v>
      </x:c>
    </x:row>
    <x:row r="39">
      <x:c r="A39" s="61" t="str">
        <x:v>Total nitrogen</x:v>
      </x:c>
      <x:c r="B39" s="61" t="str">
        <x:v>total_nitrogen</x:v>
      </x:c>
      <x:c r="C39" s="62"/>
      <x:c r="D39" s="61" t="str">
        <x:v>g/kg wet</x:v>
      </x:c>
      <x:c r="E39" s="61" t="str">
        <x:v>N</x:v>
      </x:c>
      <x:c r="F39" s="61" t="str">
        <x:v>incoming_grass</x:v>
      </x:c>
      <x:c r="G39" s="61" t="str">
        <x:v>grass_baseline</x:v>
      </x:c>
      <x:c r="H39" s="61" t="str">
        <x:v>All</x:v>
      </x:c>
      <x:c r="I39" s="61" t="str">
        <x:v>All</x:v>
      </x:c>
      <x:c r="J39" s="61"/>
      <x:c r="K39" s="61"/>
      <x:c r="L39" s="61" t="str">
        <x:v>none</x:v>
      </x:c>
      <x:c r="M39" s="61"/>
      <x:c r="N39" s="61" t="str">
        <x:v>aggregate</x:v>
      </x:c>
      <x:c r="O39" s="61" t="str">
        <x:v>not_measured</x:v>
      </x:c>
      <x:c r="P39" s="73" t="str">
        <x:v>E</x:v>
      </x:c>
      <x:c r="Q39" s="61"/>
      <x:c r="R39" s="61" t="str">
        <x:v>Awaiting laboratory measurement.</x:v>
      </x:c>
      <x:c r="S39" s="61" t="n">
        <x:v>10</x:v>
      </x:c>
      <x:c r="T39" s="61"/>
      <x:c r="U39" s="63" t="b">
        <x:v>1</x:v>
      </x:c>
    </x:row>
    <x:row r="40">
      <x:c r="A40" s="61" t="str">
        <x:v>Total phosphorus</x:v>
      </x:c>
      <x:c r="B40" s="61" t="str">
        <x:v>total_phosphorus</x:v>
      </x:c>
      <x:c r="C40" s="62"/>
      <x:c r="D40" s="61" t="str">
        <x:v>g/kg wet</x:v>
      </x:c>
      <x:c r="E40" s="61" t="str">
        <x:v>P</x:v>
      </x:c>
      <x:c r="F40" s="61" t="str">
        <x:v>incoming_grass</x:v>
      </x:c>
      <x:c r="G40" s="61" t="str">
        <x:v>grass_baseline</x:v>
      </x:c>
      <x:c r="H40" s="61" t="str">
        <x:v>All</x:v>
      </x:c>
      <x:c r="I40" s="61" t="str">
        <x:v>All</x:v>
      </x:c>
      <x:c r="J40" s="61"/>
      <x:c r="K40" s="61"/>
      <x:c r="L40" s="61" t="str">
        <x:v>none</x:v>
      </x:c>
      <x:c r="M40" s="61"/>
      <x:c r="N40" s="61" t="str">
        <x:v>aggregate</x:v>
      </x:c>
      <x:c r="O40" s="61" t="str">
        <x:v>not_measured</x:v>
      </x:c>
      <x:c r="P40" s="73" t="str">
        <x:v>E</x:v>
      </x:c>
      <x:c r="Q40" s="61"/>
      <x:c r="R40" s="61" t="str">
        <x:v>Awaiting laboratory measurement.</x:v>
      </x:c>
      <x:c r="S40" s="61" t="n">
        <x:v>10</x:v>
      </x:c>
      <x:c r="T40" s="61"/>
      <x:c r="U40" s="63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d3543651089444c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5.630000114440918" hidden="0" customWidth="1"/>
    <x:col min="3" max="3" width="9.25" hidden="0" customWidth="1"/>
    <x:col min="4" max="4" width="28.3799991607666" hidden="0" customWidth="1"/>
    <x:col min="5" max="5" width="34" hidden="0" customWidth="1"/>
    <x:col min="6" max="6" width="14.880000114440918" hidden="0" customWidth="1"/>
    <x:col min="7" max="7" width="13.630000114440918" hidden="0" customWidth="1"/>
    <x:col min="8" max="8" width="7.880000114440918" hidden="0" customWidth="1"/>
    <x:col min="9" max="9" width="8.25" hidden="0" customWidth="1"/>
    <x:col min="10" max="10" width="7.130000114440918" hidden="0" customWidth="1"/>
    <x:col min="11" max="11" width="16.6299991607666" hidden="0" customWidth="1"/>
    <x:col min="12" max="12" width="10.130000114440918" hidden="0" customWidth="1"/>
    <x:col min="13" max="13" width="7.75" hidden="0" customWidth="1"/>
    <x:col min="14" max="14" width="52" hidden="0" customWidth="1"/>
    <x:col min="15" max="15" width="6.25" hidden="0" customWidth="1"/>
    <x:col min="16" max="16" width="5.130000114440918" hidden="0" customWidth="1"/>
    <x:col min="17" max="17" width="34" hidden="0" customWidth="1"/>
  </x:cols>
  <x:sheetData>
    <x:row r="1">
      <x:c r="A1" s="67" t="str">
        <x:v>scenario</x:v>
      </x:c>
      <x:c r="B1" s="67" t="str">
        <x:v>month</x:v>
      </x:c>
      <x:c r="C1" s="67" t="str">
        <x:v>category</x:v>
      </x:c>
      <x:c r="D1" s="67" t="str">
        <x:v>name</x:v>
      </x:c>
      <x:c r="E1" s="67" t="str">
        <x:v>python_name</x:v>
      </x:c>
      <x:c r="F1" s="67" t="str">
        <x:v>value</x:v>
      </x:c>
      <x:c r="G1" s="67" t="str">
        <x:v>unit</x:v>
      </x:c>
      <x:c r="H1" s="67" t="str">
        <x:v>minimum</x:v>
      </x:c>
      <x:c r="I1" s="67" t="str">
        <x:v>maximum</x:v>
      </x:c>
      <x:c r="J1" s="67" t="str">
        <x:v>required</x:v>
      </x:c>
      <x:c r="K1" s="67" t="str">
        <x:v>measurement_status</x:v>
      </x:c>
      <x:c r="L1" s="67" t="str">
        <x:v>source_class</x:v>
      </x:c>
      <x:c r="M1" s="67" t="str">
        <x:v>reference</x:v>
      </x:c>
      <x:c r="N1" s="67" t="str">
        <x:v>comment</x:v>
      </x:c>
      <x:c r="O1" s="67" t="str">
        <x:v>priority</x:v>
      </x:c>
      <x:c r="P1" s="67" t="str">
        <x:v>active</x:v>
      </x:c>
      <x:c r="Q1" s="67" t="str">
        <x:v>calculation_method</x:v>
      </x:c>
    </x:row>
    <x:row r="2">
      <x:c r="A2" s="61" t="str">
        <x:v>F1</x:v>
      </x:c>
      <x:c r="B2" s="61" t="str">
        <x:v>All</x:v>
      </x:c>
      <x:c r="C2" s="61" t="str">
        <x:v>preparation</x:v>
      </x:c>
      <x:c r="D2" s="61" t="str">
        <x:v>Cleaning enabled</x:v>
      </x:c>
      <x:c r="E2" s="61" t="str">
        <x:v>cleaning_enabled</x:v>
      </x:c>
      <x:c r="F2" s="75" t="b">
        <x:v>1</x:v>
      </x:c>
      <x:c r="G2" s="61" t="str">
        <x:v>boolean</x:v>
      </x:c>
      <x:c r="H2" s="61"/>
      <x:c r="I2" s="61"/>
      <x:c r="J2" s="63" t="b">
        <x:v>1</x:v>
      </x:c>
      <x:c r="K2" s="61" t="str">
        <x:v>assumed</x:v>
      </x:c>
      <x:c r="L2" s="73" t="str">
        <x:v>E</x:v>
      </x:c>
      <x:c r="M2" s="61"/>
      <x:c r="N2" s="61" t="str">
        <x:v>Optional transparent removal model.</x:v>
      </x:c>
      <x:c r="O2" s="61" t="n">
        <x:v>10</x:v>
      </x:c>
      <x:c r="P2" s="63" t="b">
        <x:v>1</x:v>
      </x:c>
      <x:c r="Q2" s="61" t="str">
        <x:v>component-specific removal</x:v>
      </x:c>
    </x:row>
    <x:row r="3">
      <x:c r="A3" s="61" t="str">
        <x:v>F1</x:v>
      </x:c>
      <x:c r="B3" s="61" t="str">
        <x:v>All</x:v>
      </x:c>
      <x:c r="C3" s="61" t="str">
        <x:v>preparation</x:v>
      </x:c>
      <x:c r="D3" s="61" t="str">
        <x:v>Sand removal</x:v>
      </x:c>
      <x:c r="E3" s="61" t="str">
        <x:v>cleaning_sand_removal_fraction</x:v>
      </x:c>
      <x:c r="F3" s="62" t="n">
        <x:v>0.6</x:v>
      </x:c>
      <x:c r="G3" s="61" t="str">
        <x:v>fraction</x:v>
      </x:c>
      <x:c r="H3" s="61" t="n">
        <x:v>0</x:v>
      </x:c>
      <x:c r="I3" s="61" t="n">
        <x:v>1</x:v>
      </x:c>
      <x:c r="J3" s="63" t="b">
        <x:v>1</x:v>
      </x:c>
      <x:c r="K3" s="61" t="str">
        <x:v>assumed</x:v>
      </x:c>
      <x:c r="L3" s="73" t="str">
        <x:v>E</x:v>
      </x:c>
      <x:c r="M3" s="61"/>
      <x:c r="N3" s="61" t="str">
        <x:v>Structural test value.</x:v>
      </x:c>
      <x:c r="O3" s="61" t="n">
        <x:v>10</x:v>
      </x:c>
      <x:c r="P3" s="63" t="b">
        <x:v>1</x:v>
      </x:c>
      <x:c r="Q3" s="61" t="str">
        <x:v>fraction to preparation rejects</x:v>
      </x:c>
    </x:row>
    <x:row r="4">
      <x:c r="A4" s="61" t="str">
        <x:v>F1</x:v>
      </x:c>
      <x:c r="B4" s="61" t="str">
        <x:v>All</x:v>
      </x:c>
      <x:c r="C4" s="61" t="str">
        <x:v>preparation</x:v>
      </x:c>
      <x:c r="D4" s="61" t="str">
        <x:v>Litter removal</x:v>
      </x:c>
      <x:c r="E4" s="61" t="str">
        <x:v>cleaning_litter_removal_fraction</x:v>
      </x:c>
      <x:c r="F4" s="62" t="n">
        <x:v>0.7</x:v>
      </x:c>
      <x:c r="G4" s="61" t="str">
        <x:v>fraction</x:v>
      </x:c>
      <x:c r="H4" s="61" t="n">
        <x:v>0</x:v>
      </x:c>
      <x:c r="I4" s="61" t="n">
        <x:v>1</x:v>
      </x:c>
      <x:c r="J4" s="63" t="b">
        <x:v>1</x:v>
      </x:c>
      <x:c r="K4" s="61" t="str">
        <x:v>assumed</x:v>
      </x:c>
      <x:c r="L4" s="73" t="str">
        <x:v>E</x:v>
      </x:c>
      <x:c r="M4" s="61"/>
      <x:c r="N4" s="61" t="str">
        <x:v>Structural test value.</x:v>
      </x:c>
      <x:c r="O4" s="61" t="n">
        <x:v>10</x:v>
      </x:c>
      <x:c r="P4" s="63" t="b">
        <x:v>1</x:v>
      </x:c>
      <x:c r="Q4" s="61" t="str">
        <x:v>fraction to preparation rejects</x:v>
      </x:c>
    </x:row>
    <x:row r="5">
      <x:c r="A5" s="61" t="str">
        <x:v>F1</x:v>
      </x:c>
      <x:c r="B5" s="61" t="str">
        <x:v>All</x:v>
      </x:c>
      <x:c r="C5" s="61" t="str">
        <x:v>preparation</x:v>
      </x:c>
      <x:c r="D5" s="61" t="str">
        <x:v>Other inert removal</x:v>
      </x:c>
      <x:c r="E5" s="61" t="str">
        <x:v>cleaning_inert_removal_fraction</x:v>
      </x:c>
      <x:c r="F5" s="62" t="n">
        <x:v>0.1</x:v>
      </x:c>
      <x:c r="G5" s="61" t="str">
        <x:v>fraction</x:v>
      </x:c>
      <x:c r="H5" s="61" t="n">
        <x:v>0</x:v>
      </x:c>
      <x:c r="I5" s="61" t="n">
        <x:v>1</x:v>
      </x:c>
      <x:c r="J5" s="63" t="b">
        <x:v>1</x:v>
      </x:c>
      <x:c r="K5" s="61" t="str">
        <x:v>assumed</x:v>
      </x:c>
      <x:c r="L5" s="73" t="str">
        <x:v>E</x:v>
      </x:c>
      <x:c r="M5" s="61"/>
      <x:c r="N5" s="61" t="str">
        <x:v>Structural test value.</x:v>
      </x:c>
      <x:c r="O5" s="61" t="n">
        <x:v>10</x:v>
      </x:c>
      <x:c r="P5" s="63" t="b">
        <x:v>1</x:v>
      </x:c>
      <x:c r="Q5" s="61" t="str">
        <x:v>fraction to preparation rejects</x:v>
      </x:c>
    </x:row>
    <x:row r="6">
      <x:c r="A6" s="61" t="str">
        <x:v>F1</x:v>
      </x:c>
      <x:c r="B6" s="61" t="str">
        <x:v>All</x:v>
      </x:c>
      <x:c r="C6" s="61" t="str">
        <x:v>preparation</x:v>
      </x:c>
      <x:c r="D6" s="61" t="str">
        <x:v>Biomass loss</x:v>
      </x:c>
      <x:c r="E6" s="61" t="str">
        <x:v>cleaning_biomass_loss_fraction</x:v>
      </x:c>
      <x:c r="F6" s="62" t="n">
        <x:v>0</x:v>
      </x:c>
      <x:c r="G6" s="61" t="str">
        <x:v>fraction</x:v>
      </x:c>
      <x:c r="H6" s="61" t="n">
        <x:v>0</x:v>
      </x:c>
      <x:c r="I6" s="61" t="n">
        <x:v>1</x:v>
      </x:c>
      <x:c r="J6" s="63" t="b">
        <x:v>1</x:v>
      </x:c>
      <x:c r="K6" s="61" t="str">
        <x:v>assumed</x:v>
      </x:c>
      <x:c r="L6" s="73" t="str">
        <x:v>E</x:v>
      </x:c>
      <x:c r="M6" s="61"/>
      <x:c r="N6" s="61" t="str">
        <x:v>Default is zero; any future value remains in rejects.</x:v>
      </x:c>
      <x:c r="O6" s="61" t="n">
        <x:v>10</x:v>
      </x:c>
      <x:c r="P6" s="63" t="b">
        <x:v>1</x:v>
      </x:c>
      <x:c r="Q6" s="61" t="str">
        <x:v>fraction to preparation rejects</x:v>
      </x:c>
    </x:row>
    <x:row r="7">
      <x:c r="A7" s="61" t="str">
        <x:v>F1</x:v>
      </x:c>
      <x:c r="B7" s="61" t="str">
        <x:v>All</x:v>
      </x:c>
      <x:c r="C7" s="61" t="str">
        <x:v>preparation</x:v>
      </x:c>
      <x:c r="D7" s="61" t="str">
        <x:v>Specific electricity</x:v>
      </x:c>
      <x:c r="E7" s="61" t="str">
        <x:v>cleaning_electricity_kwh_per_t_wet</x:v>
      </x:c>
      <x:c r="F7" s="62" t="n">
        <x:v>1.5</x:v>
      </x:c>
      <x:c r="G7" s="61" t="str">
        <x:v>kWh/t wet</x:v>
      </x:c>
      <x:c r="H7" s="61" t="n">
        <x:v>0</x:v>
      </x:c>
      <x:c r="I7" s="61"/>
      <x:c r="J7" s="63" t="b">
        <x:v>1</x:v>
      </x:c>
      <x:c r="K7" s="61" t="str">
        <x:v>assumed</x:v>
      </x:c>
      <x:c r="L7" s="73" t="str">
        <x:v>E</x:v>
      </x:c>
      <x:c r="M7" s="61"/>
      <x:c r="N7" s="61" t="str">
        <x:v>Structural test value; replace with equipment data.</x:v>
      </x:c>
      <x:c r="O7" s="61" t="n">
        <x:v>10</x:v>
      </x:c>
      <x:c r="P7" s="63" t="b">
        <x:v>1</x:v>
      </x:c>
      <x:c r="Q7" s="61" t="str">
        <x:v>wet t/h x kWh/t</x:v>
      </x:c>
    </x:row>
    <x:row r="8">
      <x:c r="A8" s="61" t="str">
        <x:v>F1</x:v>
      </x:c>
      <x:c r="B8" s="61" t="str">
        <x:v>All</x:v>
      </x:c>
      <x:c r="C8" s="61" t="str">
        <x:v>preparation</x:v>
      </x:c>
      <x:c r="D8" s="61" t="str">
        <x:v>Train capacity</x:v>
      </x:c>
      <x:c r="E8" s="61" t="str">
        <x:v>cleaning_capacity_t_per_h</x:v>
      </x:c>
      <x:c r="F8" s="62" t="n">
        <x:v>2</x:v>
      </x:c>
      <x:c r="G8" s="61" t="str">
        <x:v>t wet/h</x:v>
      </x:c>
      <x:c r="H8" s="61" t="n">
        <x:v>0</x:v>
      </x:c>
      <x:c r="I8" s="61"/>
      <x:c r="J8" s="63" t="b">
        <x:v>0</x:v>
      </x:c>
      <x:c r="K8" s="61" t="str">
        <x:v>assumed</x:v>
      </x:c>
      <x:c r="L8" s="73" t="str">
        <x:v>E</x:v>
      </x:c>
      <x:c r="M8" s="61"/>
      <x:c r="N8" s="61" t="str">
        <x:v>Structural sizing value; no CAPEX is assigned.</x:v>
      </x:c>
      <x:c r="O8" s="61" t="n">
        <x:v>10</x:v>
      </x:c>
      <x:c r="P8" s="63" t="b">
        <x:v>1</x:v>
      </x:c>
      <x:c r="Q8" s="61" t="str">
        <x:v>ceil throughput/capacity</x:v>
      </x:c>
    </x:row>
    <x:row r="9">
      <x:c r="A9" s="61" t="str">
        <x:v>F2</x:v>
      </x:c>
      <x:c r="B9" s="61" t="str">
        <x:v>All</x:v>
      </x:c>
      <x:c r="C9" s="61" t="str">
        <x:v>preparation</x:v>
      </x:c>
      <x:c r="D9" s="61" t="str">
        <x:v>Cleaning enabled</x:v>
      </x:c>
      <x:c r="E9" s="61" t="str">
        <x:v>cleaning_enabled</x:v>
      </x:c>
      <x:c r="F9" s="75" t="b">
        <x:v>1</x:v>
      </x:c>
      <x:c r="G9" s="61" t="str">
        <x:v>boolean</x:v>
      </x:c>
      <x:c r="H9" s="61"/>
      <x:c r="I9" s="61"/>
      <x:c r="J9" s="63" t="b">
        <x:v>1</x:v>
      </x:c>
      <x:c r="K9" s="61" t="str">
        <x:v>assumed</x:v>
      </x:c>
      <x:c r="L9" s="73" t="str">
        <x:v>E</x:v>
      </x:c>
      <x:c r="M9" s="61"/>
      <x:c r="N9" s="61" t="str">
        <x:v>Optional transparent removal model.</x:v>
      </x:c>
      <x:c r="O9" s="61" t="n">
        <x:v>10</x:v>
      </x:c>
      <x:c r="P9" s="63" t="b">
        <x:v>1</x:v>
      </x:c>
      <x:c r="Q9" s="61" t="str">
        <x:v>component-specific removal</x:v>
      </x:c>
    </x:row>
    <x:row r="10">
      <x:c r="A10" s="61" t="str">
        <x:v>F2</x:v>
      </x:c>
      <x:c r="B10" s="61" t="str">
        <x:v>All</x:v>
      </x:c>
      <x:c r="C10" s="61" t="str">
        <x:v>preparation</x:v>
      </x:c>
      <x:c r="D10" s="61" t="str">
        <x:v>Sand removal</x:v>
      </x:c>
      <x:c r="E10" s="61" t="str">
        <x:v>cleaning_sand_removal_fraction</x:v>
      </x:c>
      <x:c r="F10" s="62" t="n">
        <x:v>0.6</x:v>
      </x:c>
      <x:c r="G10" s="61" t="str">
        <x:v>fraction</x:v>
      </x:c>
      <x:c r="H10" s="61" t="n">
        <x:v>0</x:v>
      </x:c>
      <x:c r="I10" s="61" t="n">
        <x:v>1</x:v>
      </x:c>
      <x:c r="J10" s="63" t="b">
        <x:v>1</x:v>
      </x:c>
      <x:c r="K10" s="61" t="str">
        <x:v>assumed</x:v>
      </x:c>
      <x:c r="L10" s="73" t="str">
        <x:v>E</x:v>
      </x:c>
      <x:c r="M10" s="61"/>
      <x:c r="N10" s="61" t="str">
        <x:v>Structural test value.</x:v>
      </x:c>
      <x:c r="O10" s="61" t="n">
        <x:v>10</x:v>
      </x:c>
      <x:c r="P10" s="63" t="b">
        <x:v>1</x:v>
      </x:c>
      <x:c r="Q10" s="61" t="str">
        <x:v>fraction to preparation rejects</x:v>
      </x:c>
    </x:row>
    <x:row r="11">
      <x:c r="A11" s="61" t="str">
        <x:v>F2</x:v>
      </x:c>
      <x:c r="B11" s="61" t="str">
        <x:v>All</x:v>
      </x:c>
      <x:c r="C11" s="61" t="str">
        <x:v>preparation</x:v>
      </x:c>
      <x:c r="D11" s="61" t="str">
        <x:v>Litter removal</x:v>
      </x:c>
      <x:c r="E11" s="61" t="str">
        <x:v>cleaning_litter_removal_fraction</x:v>
      </x:c>
      <x:c r="F11" s="62" t="n">
        <x:v>0.7</x:v>
      </x:c>
      <x:c r="G11" s="61" t="str">
        <x:v>fraction</x:v>
      </x:c>
      <x:c r="H11" s="61" t="n">
        <x:v>0</x:v>
      </x:c>
      <x:c r="I11" s="61" t="n">
        <x:v>1</x:v>
      </x:c>
      <x:c r="J11" s="63" t="b">
        <x:v>1</x:v>
      </x:c>
      <x:c r="K11" s="61" t="str">
        <x:v>assumed</x:v>
      </x:c>
      <x:c r="L11" s="73" t="str">
        <x:v>E</x:v>
      </x:c>
      <x:c r="M11" s="61"/>
      <x:c r="N11" s="61" t="str">
        <x:v>Structural test value.</x:v>
      </x:c>
      <x:c r="O11" s="61" t="n">
        <x:v>10</x:v>
      </x:c>
      <x:c r="P11" s="63" t="b">
        <x:v>1</x:v>
      </x:c>
      <x:c r="Q11" s="61" t="str">
        <x:v>fraction to preparation rejects</x:v>
      </x:c>
    </x:row>
    <x:row r="12">
      <x:c r="A12" s="61" t="str">
        <x:v>F2</x:v>
      </x:c>
      <x:c r="B12" s="61" t="str">
        <x:v>All</x:v>
      </x:c>
      <x:c r="C12" s="61" t="str">
        <x:v>preparation</x:v>
      </x:c>
      <x:c r="D12" s="61" t="str">
        <x:v>Other inert removal</x:v>
      </x:c>
      <x:c r="E12" s="61" t="str">
        <x:v>cleaning_inert_removal_fraction</x:v>
      </x:c>
      <x:c r="F12" s="62" t="n">
        <x:v>0.1</x:v>
      </x:c>
      <x:c r="G12" s="61" t="str">
        <x:v>fraction</x:v>
      </x:c>
      <x:c r="H12" s="61" t="n">
        <x:v>0</x:v>
      </x:c>
      <x:c r="I12" s="61" t="n">
        <x:v>1</x:v>
      </x:c>
      <x:c r="J12" s="63" t="b">
        <x:v>1</x:v>
      </x:c>
      <x:c r="K12" s="61" t="str">
        <x:v>assumed</x:v>
      </x:c>
      <x:c r="L12" s="73" t="str">
        <x:v>E</x:v>
      </x:c>
      <x:c r="M12" s="61"/>
      <x:c r="N12" s="61" t="str">
        <x:v>Structural test value.</x:v>
      </x:c>
      <x:c r="O12" s="61" t="n">
        <x:v>10</x:v>
      </x:c>
      <x:c r="P12" s="63" t="b">
        <x:v>1</x:v>
      </x:c>
      <x:c r="Q12" s="61" t="str">
        <x:v>fraction to preparation rejects</x:v>
      </x:c>
    </x:row>
    <x:row r="13">
      <x:c r="A13" s="61" t="str">
        <x:v>F2</x:v>
      </x:c>
      <x:c r="B13" s="61" t="str">
        <x:v>All</x:v>
      </x:c>
      <x:c r="C13" s="61" t="str">
        <x:v>preparation</x:v>
      </x:c>
      <x:c r="D13" s="61" t="str">
        <x:v>Biomass loss</x:v>
      </x:c>
      <x:c r="E13" s="61" t="str">
        <x:v>cleaning_biomass_loss_fraction</x:v>
      </x:c>
      <x:c r="F13" s="62" t="n">
        <x:v>0</x:v>
      </x:c>
      <x:c r="G13" s="61" t="str">
        <x:v>fraction</x:v>
      </x:c>
      <x:c r="H13" s="61" t="n">
        <x:v>0</x:v>
      </x:c>
      <x:c r="I13" s="61" t="n">
        <x:v>1</x:v>
      </x:c>
      <x:c r="J13" s="63" t="b">
        <x:v>1</x:v>
      </x:c>
      <x:c r="K13" s="61" t="str">
        <x:v>assumed</x:v>
      </x:c>
      <x:c r="L13" s="73" t="str">
        <x:v>E</x:v>
      </x:c>
      <x:c r="M13" s="61"/>
      <x:c r="N13" s="61" t="str">
        <x:v>Default is zero; any future value remains in rejects.</x:v>
      </x:c>
      <x:c r="O13" s="61" t="n">
        <x:v>10</x:v>
      </x:c>
      <x:c r="P13" s="63" t="b">
        <x:v>1</x:v>
      </x:c>
      <x:c r="Q13" s="61" t="str">
        <x:v>fraction to preparation rejects</x:v>
      </x:c>
    </x:row>
    <x:row r="14">
      <x:c r="A14" s="61" t="str">
        <x:v>F2</x:v>
      </x:c>
      <x:c r="B14" s="61" t="str">
        <x:v>All</x:v>
      </x:c>
      <x:c r="C14" s="61" t="str">
        <x:v>preparation</x:v>
      </x:c>
      <x:c r="D14" s="61" t="str">
        <x:v>Specific electricity</x:v>
      </x:c>
      <x:c r="E14" s="61" t="str">
        <x:v>cleaning_electricity_kwh_per_t_wet</x:v>
      </x:c>
      <x:c r="F14" s="62" t="n">
        <x:v>1.5</x:v>
      </x:c>
      <x:c r="G14" s="61" t="str">
        <x:v>kWh/t wet</x:v>
      </x:c>
      <x:c r="H14" s="61" t="n">
        <x:v>0</x:v>
      </x:c>
      <x:c r="I14" s="61"/>
      <x:c r="J14" s="63" t="b">
        <x:v>1</x:v>
      </x:c>
      <x:c r="K14" s="61" t="str">
        <x:v>assumed</x:v>
      </x:c>
      <x:c r="L14" s="73" t="str">
        <x:v>E</x:v>
      </x:c>
      <x:c r="M14" s="61"/>
      <x:c r="N14" s="61" t="str">
        <x:v>Structural test value; replace with equipment data.</x:v>
      </x:c>
      <x:c r="O14" s="61" t="n">
        <x:v>10</x:v>
      </x:c>
      <x:c r="P14" s="63" t="b">
        <x:v>1</x:v>
      </x:c>
      <x:c r="Q14" s="61" t="str">
        <x:v>wet t/h x kWh/t</x:v>
      </x:c>
    </x:row>
    <x:row r="15">
      <x:c r="A15" s="61" t="str">
        <x:v>F2</x:v>
      </x:c>
      <x:c r="B15" s="61" t="str">
        <x:v>All</x:v>
      </x:c>
      <x:c r="C15" s="61" t="str">
        <x:v>preparation</x:v>
      </x:c>
      <x:c r="D15" s="61" t="str">
        <x:v>Train capacity</x:v>
      </x:c>
      <x:c r="E15" s="61" t="str">
        <x:v>cleaning_capacity_t_per_h</x:v>
      </x:c>
      <x:c r="F15" s="62" t="n">
        <x:v>2</x:v>
      </x:c>
      <x:c r="G15" s="61" t="str">
        <x:v>t wet/h</x:v>
      </x:c>
      <x:c r="H15" s="61" t="n">
        <x:v>0</x:v>
      </x:c>
      <x:c r="I15" s="61"/>
      <x:c r="J15" s="63" t="b">
        <x:v>0</x:v>
      </x:c>
      <x:c r="K15" s="61" t="str">
        <x:v>assumed</x:v>
      </x:c>
      <x:c r="L15" s="73" t="str">
        <x:v>E</x:v>
      </x:c>
      <x:c r="M15" s="61"/>
      <x:c r="N15" s="61" t="str">
        <x:v>Structural sizing value; no CAPEX is assigned.</x:v>
      </x:c>
      <x:c r="O15" s="61" t="n">
        <x:v>10</x:v>
      </x:c>
      <x:c r="P15" s="63" t="b">
        <x:v>1</x:v>
      </x:c>
      <x:c r="Q15" s="61" t="str">
        <x:v>ceil throughput/capacity</x:v>
      </x:c>
    </x:row>
    <x:row r="16">
      <x:c r="A16" s="61" t="str">
        <x:v>F3</x:v>
      </x:c>
      <x:c r="B16" s="61" t="str">
        <x:v>All</x:v>
      </x:c>
      <x:c r="C16" s="61" t="str">
        <x:v>preparation</x:v>
      </x:c>
      <x:c r="D16" s="61" t="str">
        <x:v>Cleaning enabled</x:v>
      </x:c>
      <x:c r="E16" s="61" t="str">
        <x:v>cleaning_enabled</x:v>
      </x:c>
      <x:c r="F16" s="75" t="b">
        <x:v>1</x:v>
      </x:c>
      <x:c r="G16" s="61" t="str">
        <x:v>boolean</x:v>
      </x:c>
      <x:c r="H16" s="61"/>
      <x:c r="I16" s="61"/>
      <x:c r="J16" s="63" t="b">
        <x:v>1</x:v>
      </x:c>
      <x:c r="K16" s="61" t="str">
        <x:v>assumed</x:v>
      </x:c>
      <x:c r="L16" s="73" t="str">
        <x:v>E</x:v>
      </x:c>
      <x:c r="M16" s="61"/>
      <x:c r="N16" s="61" t="str">
        <x:v>Optional transparent removal model.</x:v>
      </x:c>
      <x:c r="O16" s="61" t="n">
        <x:v>10</x:v>
      </x:c>
      <x:c r="P16" s="63" t="b">
        <x:v>1</x:v>
      </x:c>
      <x:c r="Q16" s="61" t="str">
        <x:v>component-specific removal</x:v>
      </x:c>
    </x:row>
    <x:row r="17">
      <x:c r="A17" s="61" t="str">
        <x:v>F3</x:v>
      </x:c>
      <x:c r="B17" s="61" t="str">
        <x:v>All</x:v>
      </x:c>
      <x:c r="C17" s="61" t="str">
        <x:v>preparation</x:v>
      </x:c>
      <x:c r="D17" s="61" t="str">
        <x:v>Sand removal</x:v>
      </x:c>
      <x:c r="E17" s="61" t="str">
        <x:v>cleaning_sand_removal_fraction</x:v>
      </x:c>
      <x:c r="F17" s="62" t="n">
        <x:v>0.6</x:v>
      </x:c>
      <x:c r="G17" s="61" t="str">
        <x:v>fraction</x:v>
      </x:c>
      <x:c r="H17" s="61" t="n">
        <x:v>0</x:v>
      </x:c>
      <x:c r="I17" s="61" t="n">
        <x:v>1</x:v>
      </x:c>
      <x:c r="J17" s="63" t="b">
        <x:v>1</x:v>
      </x:c>
      <x:c r="K17" s="61" t="str">
        <x:v>assumed</x:v>
      </x:c>
      <x:c r="L17" s="73" t="str">
        <x:v>E</x:v>
      </x:c>
      <x:c r="M17" s="61"/>
      <x:c r="N17" s="61" t="str">
        <x:v>Structural test value.</x:v>
      </x:c>
      <x:c r="O17" s="61" t="n">
        <x:v>10</x:v>
      </x:c>
      <x:c r="P17" s="63" t="b">
        <x:v>1</x:v>
      </x:c>
      <x:c r="Q17" s="61" t="str">
        <x:v>fraction to preparation rejects</x:v>
      </x:c>
    </x:row>
    <x:row r="18">
      <x:c r="A18" s="61" t="str">
        <x:v>F3</x:v>
      </x:c>
      <x:c r="B18" s="61" t="str">
        <x:v>All</x:v>
      </x:c>
      <x:c r="C18" s="61" t="str">
        <x:v>preparation</x:v>
      </x:c>
      <x:c r="D18" s="61" t="str">
        <x:v>Litter removal</x:v>
      </x:c>
      <x:c r="E18" s="61" t="str">
        <x:v>cleaning_litter_removal_fraction</x:v>
      </x:c>
      <x:c r="F18" s="62" t="n">
        <x:v>0.7</x:v>
      </x:c>
      <x:c r="G18" s="61" t="str">
        <x:v>fraction</x:v>
      </x:c>
      <x:c r="H18" s="61" t="n">
        <x:v>0</x:v>
      </x:c>
      <x:c r="I18" s="61" t="n">
        <x:v>1</x:v>
      </x:c>
      <x:c r="J18" s="63" t="b">
        <x:v>1</x:v>
      </x:c>
      <x:c r="K18" s="61" t="str">
        <x:v>assumed</x:v>
      </x:c>
      <x:c r="L18" s="73" t="str">
        <x:v>E</x:v>
      </x:c>
      <x:c r="M18" s="61"/>
      <x:c r="N18" s="61" t="str">
        <x:v>Structural test value.</x:v>
      </x:c>
      <x:c r="O18" s="61" t="n">
        <x:v>10</x:v>
      </x:c>
      <x:c r="P18" s="63" t="b">
        <x:v>1</x:v>
      </x:c>
      <x:c r="Q18" s="61" t="str">
        <x:v>fraction to preparation rejects</x:v>
      </x:c>
    </x:row>
    <x:row r="19">
      <x:c r="A19" s="61" t="str">
        <x:v>F3</x:v>
      </x:c>
      <x:c r="B19" s="61" t="str">
        <x:v>All</x:v>
      </x:c>
      <x:c r="C19" s="61" t="str">
        <x:v>preparation</x:v>
      </x:c>
      <x:c r="D19" s="61" t="str">
        <x:v>Other inert removal</x:v>
      </x:c>
      <x:c r="E19" s="61" t="str">
        <x:v>cleaning_inert_removal_fraction</x:v>
      </x:c>
      <x:c r="F19" s="62" t="n">
        <x:v>0.1</x:v>
      </x:c>
      <x:c r="G19" s="61" t="str">
        <x:v>fraction</x:v>
      </x:c>
      <x:c r="H19" s="61" t="n">
        <x:v>0</x:v>
      </x:c>
      <x:c r="I19" s="61" t="n">
        <x:v>1</x:v>
      </x:c>
      <x:c r="J19" s="63" t="b">
        <x:v>1</x:v>
      </x:c>
      <x:c r="K19" s="61" t="str">
        <x:v>assumed</x:v>
      </x:c>
      <x:c r="L19" s="73" t="str">
        <x:v>E</x:v>
      </x:c>
      <x:c r="M19" s="61"/>
      <x:c r="N19" s="61" t="str">
        <x:v>Structural test value.</x:v>
      </x:c>
      <x:c r="O19" s="61" t="n">
        <x:v>10</x:v>
      </x:c>
      <x:c r="P19" s="63" t="b">
        <x:v>1</x:v>
      </x:c>
      <x:c r="Q19" s="61" t="str">
        <x:v>fraction to preparation rejects</x:v>
      </x:c>
    </x:row>
    <x:row r="20">
      <x:c r="A20" s="61" t="str">
        <x:v>F3</x:v>
      </x:c>
      <x:c r="B20" s="61" t="str">
        <x:v>All</x:v>
      </x:c>
      <x:c r="C20" s="61" t="str">
        <x:v>preparation</x:v>
      </x:c>
      <x:c r="D20" s="61" t="str">
        <x:v>Biomass loss</x:v>
      </x:c>
      <x:c r="E20" s="61" t="str">
        <x:v>cleaning_biomass_loss_fraction</x:v>
      </x:c>
      <x:c r="F20" s="62" t="n">
        <x:v>0</x:v>
      </x:c>
      <x:c r="G20" s="61" t="str">
        <x:v>fraction</x:v>
      </x:c>
      <x:c r="H20" s="61" t="n">
        <x:v>0</x:v>
      </x:c>
      <x:c r="I20" s="61" t="n">
        <x:v>1</x:v>
      </x:c>
      <x:c r="J20" s="63" t="b">
        <x:v>1</x:v>
      </x:c>
      <x:c r="K20" s="61" t="str">
        <x:v>assumed</x:v>
      </x:c>
      <x:c r="L20" s="73" t="str">
        <x:v>E</x:v>
      </x:c>
      <x:c r="M20" s="61"/>
      <x:c r="N20" s="61" t="str">
        <x:v>Default is zero; any future value remains in rejects.</x:v>
      </x:c>
      <x:c r="O20" s="61" t="n">
        <x:v>10</x:v>
      </x:c>
      <x:c r="P20" s="63" t="b">
        <x:v>1</x:v>
      </x:c>
      <x:c r="Q20" s="61" t="str">
        <x:v>fraction to preparation rejects</x:v>
      </x:c>
    </x:row>
    <x:row r="21">
      <x:c r="A21" s="61" t="str">
        <x:v>F3</x:v>
      </x:c>
      <x:c r="B21" s="61" t="str">
        <x:v>All</x:v>
      </x:c>
      <x:c r="C21" s="61" t="str">
        <x:v>preparation</x:v>
      </x:c>
      <x:c r="D21" s="61" t="str">
        <x:v>Specific electricity</x:v>
      </x:c>
      <x:c r="E21" s="61" t="str">
        <x:v>cleaning_electricity_kwh_per_t_wet</x:v>
      </x:c>
      <x:c r="F21" s="62" t="n">
        <x:v>1.5</x:v>
      </x:c>
      <x:c r="G21" s="61" t="str">
        <x:v>kWh/t wet</x:v>
      </x:c>
      <x:c r="H21" s="61" t="n">
        <x:v>0</x:v>
      </x:c>
      <x:c r="I21" s="61"/>
      <x:c r="J21" s="63" t="b">
        <x:v>1</x:v>
      </x:c>
      <x:c r="K21" s="61" t="str">
        <x:v>assumed</x:v>
      </x:c>
      <x:c r="L21" s="73" t="str">
        <x:v>E</x:v>
      </x:c>
      <x:c r="M21" s="61"/>
      <x:c r="N21" s="61" t="str">
        <x:v>Structural test value; replace with equipment data.</x:v>
      </x:c>
      <x:c r="O21" s="61" t="n">
        <x:v>10</x:v>
      </x:c>
      <x:c r="P21" s="63" t="b">
        <x:v>1</x:v>
      </x:c>
      <x:c r="Q21" s="61" t="str">
        <x:v>wet t/h x kWh/t</x:v>
      </x:c>
    </x:row>
    <x:row r="22">
      <x:c r="A22" s="61" t="str">
        <x:v>F3</x:v>
      </x:c>
      <x:c r="B22" s="61" t="str">
        <x:v>All</x:v>
      </x:c>
      <x:c r="C22" s="61" t="str">
        <x:v>preparation</x:v>
      </x:c>
      <x:c r="D22" s="61" t="str">
        <x:v>Train capacity</x:v>
      </x:c>
      <x:c r="E22" s="61" t="str">
        <x:v>cleaning_capacity_t_per_h</x:v>
      </x:c>
      <x:c r="F22" s="62" t="n">
        <x:v>2</x:v>
      </x:c>
      <x:c r="G22" s="61" t="str">
        <x:v>t wet/h</x:v>
      </x:c>
      <x:c r="H22" s="61" t="n">
        <x:v>0</x:v>
      </x:c>
      <x:c r="I22" s="61"/>
      <x:c r="J22" s="63" t="b">
        <x:v>0</x:v>
      </x:c>
      <x:c r="K22" s="61" t="str">
        <x:v>assumed</x:v>
      </x:c>
      <x:c r="L22" s="73" t="str">
        <x:v>E</x:v>
      </x:c>
      <x:c r="M22" s="61"/>
      <x:c r="N22" s="61" t="str">
        <x:v>Structural sizing value; no CAPEX is assigned.</x:v>
      </x:c>
      <x:c r="O22" s="61" t="n">
        <x:v>10</x:v>
      </x:c>
      <x:c r="P22" s="63" t="b">
        <x:v>1</x:v>
      </x:c>
      <x:c r="Q22" s="61" t="str">
        <x:v>ceil throughput/capacity</x:v>
      </x:c>
    </x:row>
    <x:row r="23">
      <x:c r="A23" s="61" t="str">
        <x:v>F2</x:v>
      </x:c>
      <x:c r="B23" s="61" t="str">
        <x:v>All</x:v>
      </x:c>
      <x:c r="C23" s="61" t="str">
        <x:v>pef</x:v>
      </x:c>
      <x:c r="D23" s="61" t="str">
        <x:v>Specific energy</x:v>
      </x:c>
      <x:c r="E23" s="61" t="str">
        <x:v>specific_energy_kwh_per_t_wet</x:v>
      </x:c>
      <x:c r="F23" s="62" t="n">
        <x:v>20</x:v>
      </x:c>
      <x:c r="G23" s="61" t="str">
        <x:v>kWh/t wet</x:v>
      </x:c>
      <x:c r="H23" s="61" t="n">
        <x:v>0</x:v>
      </x:c>
      <x:c r="I23" s="61"/>
      <x:c r="J23" s="63" t="b">
        <x:v>1</x:v>
      </x:c>
      <x:c r="K23" s="61" t="str">
        <x:v>assumed</x:v>
      </x:c>
      <x:c r="L23" s="73" t="str">
        <x:v>E</x:v>
      </x:c>
      <x:c r="M23" s="61"/>
      <x:c r="N23" s="61" t="str">
        <x:v>Structural test value; not literature-calibrated.</x:v>
      </x:c>
      <x:c r="O23" s="61" t="n">
        <x:v>10</x:v>
      </x:c>
      <x:c r="P23" s="63" t="b">
        <x:v>1</x:v>
      </x:c>
      <x:c r="Q23" s="61" t="str">
        <x:v>wet t/h x kWh/t</x:v>
      </x:c>
    </x:row>
    <x:row r="24">
      <x:c r="A24" s="61" t="str">
        <x:v>F2</x:v>
      </x:c>
      <x:c r="B24" s="61" t="str">
        <x:v>All</x:v>
      </x:c>
      <x:c r="C24" s="61" t="str">
        <x:v>pef</x:v>
      </x:c>
      <x:c r="D24" s="61" t="str">
        <x:v>Electric field strength</x:v>
      </x:c>
      <x:c r="E24" s="61" t="str">
        <x:v>electric_field_strength_kv_per_cm</x:v>
      </x:c>
      <x:c r="F24" s="62" t="n">
        <x:v>2</x:v>
      </x:c>
      <x:c r="G24" s="61" t="str">
        <x:v>kV/cm</x:v>
      </x:c>
      <x:c r="H24" s="61" t="n">
        <x:v>0</x:v>
      </x:c>
      <x:c r="I24" s="61"/>
      <x:c r="J24" s="63" t="b">
        <x:v>1</x:v>
      </x:c>
      <x:c r="K24" s="61" t="str">
        <x:v>assumed</x:v>
      </x:c>
      <x:c r="L24" s="73" t="str">
        <x:v>E</x:v>
      </x:c>
      <x:c r="M24" s="61"/>
      <x:c r="N24" s="61" t="str">
        <x:v>Structural test value.</x:v>
      </x:c>
      <x:c r="O24" s="61" t="n">
        <x:v>10</x:v>
      </x:c>
      <x:c r="P24" s="63" t="b">
        <x:v>1</x:v>
      </x:c>
      <x:c r="Q24" s="61" t="str">
        <x:v>reported design basis</x:v>
      </x:c>
    </x:row>
    <x:row r="25">
      <x:c r="A25" s="61" t="str">
        <x:v>F2</x:v>
      </x:c>
      <x:c r="B25" s="61" t="str">
        <x:v>All</x:v>
      </x:c>
      <x:c r="C25" s="61" t="str">
        <x:v>pef</x:v>
      </x:c>
      <x:c r="D25" s="61" t="str">
        <x:v>Pulse width</x:v>
      </x:c>
      <x:c r="E25" s="61" t="str">
        <x:v>pulse_width_us</x:v>
      </x:c>
      <x:c r="F25" s="62" t="n">
        <x:v>20</x:v>
      </x:c>
      <x:c r="G25" s="61" t="str">
        <x:v>us</x:v>
      </x:c>
      <x:c r="H25" s="61" t="n">
        <x:v>0</x:v>
      </x:c>
      <x:c r="I25" s="61"/>
      <x:c r="J25" s="63" t="b">
        <x:v>1</x:v>
      </x:c>
      <x:c r="K25" s="61" t="str">
        <x:v>assumed</x:v>
      </x:c>
      <x:c r="L25" s="73" t="str">
        <x:v>E</x:v>
      </x:c>
      <x:c r="M25" s="61"/>
      <x:c r="N25" s="61" t="str">
        <x:v>Structural test value.</x:v>
      </x:c>
      <x:c r="O25" s="61" t="n">
        <x:v>10</x:v>
      </x:c>
      <x:c r="P25" s="63" t="b">
        <x:v>1</x:v>
      </x:c>
      <x:c r="Q25" s="61" t="str">
        <x:v>reported design basis</x:v>
      </x:c>
    </x:row>
    <x:row r="26">
      <x:c r="A26" s="61" t="str">
        <x:v>F2</x:v>
      </x:c>
      <x:c r="B26" s="61" t="str">
        <x:v>All</x:v>
      </x:c>
      <x:c r="C26" s="61" t="str">
        <x:v>pef</x:v>
      </x:c>
      <x:c r="D26" s="61" t="str">
        <x:v>Pulse number</x:v>
      </x:c>
      <x:c r="E26" s="61" t="str">
        <x:v>number_of_pulses</x:v>
      </x:c>
      <x:c r="F26" s="62" t="n">
        <x:v>50</x:v>
      </x:c>
      <x:c r="G26" s="61" t="str">
        <x:v>count</x:v>
      </x:c>
      <x:c r="H26" s="61" t="n">
        <x:v>0</x:v>
      </x:c>
      <x:c r="I26" s="61"/>
      <x:c r="J26" s="63" t="b">
        <x:v>1</x:v>
      </x:c>
      <x:c r="K26" s="61" t="str">
        <x:v>assumed</x:v>
      </x:c>
      <x:c r="L26" s="73" t="str">
        <x:v>E</x:v>
      </x:c>
      <x:c r="M26" s="61"/>
      <x:c r="N26" s="61" t="str">
        <x:v>Structural test value.</x:v>
      </x:c>
      <x:c r="O26" s="61" t="n">
        <x:v>10</x:v>
      </x:c>
      <x:c r="P26" s="63" t="b">
        <x:v>1</x:v>
      </x:c>
      <x:c r="Q26" s="61" t="str">
        <x:v>reported design basis</x:v>
      </x:c>
    </x:row>
    <x:row r="27">
      <x:c r="A27" s="61" t="str">
        <x:v>F2</x:v>
      </x:c>
      <x:c r="B27" s="61" t="str">
        <x:v>All</x:v>
      </x:c>
      <x:c r="C27" s="61" t="str">
        <x:v>pef</x:v>
      </x:c>
      <x:c r="D27" s="61" t="str">
        <x:v>Treatment time</x:v>
      </x:c>
      <x:c r="E27" s="61" t="str">
        <x:v>treatment_time_s</x:v>
      </x:c>
      <x:c r="F27" s="62" t="n">
        <x:v>2</x:v>
      </x:c>
      <x:c r="G27" s="61" t="str">
        <x:v>s</x:v>
      </x:c>
      <x:c r="H27" s="61" t="n">
        <x:v>0</x:v>
      </x:c>
      <x:c r="I27" s="61"/>
      <x:c r="J27" s="63" t="b">
        <x:v>1</x:v>
      </x:c>
      <x:c r="K27" s="61" t="str">
        <x:v>assumed</x:v>
      </x:c>
      <x:c r="L27" s="73" t="str">
        <x:v>E</x:v>
      </x:c>
      <x:c r="M27" s="61"/>
      <x:c r="N27" s="61" t="str">
        <x:v>Structural test value.</x:v>
      </x:c>
      <x:c r="O27" s="61" t="n">
        <x:v>10</x:v>
      </x:c>
      <x:c r="P27" s="63" t="b">
        <x:v>1</x:v>
      </x:c>
      <x:c r="Q27" s="61" t="str">
        <x:v>reported design basis</x:v>
      </x:c>
    </x:row>
    <x:row r="28">
      <x:c r="A28" s="61" t="str">
        <x:v>F2</x:v>
      </x:c>
      <x:c r="B28" s="61" t="str">
        <x:v>All</x:v>
      </x:c>
      <x:c r="C28" s="61" t="str">
        <x:v>pef</x:v>
      </x:c>
      <x:c r="D28" s="61" t="str">
        <x:v>Treatment temperature</x:v>
      </x:c>
      <x:c r="E28" s="61" t="str">
        <x:v>treatment_temperature_c</x:v>
      </x:c>
      <x:c r="F28" s="62"/>
      <x:c r="G28" s="61" t="str">
        <x:v>degC</x:v>
      </x:c>
      <x:c r="H28" s="61" t="n">
        <x:v>0</x:v>
      </x:c>
      <x:c r="I28" s="61" t="n">
        <x:v>100</x:v>
      </x:c>
      <x:c r="J28" s="63" t="b">
        <x:v>0</x:v>
      </x:c>
      <x:c r="K28" s="61" t="str">
        <x:v>assumed</x:v>
      </x:c>
      <x:c r="L28" s="73" t="str">
        <x:v>E</x:v>
      </x:c>
      <x:c r="M28" s="61"/>
      <x:c r="N28" s="61" t="str">
        <x:v>Blank because temperature rise is used.</x:v>
      </x:c>
      <x:c r="O28" s="61" t="n">
        <x:v>10</x:v>
      </x:c>
      <x:c r="P28" s="63" t="b">
        <x:v>1</x:v>
      </x:c>
      <x:c r="Q28" s="61" t="str">
        <x:v>specified or blank</x:v>
      </x:c>
    </x:row>
    <x:row r="29">
      <x:c r="A29" s="61" t="str">
        <x:v>F2</x:v>
      </x:c>
      <x:c r="B29" s="61" t="str">
        <x:v>All</x:v>
      </x:c>
      <x:c r="C29" s="61" t="str">
        <x:v>pef</x:v>
      </x:c>
      <x:c r="D29" s="61" t="str">
        <x:v>Temperature rise</x:v>
      </x:c>
      <x:c r="E29" s="61" t="str">
        <x:v>temperature_rise_c</x:v>
      </x:c>
      <x:c r="F29" s="62" t="n">
        <x:v>5</x:v>
      </x:c>
      <x:c r="G29" s="61" t="str">
        <x:v>degC</x:v>
      </x:c>
      <x:c r="H29" s="61" t="n">
        <x:v>0</x:v>
      </x:c>
      <x:c r="I29" s="61" t="n">
        <x:v>50</x:v>
      </x:c>
      <x:c r="J29" s="63" t="b">
        <x:v>1</x:v>
      </x:c>
      <x:c r="K29" s="61" t="str">
        <x:v>assumed</x:v>
      </x:c>
      <x:c r="L29" s="73" t="str">
        <x:v>E</x:v>
      </x:c>
      <x:c r="M29" s="61"/>
      <x:c r="N29" s="61" t="str">
        <x:v>Structural test value.</x:v>
      </x:c>
      <x:c r="O29" s="61" t="n">
        <x:v>10</x:v>
      </x:c>
      <x:c r="P29" s="63" t="b">
        <x:v>1</x:v>
      </x:c>
      <x:c r="Q29" s="61" t="str">
        <x:v>specified rise; electricity counted once</x:v>
      </x:c>
    </x:row>
    <x:row r="30">
      <x:c r="A30" s="61" t="str">
        <x:v>F2</x:v>
      </x:c>
      <x:c r="B30" s="61" t="str">
        <x:v>All</x:v>
      </x:c>
      <x:c r="C30" s="61" t="str">
        <x:v>pef</x:v>
      </x:c>
      <x:c r="D30" s="61" t="str">
        <x:v>Temperature mode</x:v>
      </x:c>
      <x:c r="E30" s="61" t="str">
        <x:v>temperature_mode</x:v>
      </x:c>
      <x:c r="F30" s="62" t="str">
        <x:v>specified</x:v>
      </x:c>
      <x:c r="G30" s="61" t="str">
        <x:v>text</x:v>
      </x:c>
      <x:c r="H30" s="61"/>
      <x:c r="I30" s="61"/>
      <x:c r="J30" s="63" t="b">
        <x:v>1</x:v>
      </x:c>
      <x:c r="K30" s="61" t="str">
        <x:v>assumed</x:v>
      </x:c>
      <x:c r="L30" s="73" t="str">
        <x:v>E</x:v>
      </x:c>
      <x:c r="M30" s="61"/>
      <x:c r="N30" s="61" t="str">
        <x:v>Use calculated only with retained-energy assumptions.</x:v>
      </x:c>
      <x:c r="O30" s="61" t="n">
        <x:v>10</x:v>
      </x:c>
      <x:c r="P30" s="63" t="b">
        <x:v>1</x:v>
      </x:c>
      <x:c r="Q30" s="61" t="str">
        <x:v>specified</x:v>
      </x:c>
    </x:row>
    <x:row r="31">
      <x:c r="A31" s="61" t="str">
        <x:v>F2</x:v>
      </x:c>
      <x:c r="B31" s="61" t="str">
        <x:v>All</x:v>
      </x:c>
      <x:c r="C31" s="61" t="str">
        <x:v>pef</x:v>
      </x:c>
      <x:c r="D31" s="61" t="str">
        <x:v>Thermal retention</x:v>
      </x:c>
      <x:c r="E31" s="61" t="str">
        <x:v>thermal_retention_efficiency</x:v>
      </x:c>
      <x:c r="F31" s="62" t="n">
        <x:v>0.25</x:v>
      </x:c>
      <x:c r="G31" s="61" t="str">
        <x:v>fraction</x:v>
      </x:c>
      <x:c r="H31" s="61" t="n">
        <x:v>0</x:v>
      </x:c>
      <x:c r="I31" s="61" t="n">
        <x:v>1</x:v>
      </x:c>
      <x:c r="J31" s="63" t="b">
        <x:v>1</x:v>
      </x:c>
      <x:c r="K31" s="61" t="str">
        <x:v>assumed</x:v>
      </x:c>
      <x:c r="L31" s="73" t="str">
        <x:v>E</x:v>
      </x:c>
      <x:c r="M31" s="61"/>
      <x:c r="N31" s="61" t="str">
        <x:v>Used only in calculated temperature mode.</x:v>
      </x:c>
      <x:c r="O31" s="61" t="n">
        <x:v>10</x:v>
      </x:c>
      <x:c r="P31" s="63" t="b">
        <x:v>1</x:v>
      </x:c>
      <x:c r="Q31" s="61" t="str">
        <x:v>retained electrical energy</x:v>
      </x:c>
    </x:row>
    <x:row r="32">
      <x:c r="A32" s="61" t="str">
        <x:v>F2</x:v>
      </x:c>
      <x:c r="B32" s="61" t="str">
        <x:v>All</x:v>
      </x:c>
      <x:c r="C32" s="61" t="str">
        <x:v>pef</x:v>
      </x:c>
      <x:c r="D32" s="61" t="str">
        <x:v>Effective heat capacity</x:v>
      </x:c>
      <x:c r="E32" s="61" t="str">
        <x:v>effective_heat_capacity_kj_per_kg_k</x:v>
      </x:c>
      <x:c r="F32" s="62" t="n">
        <x:v>4</x:v>
      </x:c>
      <x:c r="G32" s="61" t="str">
        <x:v>kJ/kg/K</x:v>
      </x:c>
      <x:c r="H32" s="61" t="n">
        <x:v>0</x:v>
      </x:c>
      <x:c r="I32" s="61"/>
      <x:c r="J32" s="63" t="b">
        <x:v>1</x:v>
      </x:c>
      <x:c r="K32" s="61" t="str">
        <x:v>assumed</x:v>
      </x:c>
      <x:c r="L32" s="73" t="str">
        <x:v>E</x:v>
      </x:c>
      <x:c r="M32" s="61"/>
      <x:c r="N32" s="61" t="str">
        <x:v>Structural wet-biomass heat-capacity value.</x:v>
      </x:c>
      <x:c r="O32" s="61" t="n">
        <x:v>10</x:v>
      </x:c>
      <x:c r="P32" s="63" t="b">
        <x:v>1</x:v>
      </x:c>
      <x:c r="Q32" s="61" t="str">
        <x:v>mass x effective heat capacity</x:v>
      </x:c>
    </x:row>
    <x:row r="33">
      <x:c r="A33" s="61" t="str">
        <x:v>F2</x:v>
      </x:c>
      <x:c r="B33" s="61" t="str">
        <x:v>All</x:v>
      </x:c>
      <x:c r="C33" s="61" t="str">
        <x:v>pef</x:v>
      </x:c>
      <x:c r="D33" s="61" t="str">
        <x:v>Cell disintegration index</x:v>
      </x:c>
      <x:c r="E33" s="61" t="str">
        <x:v>cell_disintegration_index</x:v>
      </x:c>
      <x:c r="F33" s="62" t="n">
        <x:v>0.5</x:v>
      </x:c>
      <x:c r="G33" s="61" t="str">
        <x:v>fraction</x:v>
      </x:c>
      <x:c r="H33" s="61" t="n">
        <x:v>0</x:v>
      </x:c>
      <x:c r="I33" s="61" t="n">
        <x:v>1</x:v>
      </x:c>
      <x:c r="J33" s="63" t="b">
        <x:v>1</x:v>
      </x:c>
      <x:c r="K33" s="61" t="str">
        <x:v>assumed</x:v>
      </x:c>
      <x:c r="L33" s="73" t="str">
        <x:v>E</x:v>
      </x:c>
      <x:c r="M33" s="61"/>
      <x:c r="N33" s="61" t="str">
        <x:v>Empirical structural value.</x:v>
      </x:c>
      <x:c r="O33" s="61" t="n">
        <x:v>10</x:v>
      </x:c>
      <x:c r="P33" s="63" t="b">
        <x:v>1</x:v>
      </x:c>
      <x:c r="Q33" s="61" t="str">
        <x:v>scales suspended-protein transfer</x:v>
      </x:c>
    </x:row>
    <x:row r="34">
      <x:c r="A34" s="61" t="str">
        <x:v>F2</x:v>
      </x:c>
      <x:c r="B34" s="61" t="str">
        <x:v>All</x:v>
      </x:c>
      <x:c r="C34" s="61" t="str">
        <x:v>pef</x:v>
      </x:c>
      <x:c r="D34" s="61" t="str">
        <x:v>Soluble protein release enhancement</x:v>
      </x:c>
      <x:c r="E34" s="61" t="str">
        <x:v>soluble_protein_release_fraction</x:v>
      </x:c>
      <x:c r="F34" s="62" t="n">
        <x:v>0.2</x:v>
      </x:c>
      <x:c r="G34" s="61" t="str">
        <x:v>fraction</x:v>
      </x:c>
      <x:c r="H34" s="61" t="n">
        <x:v>0</x:v>
      </x:c>
      <x:c r="I34" s="61" t="n">
        <x:v>1</x:v>
      </x:c>
      <x:c r="J34" s="63" t="b">
        <x:v>1</x:v>
      </x:c>
      <x:c r="K34" s="61" t="str">
        <x:v>assumed</x:v>
      </x:c>
      <x:c r="L34" s="73" t="str">
        <x:v>E</x:v>
      </x:c>
      <x:c r="M34" s="61"/>
      <x:c r="N34" s="61" t="str">
        <x:v>Empirical press-recovery enhancement.</x:v>
      </x:c>
      <x:c r="O34" s="61" t="n">
        <x:v>10</x:v>
      </x:c>
      <x:c r="P34" s="63" t="b">
        <x:v>1</x:v>
      </x:c>
      <x:c r="Q34" s="61" t="str">
        <x:v>remaining-recovery enhancement</x:v>
      </x:c>
    </x:row>
    <x:row r="35">
      <x:c r="A35" s="61" t="str">
        <x:v>F2</x:v>
      </x:c>
      <x:c r="B35" s="61" t="str">
        <x:v>All</x:v>
      </x:c>
      <x:c r="C35" s="61" t="str">
        <x:v>pef</x:v>
      </x:c>
      <x:c r="D35" s="61" t="str">
        <x:v>Suspended protein solubilization</x:v>
      </x:c>
      <x:c r="E35" s="61" t="str">
        <x:v>suspended_protein_solubilization_fraction</x:v>
      </x:c>
      <x:c r="F35" s="62" t="n">
        <x:v>0.4</x:v>
      </x:c>
      <x:c r="G35" s="61" t="str">
        <x:v>fraction</x:v>
      </x:c>
      <x:c r="H35" s="61" t="n">
        <x:v>0</x:v>
      </x:c>
      <x:c r="I35" s="61" t="n">
        <x:v>1</x:v>
      </x:c>
      <x:c r="J35" s="63" t="b">
        <x:v>1</x:v>
      </x:c>
      <x:c r="K35" s="61" t="str">
        <x:v>assumed</x:v>
      </x:c>
      <x:c r="L35" s="73" t="str">
        <x:v>E</x:v>
      </x:c>
      <x:c r="M35" s="61"/>
      <x:c r="N35" s="61" t="str">
        <x:v>Empirical pool transfer.</x:v>
      </x:c>
      <x:c r="O35" s="61" t="n">
        <x:v>10</x:v>
      </x:c>
      <x:c r="P35" s="63" t="b">
        <x:v>1</x:v>
      </x:c>
      <x:c r="Q35" s="61" t="str">
        <x:v>SuspendedProtein to SolubleProtein</x:v>
      </x:c>
    </x:row>
    <x:row r="36">
      <x:c r="A36" s="61" t="str">
        <x:v>F2</x:v>
      </x:c>
      <x:c r="B36" s="61" t="str">
        <x:v>All</x:v>
      </x:c>
      <x:c r="C36" s="61" t="str">
        <x:v>pef</x:v>
      </x:c>
      <x:c r="D36" s="61" t="str">
        <x:v>Sugar release</x:v>
      </x:c>
      <x:c r="E36" s="61" t="str">
        <x:v>sugar_release_fraction</x:v>
      </x:c>
      <x:c r="F36" s="62" t="n">
        <x:v>0.3</x:v>
      </x:c>
      <x:c r="G36" s="61" t="str">
        <x:v>fraction</x:v>
      </x:c>
      <x:c r="H36" s="61" t="n">
        <x:v>0</x:v>
      </x:c>
      <x:c r="I36" s="61" t="n">
        <x:v>1</x:v>
      </x:c>
      <x:c r="J36" s="63" t="b">
        <x:v>1</x:v>
      </x:c>
      <x:c r="K36" s="61" t="str">
        <x:v>assumed</x:v>
      </x:c>
      <x:c r="L36" s="73" t="str">
        <x:v>E</x:v>
      </x:c>
      <x:c r="M36" s="61"/>
      <x:c r="N36" s="61" t="str">
        <x:v>Empirical pool transfer.</x:v>
      </x:c>
      <x:c r="O36" s="61" t="n">
        <x:v>10</x:v>
      </x:c>
      <x:c r="P36" s="63" t="b">
        <x:v>1</x:v>
      </x:c>
      <x:c r="Q36" s="61" t="str">
        <x:v>EntrappedSugars to Glucose</x:v>
      </x:c>
    </x:row>
    <x:row r="37">
      <x:c r="A37" s="61" t="str">
        <x:v>F2</x:v>
      </x:c>
      <x:c r="B37" s="61" t="str">
        <x:v>All</x:v>
      </x:c>
      <x:c r="C37" s="61" t="str">
        <x:v>pef</x:v>
      </x:c>
      <x:c r="D37" s="61" t="str">
        <x:v>Soluble COD increase</x:v>
      </x:c>
      <x:c r="E37" s="61" t="str">
        <x:v>soluble_cod_increase_fraction</x:v>
      </x:c>
      <x:c r="F37" s="62" t="n">
        <x:v>0.15</x:v>
      </x:c>
      <x:c r="G37" s="61" t="str">
        <x:v>fraction</x:v>
      </x:c>
      <x:c r="H37" s="61" t="n">
        <x:v>0</x:v>
      </x:c>
      <x:c r="I37" s="61" t="n">
        <x:v>1</x:v>
      </x:c>
      <x:c r="J37" s="63" t="b">
        <x:v>1</x:v>
      </x:c>
      <x:c r="K37" s="61" t="str">
        <x:v>assumed</x:v>
      </x:c>
      <x:c r="L37" s="73" t="str">
        <x:v>E</x:v>
      </x:c>
      <x:c r="M37" s="61"/>
      <x:c r="N37" s="61" t="str">
        <x:v>No COD is created; metadata-matched pools are transferred.</x:v>
      </x:c>
      <x:c r="O37" s="61" t="n">
        <x:v>10</x:v>
      </x:c>
      <x:c r="P37" s="63" t="b">
        <x:v>1</x:v>
      </x:c>
      <x:c r="Q37" s="61" t="str">
        <x:v>particulate to soluble organic pool</x:v>
      </x:c>
    </x:row>
    <x:row r="38">
      <x:c r="A38" s="61" t="str">
        <x:v>F2</x:v>
      </x:c>
      <x:c r="B38" s="61" t="str">
        <x:v>All</x:v>
      </x:c>
      <x:c r="C38" s="61" t="str">
        <x:v>pef</x:v>
      </x:c>
      <x:c r="D38" s="61" t="str">
        <x:v>Dissolved nitrogen release</x:v>
      </x:c>
      <x:c r="E38" s="61" t="str">
        <x:v>dissolved_nitrogen_release_fraction</x:v>
      </x:c>
      <x:c r="F38" s="62" t="n">
        <x:v>0.2</x:v>
      </x:c>
      <x:c r="G38" s="61" t="str">
        <x:v>fraction</x:v>
      </x:c>
      <x:c r="H38" s="61" t="n">
        <x:v>0</x:v>
      </x:c>
      <x:c r="I38" s="61" t="n">
        <x:v>1</x:v>
      </x:c>
      <x:c r="J38" s="63" t="b">
        <x:v>1</x:v>
      </x:c>
      <x:c r="K38" s="61" t="str">
        <x:v>assumed</x:v>
      </x:c>
      <x:c r="L38" s="73" t="str">
        <x:v>E</x:v>
      </x:c>
      <x:c r="M38" s="61"/>
      <x:c r="N38" s="61" t="str">
        <x:v>Empirical N-equivalent pool transfer.</x:v>
      </x:c>
      <x:c r="O38" s="61" t="n">
        <x:v>10</x:v>
      </x:c>
      <x:c r="P38" s="63" t="b">
        <x:v>1</x:v>
      </x:c>
      <x:c r="Q38" s="61" t="str">
        <x:v>ParticulateNitrogen to OrganicNitrogen</x:v>
      </x:c>
    </x:row>
    <x:row r="39">
      <x:c r="A39" s="61" t="str">
        <x:v>F2</x:v>
      </x:c>
      <x:c r="B39" s="61" t="str">
        <x:v>All</x:v>
      </x:c>
      <x:c r="C39" s="61" t="str">
        <x:v>pef</x:v>
      </x:c>
      <x:c r="D39" s="61" t="str">
        <x:v>Dissolved phosphorus release</x:v>
      </x:c>
      <x:c r="E39" s="61" t="str">
        <x:v>dissolved_phosphorus_release_fraction</x:v>
      </x:c>
      <x:c r="F39" s="62" t="n">
        <x:v>0.2</x:v>
      </x:c>
      <x:c r="G39" s="61" t="str">
        <x:v>fraction</x:v>
      </x:c>
      <x:c r="H39" s="61" t="n">
        <x:v>0</x:v>
      </x:c>
      <x:c r="I39" s="61" t="n">
        <x:v>1</x:v>
      </x:c>
      <x:c r="J39" s="63" t="b">
        <x:v>1</x:v>
      </x:c>
      <x:c r="K39" s="61" t="str">
        <x:v>assumed</x:v>
      </x:c>
      <x:c r="L39" s="73" t="str">
        <x:v>E</x:v>
      </x:c>
      <x:c r="M39" s="61"/>
      <x:c r="N39" s="61" t="str">
        <x:v>Empirical P-equivalent pool transfer.</x:v>
      </x:c>
      <x:c r="O39" s="61" t="n">
        <x:v>10</x:v>
      </x:c>
      <x:c r="P39" s="63" t="b">
        <x:v>1</x:v>
      </x:c>
      <x:c r="Q39" s="61" t="str">
        <x:v>ParticulatePhosphorus to DissolvedPhosphorus</x:v>
      </x:c>
    </x:row>
    <x:row r="40">
      <x:c r="A40" s="61" t="str">
        <x:v>F2</x:v>
      </x:c>
      <x:c r="B40" s="61" t="str">
        <x:v>All</x:v>
      </x:c>
      <x:c r="C40" s="61" t="str">
        <x:v>pef</x:v>
      </x:c>
      <x:c r="D40" s="61" t="str">
        <x:v>Potassium release</x:v>
      </x:c>
      <x:c r="E40" s="61" t="str">
        <x:v>potassium_release_fraction</x:v>
      </x:c>
      <x:c r="F40" s="62" t="n">
        <x:v>0.3</x:v>
      </x:c>
      <x:c r="G40" s="61" t="str">
        <x:v>fraction</x:v>
      </x:c>
      <x:c r="H40" s="61" t="n">
        <x:v>0</x:v>
      </x:c>
      <x:c r="I40" s="61" t="n">
        <x:v>1</x:v>
      </x:c>
      <x:c r="J40" s="63" t="b">
        <x:v>1</x:v>
      </x:c>
      <x:c r="K40" s="61" t="str">
        <x:v>assumed</x:v>
      </x:c>
      <x:c r="L40" s="73" t="str">
        <x:v>E</x:v>
      </x:c>
      <x:c r="M40" s="61"/>
      <x:c r="N40" s="61" t="str">
        <x:v>Empirical K-equivalent pool transfer.</x:v>
      </x:c>
      <x:c r="O40" s="61" t="n">
        <x:v>10</x:v>
      </x:c>
      <x:c r="P40" s="63" t="b">
        <x:v>1</x:v>
      </x:c>
      <x:c r="Q40" s="61" t="str">
        <x:v>ParticulatePotassium to PotassiumIon</x:v>
      </x:c>
    </x:row>
    <x:row r="41">
      <x:c r="A41" s="61" t="str">
        <x:v>F2</x:v>
      </x:c>
      <x:c r="B41" s="61" t="str">
        <x:v>All</x:v>
      </x:c>
      <x:c r="C41" s="61" t="str">
        <x:v>pef</x:v>
      </x:c>
      <x:c r="D41" s="61" t="str">
        <x:v>Juice yield improvement</x:v>
      </x:c>
      <x:c r="E41" s="61" t="str">
        <x:v>juice_yield_improvement_fraction</x:v>
      </x:c>
      <x:c r="F41" s="62" t="n">
        <x:v>0.08</x:v>
      </x:c>
      <x:c r="G41" s="61" t="str">
        <x:v>fraction</x:v>
      </x:c>
      <x:c r="H41" s="61" t="n">
        <x:v>0</x:v>
      </x:c>
      <x:c r="I41" s="61" t="n">
        <x:v>1</x:v>
      </x:c>
      <x:c r="J41" s="63" t="b">
        <x:v>1</x:v>
      </x:c>
      <x:c r="K41" s="61" t="str">
        <x:v>assumed</x:v>
      </x:c>
      <x:c r="L41" s="73" t="str">
        <x:v>E</x:v>
      </x:c>
      <x:c r="M41" s="61"/>
      <x:c r="N41" s="61" t="str">
        <x:v>Applied to the press yield target; moisture priority may report inconsistency.</x:v>
      </x:c>
      <x:c r="O41" s="61" t="n">
        <x:v>10</x:v>
      </x:c>
      <x:c r="P41" s="63" t="b">
        <x:v>1</x:v>
      </x:c>
      <x:c r="Q41" s="61" t="str">
        <x:v>additive target enhancement</x:v>
      </x:c>
    </x:row>
    <x:row r="42">
      <x:c r="A42" s="61" t="str">
        <x:v>F2</x:v>
      </x:c>
      <x:c r="B42" s="61" t="str">
        <x:v>All</x:v>
      </x:c>
      <x:c r="C42" s="61" t="str">
        <x:v>pef</x:v>
      </x:c>
      <x:c r="D42" s="61" t="str">
        <x:v>Documented mass loss</x:v>
      </x:c>
      <x:c r="E42" s="61" t="str">
        <x:v>mass_loss_fraction</x:v>
      </x:c>
      <x:c r="F42" s="62" t="n">
        <x:v>0</x:v>
      </x:c>
      <x:c r="G42" s="61" t="str">
        <x:v>fraction</x:v>
      </x:c>
      <x:c r="H42" s="61" t="n">
        <x:v>0</x:v>
      </x:c>
      <x:c r="I42" s="61" t="n">
        <x:v>1</x:v>
      </x:c>
      <x:c r="J42" s="63" t="b">
        <x:v>1</x:v>
      </x:c>
      <x:c r="K42" s="61" t="str">
        <x:v>assumed</x:v>
      </x:c>
      <x:c r="L42" s="73" t="str">
        <x:v>E</x:v>
      </x:c>
      <x:c r="M42" s="61"/>
      <x:c r="N42" s="61" t="str">
        <x:v>Default zero; nonzero values appear in a separate loss stream.</x:v>
      </x:c>
      <x:c r="O42" s="61" t="n">
        <x:v>10</x:v>
      </x:c>
      <x:c r="P42" s="63" t="b">
        <x:v>1</x:v>
      </x:c>
      <x:c r="Q42" s="61" t="str">
        <x:v>proportional documented loss</x:v>
      </x:c>
    </x:row>
    <x:row r="43">
      <x:c r="A43" s="61" t="str">
        <x:v>F2</x:v>
      </x:c>
      <x:c r="B43" s="61" t="str">
        <x:v>All</x:v>
      </x:c>
      <x:c r="C43" s="61" t="str">
        <x:v>pef</x:v>
      </x:c>
      <x:c r="D43" s="61" t="str">
        <x:v>Train capacity</x:v>
      </x:c>
      <x:c r="E43" s="61" t="str">
        <x:v>pef_capacity_t_per_h</x:v>
      </x:c>
      <x:c r="F43" s="62" t="n">
        <x:v>2</x:v>
      </x:c>
      <x:c r="G43" s="61" t="str">
        <x:v>t wet/h</x:v>
      </x:c>
      <x:c r="H43" s="61" t="n">
        <x:v>0</x:v>
      </x:c>
      <x:c r="I43" s="61"/>
      <x:c r="J43" s="63" t="b">
        <x:v>0</x:v>
      </x:c>
      <x:c r="K43" s="61" t="str">
        <x:v>assumed</x:v>
      </x:c>
      <x:c r="L43" s="73" t="str">
        <x:v>E</x:v>
      </x:c>
      <x:c r="M43" s="61"/>
      <x:c r="N43" s="61" t="str">
        <x:v>Structural sizing value; no CAPEX is assigned.</x:v>
      </x:c>
      <x:c r="O43" s="61" t="n">
        <x:v>10</x:v>
      </x:c>
      <x:c r="P43" s="63" t="b">
        <x:v>1</x:v>
      </x:c>
      <x:c r="Q43" s="61" t="str">
        <x:v>ceil throughput/capacity</x:v>
      </x:c>
    </x:row>
    <x:row r="44">
      <x:c r="A44" s="61" t="str">
        <x:v>F3</x:v>
      </x:c>
      <x:c r="B44" s="61" t="str">
        <x:v>All</x:v>
      </x:c>
      <x:c r="C44" s="61" t="str">
        <x:v>pef</x:v>
      </x:c>
      <x:c r="D44" s="61" t="str">
        <x:v>Specific energy</x:v>
      </x:c>
      <x:c r="E44" s="61" t="str">
        <x:v>specific_energy_kwh_per_t_wet</x:v>
      </x:c>
      <x:c r="F44" s="62" t="n">
        <x:v>20</x:v>
      </x:c>
      <x:c r="G44" s="61" t="str">
        <x:v>kWh/t wet</x:v>
      </x:c>
      <x:c r="H44" s="61" t="n">
        <x:v>0</x:v>
      </x:c>
      <x:c r="I44" s="61"/>
      <x:c r="J44" s="63" t="b">
        <x:v>1</x:v>
      </x:c>
      <x:c r="K44" s="61" t="str">
        <x:v>assumed</x:v>
      </x:c>
      <x:c r="L44" s="73" t="str">
        <x:v>E</x:v>
      </x:c>
      <x:c r="M44" s="61"/>
      <x:c r="N44" s="61" t="str">
        <x:v>Structural test value; not literature-calibrated.</x:v>
      </x:c>
      <x:c r="O44" s="61" t="n">
        <x:v>10</x:v>
      </x:c>
      <x:c r="P44" s="63" t="b">
        <x:v>1</x:v>
      </x:c>
      <x:c r="Q44" s="61" t="str">
        <x:v>wet t/h x kWh/t</x:v>
      </x:c>
    </x:row>
    <x:row r="45">
      <x:c r="A45" s="61" t="str">
        <x:v>F3</x:v>
      </x:c>
      <x:c r="B45" s="61" t="str">
        <x:v>All</x:v>
      </x:c>
      <x:c r="C45" s="61" t="str">
        <x:v>pef</x:v>
      </x:c>
      <x:c r="D45" s="61" t="str">
        <x:v>Electric field strength</x:v>
      </x:c>
      <x:c r="E45" s="61" t="str">
        <x:v>electric_field_strength_kv_per_cm</x:v>
      </x:c>
      <x:c r="F45" s="62" t="n">
        <x:v>2</x:v>
      </x:c>
      <x:c r="G45" s="61" t="str">
        <x:v>kV/cm</x:v>
      </x:c>
      <x:c r="H45" s="61" t="n">
        <x:v>0</x:v>
      </x:c>
      <x:c r="I45" s="61"/>
      <x:c r="J45" s="63" t="b">
        <x:v>1</x:v>
      </x:c>
      <x:c r="K45" s="61" t="str">
        <x:v>assumed</x:v>
      </x:c>
      <x:c r="L45" s="73" t="str">
        <x:v>E</x:v>
      </x:c>
      <x:c r="M45" s="61"/>
      <x:c r="N45" s="61" t="str">
        <x:v>Structural test value.</x:v>
      </x:c>
      <x:c r="O45" s="61" t="n">
        <x:v>10</x:v>
      </x:c>
      <x:c r="P45" s="63" t="b">
        <x:v>1</x:v>
      </x:c>
      <x:c r="Q45" s="61" t="str">
        <x:v>reported design basis</x:v>
      </x:c>
    </x:row>
    <x:row r="46">
      <x:c r="A46" s="61" t="str">
        <x:v>F3</x:v>
      </x:c>
      <x:c r="B46" s="61" t="str">
        <x:v>All</x:v>
      </x:c>
      <x:c r="C46" s="61" t="str">
        <x:v>pef</x:v>
      </x:c>
      <x:c r="D46" s="61" t="str">
        <x:v>Pulse width</x:v>
      </x:c>
      <x:c r="E46" s="61" t="str">
        <x:v>pulse_width_us</x:v>
      </x:c>
      <x:c r="F46" s="62" t="n">
        <x:v>20</x:v>
      </x:c>
      <x:c r="G46" s="61" t="str">
        <x:v>us</x:v>
      </x:c>
      <x:c r="H46" s="61" t="n">
        <x:v>0</x:v>
      </x:c>
      <x:c r="I46" s="61"/>
      <x:c r="J46" s="63" t="b">
        <x:v>1</x:v>
      </x:c>
      <x:c r="K46" s="61" t="str">
        <x:v>assumed</x:v>
      </x:c>
      <x:c r="L46" s="73" t="str">
        <x:v>E</x:v>
      </x:c>
      <x:c r="M46" s="61"/>
      <x:c r="N46" s="61" t="str">
        <x:v>Structural test value.</x:v>
      </x:c>
      <x:c r="O46" s="61" t="n">
        <x:v>10</x:v>
      </x:c>
      <x:c r="P46" s="63" t="b">
        <x:v>1</x:v>
      </x:c>
      <x:c r="Q46" s="61" t="str">
        <x:v>reported design basis</x:v>
      </x:c>
    </x:row>
    <x:row r="47">
      <x:c r="A47" s="61" t="str">
        <x:v>F3</x:v>
      </x:c>
      <x:c r="B47" s="61" t="str">
        <x:v>All</x:v>
      </x:c>
      <x:c r="C47" s="61" t="str">
        <x:v>pef</x:v>
      </x:c>
      <x:c r="D47" s="61" t="str">
        <x:v>Pulse number</x:v>
      </x:c>
      <x:c r="E47" s="61" t="str">
        <x:v>number_of_pulses</x:v>
      </x:c>
      <x:c r="F47" s="62" t="n">
        <x:v>50</x:v>
      </x:c>
      <x:c r="G47" s="61" t="str">
        <x:v>count</x:v>
      </x:c>
      <x:c r="H47" s="61" t="n">
        <x:v>0</x:v>
      </x:c>
      <x:c r="I47" s="61"/>
      <x:c r="J47" s="63" t="b">
        <x:v>1</x:v>
      </x:c>
      <x:c r="K47" s="61" t="str">
        <x:v>assumed</x:v>
      </x:c>
      <x:c r="L47" s="73" t="str">
        <x:v>E</x:v>
      </x:c>
      <x:c r="M47" s="61"/>
      <x:c r="N47" s="61" t="str">
        <x:v>Structural test value.</x:v>
      </x:c>
      <x:c r="O47" s="61" t="n">
        <x:v>10</x:v>
      </x:c>
      <x:c r="P47" s="63" t="b">
        <x:v>1</x:v>
      </x:c>
      <x:c r="Q47" s="61" t="str">
        <x:v>reported design basis</x:v>
      </x:c>
    </x:row>
    <x:row r="48">
      <x:c r="A48" s="61" t="str">
        <x:v>F3</x:v>
      </x:c>
      <x:c r="B48" s="61" t="str">
        <x:v>All</x:v>
      </x:c>
      <x:c r="C48" s="61" t="str">
        <x:v>pef</x:v>
      </x:c>
      <x:c r="D48" s="61" t="str">
        <x:v>Treatment time</x:v>
      </x:c>
      <x:c r="E48" s="61" t="str">
        <x:v>treatment_time_s</x:v>
      </x:c>
      <x:c r="F48" s="62" t="n">
        <x:v>2</x:v>
      </x:c>
      <x:c r="G48" s="61" t="str">
        <x:v>s</x:v>
      </x:c>
      <x:c r="H48" s="61" t="n">
        <x:v>0</x:v>
      </x:c>
      <x:c r="I48" s="61"/>
      <x:c r="J48" s="63" t="b">
        <x:v>1</x:v>
      </x:c>
      <x:c r="K48" s="61" t="str">
        <x:v>assumed</x:v>
      </x:c>
      <x:c r="L48" s="73" t="str">
        <x:v>E</x:v>
      </x:c>
      <x:c r="M48" s="61"/>
      <x:c r="N48" s="61" t="str">
        <x:v>Structural test value.</x:v>
      </x:c>
      <x:c r="O48" s="61" t="n">
        <x:v>10</x:v>
      </x:c>
      <x:c r="P48" s="63" t="b">
        <x:v>1</x:v>
      </x:c>
      <x:c r="Q48" s="61" t="str">
        <x:v>reported design basis</x:v>
      </x:c>
    </x:row>
    <x:row r="49">
      <x:c r="A49" s="61" t="str">
        <x:v>F3</x:v>
      </x:c>
      <x:c r="B49" s="61" t="str">
        <x:v>All</x:v>
      </x:c>
      <x:c r="C49" s="61" t="str">
        <x:v>pef</x:v>
      </x:c>
      <x:c r="D49" s="61" t="str">
        <x:v>Treatment temperature</x:v>
      </x:c>
      <x:c r="E49" s="61" t="str">
        <x:v>treatment_temperature_c</x:v>
      </x:c>
      <x:c r="F49" s="62"/>
      <x:c r="G49" s="61" t="str">
        <x:v>degC</x:v>
      </x:c>
      <x:c r="H49" s="61" t="n">
        <x:v>0</x:v>
      </x:c>
      <x:c r="I49" s="61" t="n">
        <x:v>100</x:v>
      </x:c>
      <x:c r="J49" s="63" t="b">
        <x:v>0</x:v>
      </x:c>
      <x:c r="K49" s="61" t="str">
        <x:v>assumed</x:v>
      </x:c>
      <x:c r="L49" s="73" t="str">
        <x:v>E</x:v>
      </x:c>
      <x:c r="M49" s="61"/>
      <x:c r="N49" s="61" t="str">
        <x:v>Blank because temperature rise is used.</x:v>
      </x:c>
      <x:c r="O49" s="61" t="n">
        <x:v>10</x:v>
      </x:c>
      <x:c r="P49" s="63" t="b">
        <x:v>1</x:v>
      </x:c>
      <x:c r="Q49" s="61" t="str">
        <x:v>specified or blank</x:v>
      </x:c>
    </x:row>
    <x:row r="50">
      <x:c r="A50" s="61" t="str">
        <x:v>F3</x:v>
      </x:c>
      <x:c r="B50" s="61" t="str">
        <x:v>All</x:v>
      </x:c>
      <x:c r="C50" s="61" t="str">
        <x:v>pef</x:v>
      </x:c>
      <x:c r="D50" s="61" t="str">
        <x:v>Temperature rise</x:v>
      </x:c>
      <x:c r="E50" s="61" t="str">
        <x:v>temperature_rise_c</x:v>
      </x:c>
      <x:c r="F50" s="62" t="n">
        <x:v>5</x:v>
      </x:c>
      <x:c r="G50" s="61" t="str">
        <x:v>degC</x:v>
      </x:c>
      <x:c r="H50" s="61" t="n">
        <x:v>0</x:v>
      </x:c>
      <x:c r="I50" s="61" t="n">
        <x:v>50</x:v>
      </x:c>
      <x:c r="J50" s="63" t="b">
        <x:v>1</x:v>
      </x:c>
      <x:c r="K50" s="61" t="str">
        <x:v>assumed</x:v>
      </x:c>
      <x:c r="L50" s="73" t="str">
        <x:v>E</x:v>
      </x:c>
      <x:c r="M50" s="61"/>
      <x:c r="N50" s="61" t="str">
        <x:v>Structural test value.</x:v>
      </x:c>
      <x:c r="O50" s="61" t="n">
        <x:v>10</x:v>
      </x:c>
      <x:c r="P50" s="63" t="b">
        <x:v>1</x:v>
      </x:c>
      <x:c r="Q50" s="61" t="str">
        <x:v>specified rise; electricity counted once</x:v>
      </x:c>
    </x:row>
    <x:row r="51">
      <x:c r="A51" s="61" t="str">
        <x:v>F3</x:v>
      </x:c>
      <x:c r="B51" s="61" t="str">
        <x:v>All</x:v>
      </x:c>
      <x:c r="C51" s="61" t="str">
        <x:v>pef</x:v>
      </x:c>
      <x:c r="D51" s="61" t="str">
        <x:v>Temperature mode</x:v>
      </x:c>
      <x:c r="E51" s="61" t="str">
        <x:v>temperature_mode</x:v>
      </x:c>
      <x:c r="F51" s="62" t="str">
        <x:v>specified</x:v>
      </x:c>
      <x:c r="G51" s="61" t="str">
        <x:v>text</x:v>
      </x:c>
      <x:c r="H51" s="61"/>
      <x:c r="I51" s="61"/>
      <x:c r="J51" s="63" t="b">
        <x:v>1</x:v>
      </x:c>
      <x:c r="K51" s="61" t="str">
        <x:v>assumed</x:v>
      </x:c>
      <x:c r="L51" s="73" t="str">
        <x:v>E</x:v>
      </x:c>
      <x:c r="M51" s="61"/>
      <x:c r="N51" s="61" t="str">
        <x:v>Use calculated only with retained-energy assumptions.</x:v>
      </x:c>
      <x:c r="O51" s="61" t="n">
        <x:v>10</x:v>
      </x:c>
      <x:c r="P51" s="63" t="b">
        <x:v>1</x:v>
      </x:c>
      <x:c r="Q51" s="61" t="str">
        <x:v>specified</x:v>
      </x:c>
    </x:row>
    <x:row r="52">
      <x:c r="A52" s="61" t="str">
        <x:v>F3</x:v>
      </x:c>
      <x:c r="B52" s="61" t="str">
        <x:v>All</x:v>
      </x:c>
      <x:c r="C52" s="61" t="str">
        <x:v>pef</x:v>
      </x:c>
      <x:c r="D52" s="61" t="str">
        <x:v>Thermal retention</x:v>
      </x:c>
      <x:c r="E52" s="61" t="str">
        <x:v>thermal_retention_efficiency</x:v>
      </x:c>
      <x:c r="F52" s="62" t="n">
        <x:v>0.25</x:v>
      </x:c>
      <x:c r="G52" s="61" t="str">
        <x:v>fraction</x:v>
      </x:c>
      <x:c r="H52" s="61" t="n">
        <x:v>0</x:v>
      </x:c>
      <x:c r="I52" s="61" t="n">
        <x:v>1</x:v>
      </x:c>
      <x:c r="J52" s="63" t="b">
        <x:v>1</x:v>
      </x:c>
      <x:c r="K52" s="61" t="str">
        <x:v>assumed</x:v>
      </x:c>
      <x:c r="L52" s="73" t="str">
        <x:v>E</x:v>
      </x:c>
      <x:c r="M52" s="61"/>
      <x:c r="N52" s="61" t="str">
        <x:v>Used only in calculated temperature mode.</x:v>
      </x:c>
      <x:c r="O52" s="61" t="n">
        <x:v>10</x:v>
      </x:c>
      <x:c r="P52" s="63" t="b">
        <x:v>1</x:v>
      </x:c>
      <x:c r="Q52" s="61" t="str">
        <x:v>retained electrical energy</x:v>
      </x:c>
    </x:row>
    <x:row r="53">
      <x:c r="A53" s="61" t="str">
        <x:v>F3</x:v>
      </x:c>
      <x:c r="B53" s="61" t="str">
        <x:v>All</x:v>
      </x:c>
      <x:c r="C53" s="61" t="str">
        <x:v>pef</x:v>
      </x:c>
      <x:c r="D53" s="61" t="str">
        <x:v>Effective heat capacity</x:v>
      </x:c>
      <x:c r="E53" s="61" t="str">
        <x:v>effective_heat_capacity_kj_per_kg_k</x:v>
      </x:c>
      <x:c r="F53" s="62" t="n">
        <x:v>4</x:v>
      </x:c>
      <x:c r="G53" s="61" t="str">
        <x:v>kJ/kg/K</x:v>
      </x:c>
      <x:c r="H53" s="61" t="n">
        <x:v>0</x:v>
      </x:c>
      <x:c r="I53" s="61"/>
      <x:c r="J53" s="63" t="b">
        <x:v>1</x:v>
      </x:c>
      <x:c r="K53" s="61" t="str">
        <x:v>assumed</x:v>
      </x:c>
      <x:c r="L53" s="73" t="str">
        <x:v>E</x:v>
      </x:c>
      <x:c r="M53" s="61"/>
      <x:c r="N53" s="61" t="str">
        <x:v>Structural wet-biomass heat-capacity value.</x:v>
      </x:c>
      <x:c r="O53" s="61" t="n">
        <x:v>10</x:v>
      </x:c>
      <x:c r="P53" s="63" t="b">
        <x:v>1</x:v>
      </x:c>
      <x:c r="Q53" s="61" t="str">
        <x:v>mass x effective heat capacity</x:v>
      </x:c>
    </x:row>
    <x:row r="54">
      <x:c r="A54" s="61" t="str">
        <x:v>F3</x:v>
      </x:c>
      <x:c r="B54" s="61" t="str">
        <x:v>All</x:v>
      </x:c>
      <x:c r="C54" s="61" t="str">
        <x:v>pef</x:v>
      </x:c>
      <x:c r="D54" s="61" t="str">
        <x:v>Cell disintegration index</x:v>
      </x:c>
      <x:c r="E54" s="61" t="str">
        <x:v>cell_disintegration_index</x:v>
      </x:c>
      <x:c r="F54" s="62" t="n">
        <x:v>0.5</x:v>
      </x:c>
      <x:c r="G54" s="61" t="str">
        <x:v>fraction</x:v>
      </x:c>
      <x:c r="H54" s="61" t="n">
        <x:v>0</x:v>
      </x:c>
      <x:c r="I54" s="61" t="n">
        <x:v>1</x:v>
      </x:c>
      <x:c r="J54" s="63" t="b">
        <x:v>1</x:v>
      </x:c>
      <x:c r="K54" s="61" t="str">
        <x:v>assumed</x:v>
      </x:c>
      <x:c r="L54" s="73" t="str">
        <x:v>E</x:v>
      </x:c>
      <x:c r="M54" s="61"/>
      <x:c r="N54" s="61" t="str">
        <x:v>Empirical structural value.</x:v>
      </x:c>
      <x:c r="O54" s="61" t="n">
        <x:v>10</x:v>
      </x:c>
      <x:c r="P54" s="63" t="b">
        <x:v>1</x:v>
      </x:c>
      <x:c r="Q54" s="61" t="str">
        <x:v>scales suspended-protein transfer</x:v>
      </x:c>
    </x:row>
    <x:row r="55">
      <x:c r="A55" s="61" t="str">
        <x:v>F3</x:v>
      </x:c>
      <x:c r="B55" s="61" t="str">
        <x:v>All</x:v>
      </x:c>
      <x:c r="C55" s="61" t="str">
        <x:v>pef</x:v>
      </x:c>
      <x:c r="D55" s="61" t="str">
        <x:v>Soluble protein release enhancement</x:v>
      </x:c>
      <x:c r="E55" s="61" t="str">
        <x:v>soluble_protein_release_fraction</x:v>
      </x:c>
      <x:c r="F55" s="62" t="n">
        <x:v>0.2</x:v>
      </x:c>
      <x:c r="G55" s="61" t="str">
        <x:v>fraction</x:v>
      </x:c>
      <x:c r="H55" s="61" t="n">
        <x:v>0</x:v>
      </x:c>
      <x:c r="I55" s="61" t="n">
        <x:v>1</x:v>
      </x:c>
      <x:c r="J55" s="63" t="b">
        <x:v>1</x:v>
      </x:c>
      <x:c r="K55" s="61" t="str">
        <x:v>assumed</x:v>
      </x:c>
      <x:c r="L55" s="73" t="str">
        <x:v>E</x:v>
      </x:c>
      <x:c r="M55" s="61"/>
      <x:c r="N55" s="61" t="str">
        <x:v>Empirical press-recovery enhancement.</x:v>
      </x:c>
      <x:c r="O55" s="61" t="n">
        <x:v>10</x:v>
      </x:c>
      <x:c r="P55" s="63" t="b">
        <x:v>1</x:v>
      </x:c>
      <x:c r="Q55" s="61" t="str">
        <x:v>remaining-recovery enhancement</x:v>
      </x:c>
    </x:row>
    <x:row r="56">
      <x:c r="A56" s="61" t="str">
        <x:v>F3</x:v>
      </x:c>
      <x:c r="B56" s="61" t="str">
        <x:v>All</x:v>
      </x:c>
      <x:c r="C56" s="61" t="str">
        <x:v>pef</x:v>
      </x:c>
      <x:c r="D56" s="61" t="str">
        <x:v>Suspended protein solubilization</x:v>
      </x:c>
      <x:c r="E56" s="61" t="str">
        <x:v>suspended_protein_solubilization_fraction</x:v>
      </x:c>
      <x:c r="F56" s="62" t="n">
        <x:v>0.4</x:v>
      </x:c>
      <x:c r="G56" s="61" t="str">
        <x:v>fraction</x:v>
      </x:c>
      <x:c r="H56" s="61" t="n">
        <x:v>0</x:v>
      </x:c>
      <x:c r="I56" s="61" t="n">
        <x:v>1</x:v>
      </x:c>
      <x:c r="J56" s="63" t="b">
        <x:v>1</x:v>
      </x:c>
      <x:c r="K56" s="61" t="str">
        <x:v>assumed</x:v>
      </x:c>
      <x:c r="L56" s="73" t="str">
        <x:v>E</x:v>
      </x:c>
      <x:c r="M56" s="61"/>
      <x:c r="N56" s="61" t="str">
        <x:v>Empirical pool transfer.</x:v>
      </x:c>
      <x:c r="O56" s="61" t="n">
        <x:v>10</x:v>
      </x:c>
      <x:c r="P56" s="63" t="b">
        <x:v>1</x:v>
      </x:c>
      <x:c r="Q56" s="61" t="str">
        <x:v>SuspendedProtein to SolubleProtein</x:v>
      </x:c>
    </x:row>
    <x:row r="57">
      <x:c r="A57" s="61" t="str">
        <x:v>F3</x:v>
      </x:c>
      <x:c r="B57" s="61" t="str">
        <x:v>All</x:v>
      </x:c>
      <x:c r="C57" s="61" t="str">
        <x:v>pef</x:v>
      </x:c>
      <x:c r="D57" s="61" t="str">
        <x:v>Sugar release</x:v>
      </x:c>
      <x:c r="E57" s="61" t="str">
        <x:v>sugar_release_fraction</x:v>
      </x:c>
      <x:c r="F57" s="62" t="n">
        <x:v>0.3</x:v>
      </x:c>
      <x:c r="G57" s="61" t="str">
        <x:v>fraction</x:v>
      </x:c>
      <x:c r="H57" s="61" t="n">
        <x:v>0</x:v>
      </x:c>
      <x:c r="I57" s="61" t="n">
        <x:v>1</x:v>
      </x:c>
      <x:c r="J57" s="63" t="b">
        <x:v>1</x:v>
      </x:c>
      <x:c r="K57" s="61" t="str">
        <x:v>assumed</x:v>
      </x:c>
      <x:c r="L57" s="73" t="str">
        <x:v>E</x:v>
      </x:c>
      <x:c r="M57" s="61"/>
      <x:c r="N57" s="61" t="str">
        <x:v>Empirical pool transfer.</x:v>
      </x:c>
      <x:c r="O57" s="61" t="n">
        <x:v>10</x:v>
      </x:c>
      <x:c r="P57" s="63" t="b">
        <x:v>1</x:v>
      </x:c>
      <x:c r="Q57" s="61" t="str">
        <x:v>EntrappedSugars to Glucose</x:v>
      </x:c>
    </x:row>
    <x:row r="58">
      <x:c r="A58" s="61" t="str">
        <x:v>F3</x:v>
      </x:c>
      <x:c r="B58" s="61" t="str">
        <x:v>All</x:v>
      </x:c>
      <x:c r="C58" s="61" t="str">
        <x:v>pef</x:v>
      </x:c>
      <x:c r="D58" s="61" t="str">
        <x:v>Soluble COD increase</x:v>
      </x:c>
      <x:c r="E58" s="61" t="str">
        <x:v>soluble_cod_increase_fraction</x:v>
      </x:c>
      <x:c r="F58" s="62" t="n">
        <x:v>0.15</x:v>
      </x:c>
      <x:c r="G58" s="61" t="str">
        <x:v>fraction</x:v>
      </x:c>
      <x:c r="H58" s="61" t="n">
        <x:v>0</x:v>
      </x:c>
      <x:c r="I58" s="61" t="n">
        <x:v>1</x:v>
      </x:c>
      <x:c r="J58" s="63" t="b">
        <x:v>1</x:v>
      </x:c>
      <x:c r="K58" s="61" t="str">
        <x:v>assumed</x:v>
      </x:c>
      <x:c r="L58" s="73" t="str">
        <x:v>E</x:v>
      </x:c>
      <x:c r="M58" s="61"/>
      <x:c r="N58" s="61" t="str">
        <x:v>No COD is created; metadata-matched pools are transferred.</x:v>
      </x:c>
      <x:c r="O58" s="61" t="n">
        <x:v>10</x:v>
      </x:c>
      <x:c r="P58" s="63" t="b">
        <x:v>1</x:v>
      </x:c>
      <x:c r="Q58" s="61" t="str">
        <x:v>particulate to soluble organic pool</x:v>
      </x:c>
    </x:row>
    <x:row r="59">
      <x:c r="A59" s="61" t="str">
        <x:v>F3</x:v>
      </x:c>
      <x:c r="B59" s="61" t="str">
        <x:v>All</x:v>
      </x:c>
      <x:c r="C59" s="61" t="str">
        <x:v>pef</x:v>
      </x:c>
      <x:c r="D59" s="61" t="str">
        <x:v>Dissolved nitrogen release</x:v>
      </x:c>
      <x:c r="E59" s="61" t="str">
        <x:v>dissolved_nitrogen_release_fraction</x:v>
      </x:c>
      <x:c r="F59" s="62" t="n">
        <x:v>0.2</x:v>
      </x:c>
      <x:c r="G59" s="61" t="str">
        <x:v>fraction</x:v>
      </x:c>
      <x:c r="H59" s="61" t="n">
        <x:v>0</x:v>
      </x:c>
      <x:c r="I59" s="61" t="n">
        <x:v>1</x:v>
      </x:c>
      <x:c r="J59" s="63" t="b">
        <x:v>1</x:v>
      </x:c>
      <x:c r="K59" s="61" t="str">
        <x:v>assumed</x:v>
      </x:c>
      <x:c r="L59" s="73" t="str">
        <x:v>E</x:v>
      </x:c>
      <x:c r="M59" s="61"/>
      <x:c r="N59" s="61" t="str">
        <x:v>Empirical N-equivalent pool transfer.</x:v>
      </x:c>
      <x:c r="O59" s="61" t="n">
        <x:v>10</x:v>
      </x:c>
      <x:c r="P59" s="63" t="b">
        <x:v>1</x:v>
      </x:c>
      <x:c r="Q59" s="61" t="str">
        <x:v>ParticulateNitrogen to OrganicNitrogen</x:v>
      </x:c>
    </x:row>
    <x:row r="60">
      <x:c r="A60" s="61" t="str">
        <x:v>F3</x:v>
      </x:c>
      <x:c r="B60" s="61" t="str">
        <x:v>All</x:v>
      </x:c>
      <x:c r="C60" s="61" t="str">
        <x:v>pef</x:v>
      </x:c>
      <x:c r="D60" s="61" t="str">
        <x:v>Dissolved phosphorus release</x:v>
      </x:c>
      <x:c r="E60" s="61" t="str">
        <x:v>dissolved_phosphorus_release_fraction</x:v>
      </x:c>
      <x:c r="F60" s="62" t="n">
        <x:v>0.2</x:v>
      </x:c>
      <x:c r="G60" s="61" t="str">
        <x:v>fraction</x:v>
      </x:c>
      <x:c r="H60" s="61" t="n">
        <x:v>0</x:v>
      </x:c>
      <x:c r="I60" s="61" t="n">
        <x:v>1</x:v>
      </x:c>
      <x:c r="J60" s="63" t="b">
        <x:v>1</x:v>
      </x:c>
      <x:c r="K60" s="61" t="str">
        <x:v>assumed</x:v>
      </x:c>
      <x:c r="L60" s="73" t="str">
        <x:v>E</x:v>
      </x:c>
      <x:c r="M60" s="61"/>
      <x:c r="N60" s="61" t="str">
        <x:v>Empirical P-equivalent pool transfer.</x:v>
      </x:c>
      <x:c r="O60" s="61" t="n">
        <x:v>10</x:v>
      </x:c>
      <x:c r="P60" s="63" t="b">
        <x:v>1</x:v>
      </x:c>
      <x:c r="Q60" s="61" t="str">
        <x:v>ParticulatePhosphorus to DissolvedPhosphorus</x:v>
      </x:c>
    </x:row>
    <x:row r="61">
      <x:c r="A61" s="61" t="str">
        <x:v>F3</x:v>
      </x:c>
      <x:c r="B61" s="61" t="str">
        <x:v>All</x:v>
      </x:c>
      <x:c r="C61" s="61" t="str">
        <x:v>pef</x:v>
      </x:c>
      <x:c r="D61" s="61" t="str">
        <x:v>Potassium release</x:v>
      </x:c>
      <x:c r="E61" s="61" t="str">
        <x:v>potassium_release_fraction</x:v>
      </x:c>
      <x:c r="F61" s="62" t="n">
        <x:v>0.3</x:v>
      </x:c>
      <x:c r="G61" s="61" t="str">
        <x:v>fraction</x:v>
      </x:c>
      <x:c r="H61" s="61" t="n">
        <x:v>0</x:v>
      </x:c>
      <x:c r="I61" s="61" t="n">
        <x:v>1</x:v>
      </x:c>
      <x:c r="J61" s="63" t="b">
        <x:v>1</x:v>
      </x:c>
      <x:c r="K61" s="61" t="str">
        <x:v>assumed</x:v>
      </x:c>
      <x:c r="L61" s="73" t="str">
        <x:v>E</x:v>
      </x:c>
      <x:c r="M61" s="61"/>
      <x:c r="N61" s="61" t="str">
        <x:v>Empirical K-equivalent pool transfer.</x:v>
      </x:c>
      <x:c r="O61" s="61" t="n">
        <x:v>10</x:v>
      </x:c>
      <x:c r="P61" s="63" t="b">
        <x:v>1</x:v>
      </x:c>
      <x:c r="Q61" s="61" t="str">
        <x:v>ParticulatePotassium to PotassiumIon</x:v>
      </x:c>
    </x:row>
    <x:row r="62">
      <x:c r="A62" s="61" t="str">
        <x:v>F3</x:v>
      </x:c>
      <x:c r="B62" s="61" t="str">
        <x:v>All</x:v>
      </x:c>
      <x:c r="C62" s="61" t="str">
        <x:v>pef</x:v>
      </x:c>
      <x:c r="D62" s="61" t="str">
        <x:v>Juice yield improvement</x:v>
      </x:c>
      <x:c r="E62" s="61" t="str">
        <x:v>juice_yield_improvement_fraction</x:v>
      </x:c>
      <x:c r="F62" s="62" t="n">
        <x:v>0.08</x:v>
      </x:c>
      <x:c r="G62" s="61" t="str">
        <x:v>fraction</x:v>
      </x:c>
      <x:c r="H62" s="61" t="n">
        <x:v>0</x:v>
      </x:c>
      <x:c r="I62" s="61" t="n">
        <x:v>1</x:v>
      </x:c>
      <x:c r="J62" s="63" t="b">
        <x:v>1</x:v>
      </x:c>
      <x:c r="K62" s="61" t="str">
        <x:v>assumed</x:v>
      </x:c>
      <x:c r="L62" s="73" t="str">
        <x:v>E</x:v>
      </x:c>
      <x:c r="M62" s="61"/>
      <x:c r="N62" s="61" t="str">
        <x:v>Applied to the press yield target; moisture priority may report inconsistency.</x:v>
      </x:c>
      <x:c r="O62" s="61" t="n">
        <x:v>10</x:v>
      </x:c>
      <x:c r="P62" s="63" t="b">
        <x:v>1</x:v>
      </x:c>
      <x:c r="Q62" s="61" t="str">
        <x:v>additive target enhancement</x:v>
      </x:c>
    </x:row>
    <x:row r="63">
      <x:c r="A63" s="61" t="str">
        <x:v>F3</x:v>
      </x:c>
      <x:c r="B63" s="61" t="str">
        <x:v>All</x:v>
      </x:c>
      <x:c r="C63" s="61" t="str">
        <x:v>pef</x:v>
      </x:c>
      <x:c r="D63" s="61" t="str">
        <x:v>Documented mass loss</x:v>
      </x:c>
      <x:c r="E63" s="61" t="str">
        <x:v>mass_loss_fraction</x:v>
      </x:c>
      <x:c r="F63" s="62" t="n">
        <x:v>0</x:v>
      </x:c>
      <x:c r="G63" s="61" t="str">
        <x:v>fraction</x:v>
      </x:c>
      <x:c r="H63" s="61" t="n">
        <x:v>0</x:v>
      </x:c>
      <x:c r="I63" s="61" t="n">
        <x:v>1</x:v>
      </x:c>
      <x:c r="J63" s="63" t="b">
        <x:v>1</x:v>
      </x:c>
      <x:c r="K63" s="61" t="str">
        <x:v>assumed</x:v>
      </x:c>
      <x:c r="L63" s="73" t="str">
        <x:v>E</x:v>
      </x:c>
      <x:c r="M63" s="61"/>
      <x:c r="N63" s="61" t="str">
        <x:v>Default zero; nonzero values appear in a separate loss stream.</x:v>
      </x:c>
      <x:c r="O63" s="61" t="n">
        <x:v>10</x:v>
      </x:c>
      <x:c r="P63" s="63" t="b">
        <x:v>1</x:v>
      </x:c>
      <x:c r="Q63" s="61" t="str">
        <x:v>proportional documented loss</x:v>
      </x:c>
    </x:row>
    <x:row r="64">
      <x:c r="A64" s="61" t="str">
        <x:v>F3</x:v>
      </x:c>
      <x:c r="B64" s="61" t="str">
        <x:v>All</x:v>
      </x:c>
      <x:c r="C64" s="61" t="str">
        <x:v>pef</x:v>
      </x:c>
      <x:c r="D64" s="61" t="str">
        <x:v>Train capacity</x:v>
      </x:c>
      <x:c r="E64" s="61" t="str">
        <x:v>pef_capacity_t_per_h</x:v>
      </x:c>
      <x:c r="F64" s="62" t="n">
        <x:v>2</x:v>
      </x:c>
      <x:c r="G64" s="61" t="str">
        <x:v>t wet/h</x:v>
      </x:c>
      <x:c r="H64" s="61" t="n">
        <x:v>0</x:v>
      </x:c>
      <x:c r="I64" s="61"/>
      <x:c r="J64" s="63" t="b">
        <x:v>0</x:v>
      </x:c>
      <x:c r="K64" s="61" t="str">
        <x:v>assumed</x:v>
      </x:c>
      <x:c r="L64" s="73" t="str">
        <x:v>E</x:v>
      </x:c>
      <x:c r="M64" s="61"/>
      <x:c r="N64" s="61" t="str">
        <x:v>Structural sizing value; no CAPEX is assigned.</x:v>
      </x:c>
      <x:c r="O64" s="61" t="n">
        <x:v>10</x:v>
      </x:c>
      <x:c r="P64" s="63" t="b">
        <x:v>1</x:v>
      </x:c>
      <x:c r="Q64" s="61" t="str">
        <x:v>ceil throughput/capacity</x:v>
      </x:c>
    </x:row>
    <x:row r="65">
      <x:c r="A65" s="61" t="str">
        <x:v>F1</x:v>
      </x:c>
      <x:c r="B65" s="61" t="str">
        <x:v>All</x:v>
      </x:c>
      <x:c r="C65" s="61" t="str">
        <x:v>press</x:v>
      </x:c>
      <x:c r="D65" s="61" t="str">
        <x:v>Juice yield</x:v>
      </x:c>
      <x:c r="E65" s="61" t="str">
        <x:v>juice_yield_kg_per_kg_wet_feed</x:v>
      </x:c>
      <x:c r="F65" s="62" t="n">
        <x:v>0.5</x:v>
      </x:c>
      <x:c r="G65" s="61" t="str">
        <x:v>kg/kg wet feed</x:v>
      </x:c>
      <x:c r="H65" s="61" t="n">
        <x:v>0</x:v>
      </x:c>
      <x:c r="I65" s="61" t="n">
        <x:v>1</x:v>
      </x:c>
      <x:c r="J65" s="63" t="b">
        <x:v>1</x:v>
      </x:c>
      <x:c r="K65" s="61" t="str">
        <x:v>assumed</x:v>
      </x:c>
      <x:c r="L65" s="73" t="str">
        <x:v>E</x:v>
      </x:c>
      <x:c r="M65" s="61"/>
      <x:c r="N65" s="61" t="str">
        <x:v>Structural consistency target.</x:v>
      </x:c>
      <x:c r="O65" s="61" t="n">
        <x:v>10</x:v>
      </x:c>
      <x:c r="P65" s="63" t="b">
        <x:v>1</x:v>
      </x:c>
      <x:c r="Q65" s="61" t="str">
        <x:v>checked against water allocation</x:v>
      </x:c>
    </x:row>
    <x:row r="66">
      <x:c r="A66" s="61" t="str">
        <x:v>F1</x:v>
      </x:c>
      <x:c r="B66" s="61" t="str">
        <x:v>All</x:v>
      </x:c>
      <x:c r="C66" s="61" t="str">
        <x:v>press</x:v>
      </x:c>
      <x:c r="D66" s="61" t="str">
        <x:v>Liquid recovery default</x:v>
      </x:c>
      <x:c r="E66" s="61" t="str">
        <x:v>liquid_recovery_fraction</x:v>
      </x:c>
      <x:c r="F66" s="62" t="n">
        <x:v>0.9</x:v>
      </x:c>
      <x:c r="G66" s="61" t="str">
        <x:v>fraction to juice</x:v>
      </x:c>
      <x:c r="H66" s="61" t="n">
        <x:v>0</x:v>
      </x:c>
      <x:c r="I66" s="61" t="n">
        <x:v>1</x:v>
      </x:c>
      <x:c r="J66" s="63" t="b">
        <x:v>1</x:v>
      </x:c>
      <x:c r="K66" s="61" t="str">
        <x:v>assumed</x:v>
      </x:c>
      <x:c r="L66" s="73" t="str">
        <x:v>E</x:v>
      </x:c>
      <x:c r="M66" s="61"/>
      <x:c r="N66" s="61" t="str">
        <x:v>Default for soluble unclassified components.</x:v>
      </x:c>
      <x:c r="O66" s="61" t="n">
        <x:v>10</x:v>
      </x:c>
      <x:c r="P66" s="63" t="b">
        <x:v>1</x:v>
      </x:c>
      <x:c r="Q66" s="61" t="str">
        <x:v>split hierarchy</x:v>
      </x:c>
    </x:row>
    <x:row r="67">
      <x:c r="A67" s="61" t="str">
        <x:v>F1</x:v>
      </x:c>
      <x:c r="B67" s="61" t="str">
        <x:v>All</x:v>
      </x:c>
      <x:c r="C67" s="61" t="str">
        <x:v>press</x:v>
      </x:c>
      <x:c r="D67" s="61" t="str">
        <x:v>Cake moisture</x:v>
      </x:c>
      <x:c r="E67" s="61" t="str">
        <x:v>cake_moisture_fraction</x:v>
      </x:c>
      <x:c r="F67" s="62" t="n">
        <x:v>0.65</x:v>
      </x:c>
      <x:c r="G67" s="61" t="str">
        <x:v>fraction wet basis</x:v>
      </x:c>
      <x:c r="H67" s="61" t="n">
        <x:v>0</x:v>
      </x:c>
      <x:c r="I67" s="61" t="n">
        <x:v>1</x:v>
      </x:c>
      <x:c r="J67" s="63" t="b">
        <x:v>1</x:v>
      </x:c>
      <x:c r="K67" s="61" t="str">
        <x:v>assumed</x:v>
      </x:c>
      <x:c r="L67" s="73" t="str">
        <x:v>E</x:v>
      </x:c>
      <x:c r="M67" s="61"/>
      <x:c r="N67" s="61" t="str">
        <x:v>Within the provisional grass-moisture context but not measured cake data.</x:v>
      </x:c>
      <x:c r="O67" s="61" t="n">
        <x:v>10</x:v>
      </x:c>
      <x:c r="P67" s="63" t="b">
        <x:v>1</x:v>
      </x:c>
      <x:c r="Q67" s="61" t="str">
        <x:v>analytical water specification</x:v>
      </x:c>
    </x:row>
    <x:row r="68">
      <x:c r="A68" s="61" t="str">
        <x:v>F1</x:v>
      </x:c>
      <x:c r="B68" s="61" t="str">
        <x:v>All</x:v>
      </x:c>
      <x:c r="C68" s="61" t="str">
        <x:v>press</x:v>
      </x:c>
      <x:c r="D68" s="61" t="str">
        <x:v>Dry-solids recovery</x:v>
      </x:c>
      <x:c r="E68" s="61" t="str">
        <x:v>dry_solids_recovery_to_cake</x:v>
      </x:c>
      <x:c r="F68" s="62" t="n">
        <x:v>0.9</x:v>
      </x:c>
      <x:c r="G68" s="61" t="str">
        <x:v>fraction to cake</x:v>
      </x:c>
      <x:c r="H68" s="61" t="n">
        <x:v>0</x:v>
      </x:c>
      <x:c r="I68" s="61" t="n">
        <x:v>1</x:v>
      </x:c>
      <x:c r="J68" s="63" t="b">
        <x:v>1</x:v>
      </x:c>
      <x:c r="K68" s="61" t="str">
        <x:v>assumed</x:v>
      </x:c>
      <x:c r="L68" s="73" t="str">
        <x:v>E</x:v>
      </x:c>
      <x:c r="M68" s="61"/>
      <x:c r="N68" s="61" t="str">
        <x:v>Particulate default.</x:v>
      </x:c>
      <x:c r="O68" s="61" t="n">
        <x:v>10</x:v>
      </x:c>
      <x:c r="P68" s="63" t="b">
        <x:v>1</x:v>
      </x:c>
      <x:c r="Q68" s="61" t="str">
        <x:v>split hierarchy</x:v>
      </x:c>
    </x:row>
    <x:row r="69">
      <x:c r="A69" s="61" t="str">
        <x:v>F1</x:v>
      </x:c>
      <x:c r="B69" s="61" t="str">
        <x:v>All</x:v>
      </x:c>
      <x:c r="C69" s="61" t="str">
        <x:v>press</x:v>
      </x:c>
      <x:c r="D69" s="61" t="str">
        <x:v>Water recovery</x:v>
      </x:c>
      <x:c r="E69" s="61" t="str">
        <x:v>water_recovery_to_juice</x:v>
      </x:c>
      <x:c r="F69" s="62" t="n">
        <x:v>0.7</x:v>
      </x:c>
      <x:c r="G69" s="61" t="str">
        <x:v>fraction to juice</x:v>
      </x:c>
      <x:c r="H69" s="61" t="n">
        <x:v>0</x:v>
      </x:c>
      <x:c r="I69" s="61" t="n">
        <x:v>1</x:v>
      </x:c>
      <x:c r="J69" s="63" t="b">
        <x:v>1</x:v>
      </x:c>
      <x:c r="K69" s="61" t="str">
        <x:v>assumed</x:v>
      </x:c>
      <x:c r="L69" s="73" t="str">
        <x:v>E</x:v>
      </x:c>
      <x:c r="M69" s="61"/>
      <x:c r="N69" s="61" t="str">
        <x:v>Fallback only when no moisture/yield target is active.</x:v>
      </x:c>
      <x:c r="O69" s="61" t="n">
        <x:v>10</x:v>
      </x:c>
      <x:c r="P69" s="63" t="b">
        <x:v>1</x:v>
      </x:c>
      <x:c r="Q69" s="61" t="str">
        <x:v>water fallback</x:v>
      </x:c>
    </x:row>
    <x:row r="70">
      <x:c r="A70" s="61" t="str">
        <x:v>F1</x:v>
      </x:c>
      <x:c r="B70" s="61" t="str">
        <x:v>All</x:v>
      </x:c>
      <x:c r="C70" s="61" t="str">
        <x:v>press</x:v>
      </x:c>
      <x:c r="D70" s="61" t="str">
        <x:v>Soluble protein recovery</x:v>
      </x:c>
      <x:c r="E70" s="61" t="str">
        <x:v>soluble_protein_recovery_to_juice</x:v>
      </x:c>
      <x:c r="F70" s="62" t="n">
        <x:v>0.7</x:v>
      </x:c>
      <x:c r="G70" s="61" t="str">
        <x:v>fraction to juice</x:v>
      </x:c>
      <x:c r="H70" s="61" t="n">
        <x:v>0</x:v>
      </x:c>
      <x:c r="I70" s="61" t="n">
        <x:v>1</x:v>
      </x:c>
      <x:c r="J70" s="63" t="b">
        <x:v>1</x:v>
      </x:c>
      <x:c r="K70" s="61" t="str">
        <x:v>assumed</x:v>
      </x:c>
      <x:c r="L70" s="73" t="str">
        <x:v>E</x:v>
      </x:c>
      <x:c r="M70" s="61"/>
      <x:c r="N70" s="61" t="str">
        <x:v>Structural test value.</x:v>
      </x:c>
      <x:c r="O70" s="61" t="n">
        <x:v>10</x:v>
      </x:c>
      <x:c r="P70" s="63" t="b">
        <x:v>1</x:v>
      </x:c>
      <x:c r="Q70" s="61" t="str">
        <x:v>group recovery</x:v>
      </x:c>
    </x:row>
    <x:row r="71">
      <x:c r="A71" s="61" t="str">
        <x:v>F1</x:v>
      </x:c>
      <x:c r="B71" s="61" t="str">
        <x:v>All</x:v>
      </x:c>
      <x:c r="C71" s="61" t="str">
        <x:v>press</x:v>
      </x:c>
      <x:c r="D71" s="61" t="str">
        <x:v>Suspended protein recovery</x:v>
      </x:c>
      <x:c r="E71" s="61" t="str">
        <x:v>suspended_protein_recovery_to_juice</x:v>
      </x:c>
      <x:c r="F71" s="62" t="n">
        <x:v>0.15</x:v>
      </x:c>
      <x:c r="G71" s="61" t="str">
        <x:v>fraction to juice</x:v>
      </x:c>
      <x:c r="H71" s="61" t="n">
        <x:v>0</x:v>
      </x:c>
      <x:c r="I71" s="61" t="n">
        <x:v>1</x:v>
      </x:c>
      <x:c r="J71" s="63" t="b">
        <x:v>1</x:v>
      </x:c>
      <x:c r="K71" s="61" t="str">
        <x:v>assumed</x:v>
      </x:c>
      <x:c r="L71" s="73" t="str">
        <x:v>E</x:v>
      </x:c>
      <x:c r="M71" s="61"/>
      <x:c r="N71" s="61" t="str">
        <x:v>Structural test value.</x:v>
      </x:c>
      <x:c r="O71" s="61" t="n">
        <x:v>10</x:v>
      </x:c>
      <x:c r="P71" s="63" t="b">
        <x:v>1</x:v>
      </x:c>
      <x:c r="Q71" s="61" t="str">
        <x:v>group recovery</x:v>
      </x:c>
    </x:row>
    <x:row r="72">
      <x:c r="A72" s="61" t="str">
        <x:v>F1</x:v>
      </x:c>
      <x:c r="B72" s="61" t="str">
        <x:v>All</x:v>
      </x:c>
      <x:c r="C72" s="61" t="str">
        <x:v>press</x:v>
      </x:c>
      <x:c r="D72" s="61" t="str">
        <x:v>Sugar recovery</x:v>
      </x:c>
      <x:c r="E72" s="61" t="str">
        <x:v>sugar_recovery_to_juice</x:v>
      </x:c>
      <x:c r="F72" s="62" t="n">
        <x:v>0.7</x:v>
      </x:c>
      <x:c r="G72" s="61" t="str">
        <x:v>fraction to juice</x:v>
      </x:c>
      <x:c r="H72" s="61" t="n">
        <x:v>0</x:v>
      </x:c>
      <x:c r="I72" s="61" t="n">
        <x:v>1</x:v>
      </x:c>
      <x:c r="J72" s="63" t="b">
        <x:v>1</x:v>
      </x:c>
      <x:c r="K72" s="61" t="str">
        <x:v>assumed</x:v>
      </x:c>
      <x:c r="L72" s="73" t="str">
        <x:v>E</x:v>
      </x:c>
      <x:c r="M72" s="61"/>
      <x:c r="N72" s="61" t="str">
        <x:v>Structural test value.</x:v>
      </x:c>
      <x:c r="O72" s="61" t="n">
        <x:v>10</x:v>
      </x:c>
      <x:c r="P72" s="63" t="b">
        <x:v>1</x:v>
      </x:c>
      <x:c r="Q72" s="61" t="str">
        <x:v>group recovery</x:v>
      </x:c>
    </x:row>
    <x:row r="73">
      <x:c r="A73" s="61" t="str">
        <x:v>F1</x:v>
      </x:c>
      <x:c r="B73" s="61" t="str">
        <x:v>All</x:v>
      </x:c>
      <x:c r="C73" s="61" t="str">
        <x:v>press</x:v>
      </x:c>
      <x:c r="D73" s="61" t="str">
        <x:v>Organic acid recovery</x:v>
      </x:c>
      <x:c r="E73" s="61" t="str">
        <x:v>organic_acid_recovery_to_juice</x:v>
      </x:c>
      <x:c r="F73" s="62" t="n">
        <x:v>0.85</x:v>
      </x:c>
      <x:c r="G73" s="61" t="str">
        <x:v>fraction to juice</x:v>
      </x:c>
      <x:c r="H73" s="61" t="n">
        <x:v>0</x:v>
      </x:c>
      <x:c r="I73" s="61" t="n">
        <x:v>1</x:v>
      </x:c>
      <x:c r="J73" s="63" t="b">
        <x:v>1</x:v>
      </x:c>
      <x:c r="K73" s="61" t="str">
        <x:v>assumed</x:v>
      </x:c>
      <x:c r="L73" s="73" t="str">
        <x:v>E</x:v>
      </x:c>
      <x:c r="M73" s="61"/>
      <x:c r="N73" s="61" t="str">
        <x:v>Structural test value.</x:v>
      </x:c>
      <x:c r="O73" s="61" t="n">
        <x:v>10</x:v>
      </x:c>
      <x:c r="P73" s="63" t="b">
        <x:v>1</x:v>
      </x:c>
      <x:c r="Q73" s="61" t="str">
        <x:v>group recovery</x:v>
      </x:c>
    </x:row>
    <x:row r="74">
      <x:c r="A74" s="61" t="str">
        <x:v>F1</x:v>
      </x:c>
      <x:c r="B74" s="61" t="str">
        <x:v>All</x:v>
      </x:c>
      <x:c r="C74" s="61" t="str">
        <x:v>press</x:v>
      </x:c>
      <x:c r="D74" s="61" t="str">
        <x:v>Amino-acid recovery</x:v>
      </x:c>
      <x:c r="E74" s="61" t="str">
        <x:v>amino_acid_recovery_to_juice</x:v>
      </x:c>
      <x:c r="F74" s="62" t="n">
        <x:v>0.8</x:v>
      </x:c>
      <x:c r="G74" s="61" t="str">
        <x:v>fraction to juice</x:v>
      </x:c>
      <x:c r="H74" s="61" t="n">
        <x:v>0</x:v>
      </x:c>
      <x:c r="I74" s="61" t="n">
        <x:v>1</x:v>
      </x:c>
      <x:c r="J74" s="63" t="b">
        <x:v>1</x:v>
      </x:c>
      <x:c r="K74" s="61" t="str">
        <x:v>assumed</x:v>
      </x:c>
      <x:c r="L74" s="73" t="str">
        <x:v>E</x:v>
      </x:c>
      <x:c r="M74" s="61"/>
      <x:c r="N74" s="61" t="str">
        <x:v>Also used for peptide recovery.</x:v>
      </x:c>
      <x:c r="O74" s="61" t="n">
        <x:v>10</x:v>
      </x:c>
      <x:c r="P74" s="63" t="b">
        <x:v>1</x:v>
      </x:c>
      <x:c r="Q74" s="61" t="str">
        <x:v>group recovery</x:v>
      </x:c>
    </x:row>
    <x:row r="75">
      <x:c r="A75" s="61" t="str">
        <x:v>F1</x:v>
      </x:c>
      <x:c r="B75" s="61" t="str">
        <x:v>All</x:v>
      </x:c>
      <x:c r="C75" s="61" t="str">
        <x:v>press</x:v>
      </x:c>
      <x:c r="D75" s="61" t="str">
        <x:v>Ammonium recovery</x:v>
      </x:c>
      <x:c r="E75" s="61" t="str">
        <x:v>ammonium_recovery_to_juice</x:v>
      </x:c>
      <x:c r="F75" s="62" t="n">
        <x:v>0.9</x:v>
      </x:c>
      <x:c r="G75" s="61" t="str">
        <x:v>fraction to juice</x:v>
      </x:c>
      <x:c r="H75" s="61" t="n">
        <x:v>0</x:v>
      </x:c>
      <x:c r="I75" s="61" t="n">
        <x:v>1</x:v>
      </x:c>
      <x:c r="J75" s="63" t="b">
        <x:v>1</x:v>
      </x:c>
      <x:c r="K75" s="61" t="str">
        <x:v>assumed</x:v>
      </x:c>
      <x:c r="L75" s="73" t="str">
        <x:v>E</x:v>
      </x:c>
      <x:c r="M75" s="61"/>
      <x:c r="N75" s="61" t="str">
        <x:v>Structural test value.</x:v>
      </x:c>
      <x:c r="O75" s="61" t="n">
        <x:v>10</x:v>
      </x:c>
      <x:c r="P75" s="63" t="b">
        <x:v>1</x:v>
      </x:c>
      <x:c r="Q75" s="61" t="str">
        <x:v>component recovery</x:v>
      </x:c>
    </x:row>
    <x:row r="76">
      <x:c r="A76" s="61" t="str">
        <x:v>F1</x:v>
      </x:c>
      <x:c r="B76" s="61" t="str">
        <x:v>All</x:v>
      </x:c>
      <x:c r="C76" s="61" t="str">
        <x:v>press</x:v>
      </x:c>
      <x:c r="D76" s="61" t="str">
        <x:v>Phosphate recovery</x:v>
      </x:c>
      <x:c r="E76" s="61" t="str">
        <x:v>phosphate_recovery_to_juice</x:v>
      </x:c>
      <x:c r="F76" s="62" t="n">
        <x:v>0.8</x:v>
      </x:c>
      <x:c r="G76" s="61" t="str">
        <x:v>fraction to juice</x:v>
      </x:c>
      <x:c r="H76" s="61" t="n">
        <x:v>0</x:v>
      </x:c>
      <x:c r="I76" s="61" t="n">
        <x:v>1</x:v>
      </x:c>
      <x:c r="J76" s="63" t="b">
        <x:v>1</x:v>
      </x:c>
      <x:c r="K76" s="61" t="str">
        <x:v>assumed</x:v>
      </x:c>
      <x:c r="L76" s="73" t="str">
        <x:v>E</x:v>
      </x:c>
      <x:c r="M76" s="61"/>
      <x:c r="N76" s="61" t="str">
        <x:v>Dissolved-P group recovery.</x:v>
      </x:c>
      <x:c r="O76" s="61" t="n">
        <x:v>10</x:v>
      </x:c>
      <x:c r="P76" s="63" t="b">
        <x:v>1</x:v>
      </x:c>
      <x:c r="Q76" s="61" t="str">
        <x:v>group recovery</x:v>
      </x:c>
    </x:row>
    <x:row r="77">
      <x:c r="A77" s="61" t="str">
        <x:v>F1</x:v>
      </x:c>
      <x:c r="B77" s="61" t="str">
        <x:v>All</x:v>
      </x:c>
      <x:c r="C77" s="61" t="str">
        <x:v>press</x:v>
      </x:c>
      <x:c r="D77" s="61" t="str">
        <x:v>Potassium recovery</x:v>
      </x:c>
      <x:c r="E77" s="61" t="str">
        <x:v>potassium_recovery_to_juice</x:v>
      </x:c>
      <x:c r="F77" s="62" t="n">
        <x:v>0.9</x:v>
      </x:c>
      <x:c r="G77" s="61" t="str">
        <x:v>fraction to juice</x:v>
      </x:c>
      <x:c r="H77" s="61" t="n">
        <x:v>0</x:v>
      </x:c>
      <x:c r="I77" s="61" t="n">
        <x:v>1</x:v>
      </x:c>
      <x:c r="J77" s="63" t="b">
        <x:v>1</x:v>
      </x:c>
      <x:c r="K77" s="61" t="str">
        <x:v>assumed</x:v>
      </x:c>
      <x:c r="L77" s="73" t="str">
        <x:v>E</x:v>
      </x:c>
      <x:c r="M77" s="61"/>
      <x:c r="N77" s="61" t="str">
        <x:v>Structural test value.</x:v>
      </x:c>
      <x:c r="O77" s="61" t="n">
        <x:v>10</x:v>
      </x:c>
      <x:c r="P77" s="63" t="b">
        <x:v>1</x:v>
      </x:c>
      <x:c r="Q77" s="61" t="str">
        <x:v>component recovery</x:v>
      </x:c>
    </x:row>
    <x:row r="78">
      <x:c r="A78" s="61" t="str">
        <x:v>F1</x:v>
      </x:c>
      <x:c r="B78" s="61" t="str">
        <x:v>All</x:v>
      </x:c>
      <x:c r="C78" s="61" t="str">
        <x:v>press</x:v>
      </x:c>
      <x:c r="D78" s="61" t="str">
        <x:v>Soluble salt recovery</x:v>
      </x:c>
      <x:c r="E78" s="61" t="str">
        <x:v>soluble_salt_recovery_to_juice</x:v>
      </x:c>
      <x:c r="F78" s="62" t="n">
        <x:v>0.9</x:v>
      </x:c>
      <x:c r="G78" s="61" t="str">
        <x:v>fraction to juice</x:v>
      </x:c>
      <x:c r="H78" s="61" t="n">
        <x:v>0</x:v>
      </x:c>
      <x:c r="I78" s="61" t="n">
        <x:v>1</x:v>
      </x:c>
      <x:c r="J78" s="63" t="b">
        <x:v>1</x:v>
      </x:c>
      <x:c r="K78" s="61" t="str">
        <x:v>assumed</x:v>
      </x:c>
      <x:c r="L78" s="73" t="str">
        <x:v>E</x:v>
      </x:c>
      <x:c r="M78" s="61"/>
      <x:c r="N78" s="61" t="str">
        <x:v>Structural test value.</x:v>
      </x:c>
      <x:c r="O78" s="61" t="n">
        <x:v>10</x:v>
      </x:c>
      <x:c r="P78" s="63" t="b">
        <x:v>1</x:v>
      </x:c>
      <x:c r="Q78" s="61" t="str">
        <x:v>group recovery</x:v>
      </x:c>
    </x:row>
    <x:row r="79">
      <x:c r="A79" s="61" t="str">
        <x:v>F1</x:v>
      </x:c>
      <x:c r="B79" s="61" t="str">
        <x:v>All</x:v>
      </x:c>
      <x:c r="C79" s="61" t="str">
        <x:v>press</x:v>
      </x:c>
      <x:c r="D79" s="61" t="str">
        <x:v>Cellulose recovery</x:v>
      </x:c>
      <x:c r="E79" s="61" t="str">
        <x:v>cellulose_recovery_to_cake</x:v>
      </x:c>
      <x:c r="F79" s="62" t="n">
        <x:v>0.97</x:v>
      </x:c>
      <x:c r="G79" s="61" t="str">
        <x:v>fraction to cake</x:v>
      </x:c>
      <x:c r="H79" s="61" t="n">
        <x:v>0</x:v>
      </x:c>
      <x:c r="I79" s="61" t="n">
        <x:v>1</x:v>
      </x:c>
      <x:c r="J79" s="63" t="b">
        <x:v>1</x:v>
      </x:c>
      <x:c r="K79" s="61" t="str">
        <x:v>assumed</x:v>
      </x:c>
      <x:c r="L79" s="73" t="str">
        <x:v>E</x:v>
      </x:c>
      <x:c r="M79" s="61"/>
      <x:c r="N79" s="61" t="str">
        <x:v>Structural test value.</x:v>
      </x:c>
      <x:c r="O79" s="61" t="n">
        <x:v>10</x:v>
      </x:c>
      <x:c r="P79" s="63" t="b">
        <x:v>1</x:v>
      </x:c>
      <x:c r="Q79" s="61" t="str">
        <x:v>component recovery</x:v>
      </x:c>
    </x:row>
    <x:row r="80">
      <x:c r="A80" s="61" t="str">
        <x:v>F1</x:v>
      </x:c>
      <x:c r="B80" s="61" t="str">
        <x:v>All</x:v>
      </x:c>
      <x:c r="C80" s="61" t="str">
        <x:v>press</x:v>
      </x:c>
      <x:c r="D80" s="61" t="str">
        <x:v>Hemicellulose recovery</x:v>
      </x:c>
      <x:c r="E80" s="61" t="str">
        <x:v>hemicellulose_recovery_to_cake</x:v>
      </x:c>
      <x:c r="F80" s="62" t="n">
        <x:v>0.95</x:v>
      </x:c>
      <x:c r="G80" s="61" t="str">
        <x:v>fraction to cake</x:v>
      </x:c>
      <x:c r="H80" s="61" t="n">
        <x:v>0</x:v>
      </x:c>
      <x:c r="I80" s="61" t="n">
        <x:v>1</x:v>
      </x:c>
      <x:c r="J80" s="63" t="b">
        <x:v>1</x:v>
      </x:c>
      <x:c r="K80" s="61" t="str">
        <x:v>assumed</x:v>
      </x:c>
      <x:c r="L80" s="73" t="str">
        <x:v>E</x:v>
      </x:c>
      <x:c r="M80" s="61"/>
      <x:c r="N80" s="61" t="str">
        <x:v>Structural test value.</x:v>
      </x:c>
      <x:c r="O80" s="61" t="n">
        <x:v>10</x:v>
      </x:c>
      <x:c r="P80" s="63" t="b">
        <x:v>1</x:v>
      </x:c>
      <x:c r="Q80" s="61" t="str">
        <x:v>component recovery</x:v>
      </x:c>
    </x:row>
    <x:row r="81">
      <x:c r="A81" s="61" t="str">
        <x:v>F1</x:v>
      </x:c>
      <x:c r="B81" s="61" t="str">
        <x:v>All</x:v>
      </x:c>
      <x:c r="C81" s="61" t="str">
        <x:v>press</x:v>
      </x:c>
      <x:c r="D81" s="61" t="str">
        <x:v>Lignin recovery</x:v>
      </x:c>
      <x:c r="E81" s="61" t="str">
        <x:v>lignin_recovery_to_cake</x:v>
      </x:c>
      <x:c r="F81" s="62" t="n">
        <x:v>0.98</x:v>
      </x:c>
      <x:c r="G81" s="61" t="str">
        <x:v>fraction to cake</x:v>
      </x:c>
      <x:c r="H81" s="61" t="n">
        <x:v>0</x:v>
      </x:c>
      <x:c r="I81" s="61" t="n">
        <x:v>1</x:v>
      </x:c>
      <x:c r="J81" s="63" t="b">
        <x:v>1</x:v>
      </x:c>
      <x:c r="K81" s="61" t="str">
        <x:v>assumed</x:v>
      </x:c>
      <x:c r="L81" s="73" t="str">
        <x:v>E</x:v>
      </x:c>
      <x:c r="M81" s="61"/>
      <x:c r="N81" s="61" t="str">
        <x:v>Structural test value.</x:v>
      </x:c>
      <x:c r="O81" s="61" t="n">
        <x:v>10</x:v>
      </x:c>
      <x:c r="P81" s="63" t="b">
        <x:v>1</x:v>
      </x:c>
      <x:c r="Q81" s="61" t="str">
        <x:v>component recovery</x:v>
      </x:c>
    </x:row>
    <x:row r="82">
      <x:c r="A82" s="61" t="str">
        <x:v>F1</x:v>
      </x:c>
      <x:c r="B82" s="61" t="str">
        <x:v>All</x:v>
      </x:c>
      <x:c r="C82" s="61" t="str">
        <x:v>press</x:v>
      </x:c>
      <x:c r="D82" s="61" t="str">
        <x:v>Inert-solids recovery</x:v>
      </x:c>
      <x:c r="E82" s="61" t="str">
        <x:v>inert_solids_recovery_to_cake</x:v>
      </x:c>
      <x:c r="F82" s="62" t="n">
        <x:v>0.97</x:v>
      </x:c>
      <x:c r="G82" s="61" t="str">
        <x:v>fraction to cake</x:v>
      </x:c>
      <x:c r="H82" s="61" t="n">
        <x:v>0</x:v>
      </x:c>
      <x:c r="I82" s="61" t="n">
        <x:v>1</x:v>
      </x:c>
      <x:c r="J82" s="63" t="b">
        <x:v>1</x:v>
      </x:c>
      <x:c r="K82" s="61" t="str">
        <x:v>assumed</x:v>
      </x:c>
      <x:c r="L82" s="73" t="str">
        <x:v>E</x:v>
      </x:c>
      <x:c r="M82" s="61"/>
      <x:c r="N82" s="61" t="str">
        <x:v>Structural test value.</x:v>
      </x:c>
      <x:c r="O82" s="61" t="n">
        <x:v>10</x:v>
      </x:c>
      <x:c r="P82" s="63" t="b">
        <x:v>1</x:v>
      </x:c>
      <x:c r="Q82" s="61" t="str">
        <x:v>component recovery</x:v>
      </x:c>
    </x:row>
    <x:row r="83">
      <x:c r="A83" s="61" t="str">
        <x:v>F1</x:v>
      </x:c>
      <x:c r="B83" s="61" t="str">
        <x:v>All</x:v>
      </x:c>
      <x:c r="C83" s="61" t="str">
        <x:v>press</x:v>
      </x:c>
      <x:c r="D83" s="61" t="str">
        <x:v>Contaminant recovery</x:v>
      </x:c>
      <x:c r="E83" s="61" t="str">
        <x:v>contaminant_recovery_to_cake</x:v>
      </x:c>
      <x:c r="F83" s="62" t="n">
        <x:v>0.9</x:v>
      </x:c>
      <x:c r="G83" s="61" t="str">
        <x:v>fraction to cake</x:v>
      </x:c>
      <x:c r="H83" s="61" t="n">
        <x:v>0</x:v>
      </x:c>
      <x:c r="I83" s="61" t="n">
        <x:v>1</x:v>
      </x:c>
      <x:c r="J83" s="63" t="b">
        <x:v>1</x:v>
      </x:c>
      <x:c r="K83" s="61" t="str">
        <x:v>assumed</x:v>
      </x:c>
      <x:c r="L83" s="73" t="str">
        <x:v>E</x:v>
      </x:c>
      <x:c r="M83" s="61"/>
      <x:c r="N83" s="61" t="str">
        <x:v>Grouped fallback; individual overrides may be added later.</x:v>
      </x:c>
      <x:c r="O83" s="61" t="n">
        <x:v>10</x:v>
      </x:c>
      <x:c r="P83" s="63" t="b">
        <x:v>1</x:v>
      </x:c>
      <x:c r="Q83" s="61" t="str">
        <x:v>group recovery</x:v>
      </x:c>
    </x:row>
    <x:row r="84">
      <x:c r="A84" s="61" t="str">
        <x:v>F1</x:v>
      </x:c>
      <x:c r="B84" s="61" t="str">
        <x:v>All</x:v>
      </x:c>
      <x:c r="C84" s="61" t="str">
        <x:v>press</x:v>
      </x:c>
      <x:c r="D84" s="61" t="str">
        <x:v>Specific electricity</x:v>
      </x:c>
      <x:c r="E84" s="61" t="str">
        <x:v>press_electricity_kwh_per_t_wet</x:v>
      </x:c>
      <x:c r="F84" s="62" t="n">
        <x:v>5</x:v>
      </x:c>
      <x:c r="G84" s="61" t="str">
        <x:v>kWh/t wet</x:v>
      </x:c>
      <x:c r="H84" s="61" t="n">
        <x:v>0</x:v>
      </x:c>
      <x:c r="I84" s="61"/>
      <x:c r="J84" s="63" t="b">
        <x:v>1</x:v>
      </x:c>
      <x:c r="K84" s="61" t="str">
        <x:v>assumed</x:v>
      </x:c>
      <x:c r="L84" s="73" t="str">
        <x:v>E</x:v>
      </x:c>
      <x:c r="M84" s="61"/>
      <x:c r="N84" s="61" t="str">
        <x:v>Structural test value; replace with equipment data.</x:v>
      </x:c>
      <x:c r="O84" s="61" t="n">
        <x:v>10</x:v>
      </x:c>
      <x:c r="P84" s="63" t="b">
        <x:v>1</x:v>
      </x:c>
      <x:c r="Q84" s="61" t="str">
        <x:v>wet t/h x kWh/t</x:v>
      </x:c>
    </x:row>
    <x:row r="85">
      <x:c r="A85" s="61" t="str">
        <x:v>F1</x:v>
      </x:c>
      <x:c r="B85" s="61" t="str">
        <x:v>All</x:v>
      </x:c>
      <x:c r="C85" s="61" t="str">
        <x:v>press</x:v>
      </x:c>
      <x:c r="D85" s="61" t="str">
        <x:v>Train capacity</x:v>
      </x:c>
      <x:c r="E85" s="61" t="str">
        <x:v>press_capacity_t_per_h</x:v>
      </x:c>
      <x:c r="F85" s="62" t="n">
        <x:v>2</x:v>
      </x:c>
      <x:c r="G85" s="61" t="str">
        <x:v>t wet/h</x:v>
      </x:c>
      <x:c r="H85" s="61" t="n">
        <x:v>0</x:v>
      </x:c>
      <x:c r="I85" s="61"/>
      <x:c r="J85" s="63" t="b">
        <x:v>0</x:v>
      </x:c>
      <x:c r="K85" s="61" t="str">
        <x:v>assumed</x:v>
      </x:c>
      <x:c r="L85" s="73" t="str">
        <x:v>E</x:v>
      </x:c>
      <x:c r="M85" s="61"/>
      <x:c r="N85" s="61" t="str">
        <x:v>Structural sizing value; no CAPEX is assigned.</x:v>
      </x:c>
      <x:c r="O85" s="61" t="n">
        <x:v>10</x:v>
      </x:c>
      <x:c r="P85" s="63" t="b">
        <x:v>1</x:v>
      </x:c>
      <x:c r="Q85" s="61" t="str">
        <x:v>ceil throughput/capacity</x:v>
      </x:c>
    </x:row>
    <x:row r="86">
      <x:c r="A86" s="61" t="str">
        <x:v>F1</x:v>
      </x:c>
      <x:c r="B86" s="61" t="str">
        <x:v>All</x:v>
      </x:c>
      <x:c r="C86" s="61" t="str">
        <x:v>press</x:v>
      </x:c>
      <x:c r="D86" s="61" t="str">
        <x:v>Constraint priority</x:v>
      </x:c>
      <x:c r="E86" s="61" t="str">
        <x:v>press_constraint_priority</x:v>
      </x:c>
      <x:c r="F86" s="62" t="str">
        <x:v>juice_yield_priority</x:v>
      </x:c>
      <x:c r="G86" s="61" t="str">
        <x:v>text</x:v>
      </x:c>
      <x:c r="H86" s="61"/>
      <x:c r="I86" s="61"/>
      <x:c r="J86" s="63" t="b">
        <x:v>1</x:v>
      </x:c>
      <x:c r="K86" s="61" t="str">
        <x:v>assumed</x:v>
      </x:c>
      <x:c r="L86" s="73" t="str">
        <x:v>E</x:v>
      </x:c>
      <x:c r="M86" s="61"/>
      <x:c r="N86" s="61" t="str">
        <x:v>Structural scenario enforces juice yield and reports the inconsistent cake-moisture target.</x:v>
      </x:c>
      <x:c r="O86" s="61" t="n">
        <x:v>10</x:v>
      </x:c>
      <x:c r="P86" s="63" t="b">
        <x:v>1</x:v>
      </x:c>
      <x:c r="Q86" s="61" t="str">
        <x:v>direct analytical specification</x:v>
      </x:c>
    </x:row>
    <x:row r="87">
      <x:c r="A87" s="61" t="str">
        <x:v>F2</x:v>
      </x:c>
      <x:c r="B87" s="61" t="str">
        <x:v>All</x:v>
      </x:c>
      <x:c r="C87" s="61" t="str">
        <x:v>press</x:v>
      </x:c>
      <x:c r="D87" s="61" t="str">
        <x:v>Juice yield</x:v>
      </x:c>
      <x:c r="E87" s="61" t="str">
        <x:v>juice_yield_kg_per_kg_wet_feed</x:v>
      </x:c>
      <x:c r="F87" s="62" t="n">
        <x:v>0.5</x:v>
      </x:c>
      <x:c r="G87" s="61" t="str">
        <x:v>kg/kg wet feed</x:v>
      </x:c>
      <x:c r="H87" s="61" t="n">
        <x:v>0</x:v>
      </x:c>
      <x:c r="I87" s="61" t="n">
        <x:v>1</x:v>
      </x:c>
      <x:c r="J87" s="63" t="b">
        <x:v>1</x:v>
      </x:c>
      <x:c r="K87" s="61" t="str">
        <x:v>assumed</x:v>
      </x:c>
      <x:c r="L87" s="73" t="str">
        <x:v>E</x:v>
      </x:c>
      <x:c r="M87" s="61"/>
      <x:c r="N87" s="61" t="str">
        <x:v>Structural consistency target.</x:v>
      </x:c>
      <x:c r="O87" s="61" t="n">
        <x:v>10</x:v>
      </x:c>
      <x:c r="P87" s="63" t="b">
        <x:v>1</x:v>
      </x:c>
      <x:c r="Q87" s="61" t="str">
        <x:v>checked against water allocation</x:v>
      </x:c>
    </x:row>
    <x:row r="88">
      <x:c r="A88" s="61" t="str">
        <x:v>F2</x:v>
      </x:c>
      <x:c r="B88" s="61" t="str">
        <x:v>All</x:v>
      </x:c>
      <x:c r="C88" s="61" t="str">
        <x:v>press</x:v>
      </x:c>
      <x:c r="D88" s="61" t="str">
        <x:v>Liquid recovery default</x:v>
      </x:c>
      <x:c r="E88" s="61" t="str">
        <x:v>liquid_recovery_fraction</x:v>
      </x:c>
      <x:c r="F88" s="62" t="n">
        <x:v>0.9</x:v>
      </x:c>
      <x:c r="G88" s="61" t="str">
        <x:v>fraction to juice</x:v>
      </x:c>
      <x:c r="H88" s="61" t="n">
        <x:v>0</x:v>
      </x:c>
      <x:c r="I88" s="61" t="n">
        <x:v>1</x:v>
      </x:c>
      <x:c r="J88" s="63" t="b">
        <x:v>1</x:v>
      </x:c>
      <x:c r="K88" s="61" t="str">
        <x:v>assumed</x:v>
      </x:c>
      <x:c r="L88" s="73" t="str">
        <x:v>E</x:v>
      </x:c>
      <x:c r="M88" s="61"/>
      <x:c r="N88" s="61" t="str">
        <x:v>Default for soluble unclassified components.</x:v>
      </x:c>
      <x:c r="O88" s="61" t="n">
        <x:v>10</x:v>
      </x:c>
      <x:c r="P88" s="63" t="b">
        <x:v>1</x:v>
      </x:c>
      <x:c r="Q88" s="61" t="str">
        <x:v>split hierarchy</x:v>
      </x:c>
    </x:row>
    <x:row r="89">
      <x:c r="A89" s="61" t="str">
        <x:v>F2</x:v>
      </x:c>
      <x:c r="B89" s="61" t="str">
        <x:v>All</x:v>
      </x:c>
      <x:c r="C89" s="61" t="str">
        <x:v>press</x:v>
      </x:c>
      <x:c r="D89" s="61" t="str">
        <x:v>Cake moisture</x:v>
      </x:c>
      <x:c r="E89" s="61" t="str">
        <x:v>cake_moisture_fraction</x:v>
      </x:c>
      <x:c r="F89" s="62" t="n">
        <x:v>0.65</x:v>
      </x:c>
      <x:c r="G89" s="61" t="str">
        <x:v>fraction wet basis</x:v>
      </x:c>
      <x:c r="H89" s="61" t="n">
        <x:v>0</x:v>
      </x:c>
      <x:c r="I89" s="61" t="n">
        <x:v>1</x:v>
      </x:c>
      <x:c r="J89" s="63" t="b">
        <x:v>1</x:v>
      </x:c>
      <x:c r="K89" s="61" t="str">
        <x:v>assumed</x:v>
      </x:c>
      <x:c r="L89" s="73" t="str">
        <x:v>E</x:v>
      </x:c>
      <x:c r="M89" s="61"/>
      <x:c r="N89" s="61" t="str">
        <x:v>Within the provisional grass-moisture context but not measured cake data.</x:v>
      </x:c>
      <x:c r="O89" s="61" t="n">
        <x:v>10</x:v>
      </x:c>
      <x:c r="P89" s="63" t="b">
        <x:v>1</x:v>
      </x:c>
      <x:c r="Q89" s="61" t="str">
        <x:v>analytical water specification</x:v>
      </x:c>
    </x:row>
    <x:row r="90">
      <x:c r="A90" s="61" t="str">
        <x:v>F2</x:v>
      </x:c>
      <x:c r="B90" s="61" t="str">
        <x:v>All</x:v>
      </x:c>
      <x:c r="C90" s="61" t="str">
        <x:v>press</x:v>
      </x:c>
      <x:c r="D90" s="61" t="str">
        <x:v>Dry-solids recovery</x:v>
      </x:c>
      <x:c r="E90" s="61" t="str">
        <x:v>dry_solids_recovery_to_cake</x:v>
      </x:c>
      <x:c r="F90" s="62" t="n">
        <x:v>0.9</x:v>
      </x:c>
      <x:c r="G90" s="61" t="str">
        <x:v>fraction to cake</x:v>
      </x:c>
      <x:c r="H90" s="61" t="n">
        <x:v>0</x:v>
      </x:c>
      <x:c r="I90" s="61" t="n">
        <x:v>1</x:v>
      </x:c>
      <x:c r="J90" s="63" t="b">
        <x:v>1</x:v>
      </x:c>
      <x:c r="K90" s="61" t="str">
        <x:v>assumed</x:v>
      </x:c>
      <x:c r="L90" s="73" t="str">
        <x:v>E</x:v>
      </x:c>
      <x:c r="M90" s="61"/>
      <x:c r="N90" s="61" t="str">
        <x:v>Particulate default.</x:v>
      </x:c>
      <x:c r="O90" s="61" t="n">
        <x:v>10</x:v>
      </x:c>
      <x:c r="P90" s="63" t="b">
        <x:v>1</x:v>
      </x:c>
      <x:c r="Q90" s="61" t="str">
        <x:v>split hierarchy</x:v>
      </x:c>
    </x:row>
    <x:row r="91">
      <x:c r="A91" s="61" t="str">
        <x:v>F2</x:v>
      </x:c>
      <x:c r="B91" s="61" t="str">
        <x:v>All</x:v>
      </x:c>
      <x:c r="C91" s="61" t="str">
        <x:v>press</x:v>
      </x:c>
      <x:c r="D91" s="61" t="str">
        <x:v>Water recovery</x:v>
      </x:c>
      <x:c r="E91" s="61" t="str">
        <x:v>water_recovery_to_juice</x:v>
      </x:c>
      <x:c r="F91" s="62" t="n">
        <x:v>0.7</x:v>
      </x:c>
      <x:c r="G91" s="61" t="str">
        <x:v>fraction to juice</x:v>
      </x:c>
      <x:c r="H91" s="61" t="n">
        <x:v>0</x:v>
      </x:c>
      <x:c r="I91" s="61" t="n">
        <x:v>1</x:v>
      </x:c>
      <x:c r="J91" s="63" t="b">
        <x:v>1</x:v>
      </x:c>
      <x:c r="K91" s="61" t="str">
        <x:v>assumed</x:v>
      </x:c>
      <x:c r="L91" s="73" t="str">
        <x:v>E</x:v>
      </x:c>
      <x:c r="M91" s="61"/>
      <x:c r="N91" s="61" t="str">
        <x:v>Fallback only when no moisture/yield target is active.</x:v>
      </x:c>
      <x:c r="O91" s="61" t="n">
        <x:v>10</x:v>
      </x:c>
      <x:c r="P91" s="63" t="b">
        <x:v>1</x:v>
      </x:c>
      <x:c r="Q91" s="61" t="str">
        <x:v>water fallback</x:v>
      </x:c>
    </x:row>
    <x:row r="92">
      <x:c r="A92" s="61" t="str">
        <x:v>F2</x:v>
      </x:c>
      <x:c r="B92" s="61" t="str">
        <x:v>All</x:v>
      </x:c>
      <x:c r="C92" s="61" t="str">
        <x:v>press</x:v>
      </x:c>
      <x:c r="D92" s="61" t="str">
        <x:v>Soluble protein recovery</x:v>
      </x:c>
      <x:c r="E92" s="61" t="str">
        <x:v>soluble_protein_recovery_to_juice</x:v>
      </x:c>
      <x:c r="F92" s="62" t="n">
        <x:v>0.7</x:v>
      </x:c>
      <x:c r="G92" s="61" t="str">
        <x:v>fraction to juice</x:v>
      </x:c>
      <x:c r="H92" s="61" t="n">
        <x:v>0</x:v>
      </x:c>
      <x:c r="I92" s="61" t="n">
        <x:v>1</x:v>
      </x:c>
      <x:c r="J92" s="63" t="b">
        <x:v>1</x:v>
      </x:c>
      <x:c r="K92" s="61" t="str">
        <x:v>assumed</x:v>
      </x:c>
      <x:c r="L92" s="73" t="str">
        <x:v>E</x:v>
      </x:c>
      <x:c r="M92" s="61"/>
      <x:c r="N92" s="61" t="str">
        <x:v>Structural test value.</x:v>
      </x:c>
      <x:c r="O92" s="61" t="n">
        <x:v>10</x:v>
      </x:c>
      <x:c r="P92" s="63" t="b">
        <x:v>1</x:v>
      </x:c>
      <x:c r="Q92" s="61" t="str">
        <x:v>group recovery</x:v>
      </x:c>
    </x:row>
    <x:row r="93">
      <x:c r="A93" s="61" t="str">
        <x:v>F2</x:v>
      </x:c>
      <x:c r="B93" s="61" t="str">
        <x:v>All</x:v>
      </x:c>
      <x:c r="C93" s="61" t="str">
        <x:v>press</x:v>
      </x:c>
      <x:c r="D93" s="61" t="str">
        <x:v>Suspended protein recovery</x:v>
      </x:c>
      <x:c r="E93" s="61" t="str">
        <x:v>suspended_protein_recovery_to_juice</x:v>
      </x:c>
      <x:c r="F93" s="62" t="n">
        <x:v>0.15</x:v>
      </x:c>
      <x:c r="G93" s="61" t="str">
        <x:v>fraction to juice</x:v>
      </x:c>
      <x:c r="H93" s="61" t="n">
        <x:v>0</x:v>
      </x:c>
      <x:c r="I93" s="61" t="n">
        <x:v>1</x:v>
      </x:c>
      <x:c r="J93" s="63" t="b">
        <x:v>1</x:v>
      </x:c>
      <x:c r="K93" s="61" t="str">
        <x:v>assumed</x:v>
      </x:c>
      <x:c r="L93" s="73" t="str">
        <x:v>E</x:v>
      </x:c>
      <x:c r="M93" s="61"/>
      <x:c r="N93" s="61" t="str">
        <x:v>Structural test value.</x:v>
      </x:c>
      <x:c r="O93" s="61" t="n">
        <x:v>10</x:v>
      </x:c>
      <x:c r="P93" s="63" t="b">
        <x:v>1</x:v>
      </x:c>
      <x:c r="Q93" s="61" t="str">
        <x:v>group recovery</x:v>
      </x:c>
    </x:row>
    <x:row r="94">
      <x:c r="A94" s="61" t="str">
        <x:v>F2</x:v>
      </x:c>
      <x:c r="B94" s="61" t="str">
        <x:v>All</x:v>
      </x:c>
      <x:c r="C94" s="61" t="str">
        <x:v>press</x:v>
      </x:c>
      <x:c r="D94" s="61" t="str">
        <x:v>Sugar recovery</x:v>
      </x:c>
      <x:c r="E94" s="61" t="str">
        <x:v>sugar_recovery_to_juice</x:v>
      </x:c>
      <x:c r="F94" s="62" t="n">
        <x:v>0.7</x:v>
      </x:c>
      <x:c r="G94" s="61" t="str">
        <x:v>fraction to juice</x:v>
      </x:c>
      <x:c r="H94" s="61" t="n">
        <x:v>0</x:v>
      </x:c>
      <x:c r="I94" s="61" t="n">
        <x:v>1</x:v>
      </x:c>
      <x:c r="J94" s="63" t="b">
        <x:v>1</x:v>
      </x:c>
      <x:c r="K94" s="61" t="str">
        <x:v>assumed</x:v>
      </x:c>
      <x:c r="L94" s="73" t="str">
        <x:v>E</x:v>
      </x:c>
      <x:c r="M94" s="61"/>
      <x:c r="N94" s="61" t="str">
        <x:v>Structural test value.</x:v>
      </x:c>
      <x:c r="O94" s="61" t="n">
        <x:v>10</x:v>
      </x:c>
      <x:c r="P94" s="63" t="b">
        <x:v>1</x:v>
      </x:c>
      <x:c r="Q94" s="61" t="str">
        <x:v>group recovery</x:v>
      </x:c>
    </x:row>
    <x:row r="95">
      <x:c r="A95" s="61" t="str">
        <x:v>F2</x:v>
      </x:c>
      <x:c r="B95" s="61" t="str">
        <x:v>All</x:v>
      </x:c>
      <x:c r="C95" s="61" t="str">
        <x:v>press</x:v>
      </x:c>
      <x:c r="D95" s="61" t="str">
        <x:v>Organic acid recovery</x:v>
      </x:c>
      <x:c r="E95" s="61" t="str">
        <x:v>organic_acid_recovery_to_juice</x:v>
      </x:c>
      <x:c r="F95" s="62" t="n">
        <x:v>0.85</x:v>
      </x:c>
      <x:c r="G95" s="61" t="str">
        <x:v>fraction to juice</x:v>
      </x:c>
      <x:c r="H95" s="61" t="n">
        <x:v>0</x:v>
      </x:c>
      <x:c r="I95" s="61" t="n">
        <x:v>1</x:v>
      </x:c>
      <x:c r="J95" s="63" t="b">
        <x:v>1</x:v>
      </x:c>
      <x:c r="K95" s="61" t="str">
        <x:v>assumed</x:v>
      </x:c>
      <x:c r="L95" s="73" t="str">
        <x:v>E</x:v>
      </x:c>
      <x:c r="M95" s="61"/>
      <x:c r="N95" s="61" t="str">
        <x:v>Structural test value.</x:v>
      </x:c>
      <x:c r="O95" s="61" t="n">
        <x:v>10</x:v>
      </x:c>
      <x:c r="P95" s="63" t="b">
        <x:v>1</x:v>
      </x:c>
      <x:c r="Q95" s="61" t="str">
        <x:v>group recovery</x:v>
      </x:c>
    </x:row>
    <x:row r="96">
      <x:c r="A96" s="61" t="str">
        <x:v>F2</x:v>
      </x:c>
      <x:c r="B96" s="61" t="str">
        <x:v>All</x:v>
      </x:c>
      <x:c r="C96" s="61" t="str">
        <x:v>press</x:v>
      </x:c>
      <x:c r="D96" s="61" t="str">
        <x:v>Amino-acid recovery</x:v>
      </x:c>
      <x:c r="E96" s="61" t="str">
        <x:v>amino_acid_recovery_to_juice</x:v>
      </x:c>
      <x:c r="F96" s="62" t="n">
        <x:v>0.8</x:v>
      </x:c>
      <x:c r="G96" s="61" t="str">
        <x:v>fraction to juice</x:v>
      </x:c>
      <x:c r="H96" s="61" t="n">
        <x:v>0</x:v>
      </x:c>
      <x:c r="I96" s="61" t="n">
        <x:v>1</x:v>
      </x:c>
      <x:c r="J96" s="63" t="b">
        <x:v>1</x:v>
      </x:c>
      <x:c r="K96" s="61" t="str">
        <x:v>assumed</x:v>
      </x:c>
      <x:c r="L96" s="73" t="str">
        <x:v>E</x:v>
      </x:c>
      <x:c r="M96" s="61"/>
      <x:c r="N96" s="61" t="str">
        <x:v>Also used for peptide recovery.</x:v>
      </x:c>
      <x:c r="O96" s="61" t="n">
        <x:v>10</x:v>
      </x:c>
      <x:c r="P96" s="63" t="b">
        <x:v>1</x:v>
      </x:c>
      <x:c r="Q96" s="61" t="str">
        <x:v>group recovery</x:v>
      </x:c>
    </x:row>
    <x:row r="97">
      <x:c r="A97" s="61" t="str">
        <x:v>F2</x:v>
      </x:c>
      <x:c r="B97" s="61" t="str">
        <x:v>All</x:v>
      </x:c>
      <x:c r="C97" s="61" t="str">
        <x:v>press</x:v>
      </x:c>
      <x:c r="D97" s="61" t="str">
        <x:v>Ammonium recovery</x:v>
      </x:c>
      <x:c r="E97" s="61" t="str">
        <x:v>ammonium_recovery_to_juice</x:v>
      </x:c>
      <x:c r="F97" s="62" t="n">
        <x:v>0.9</x:v>
      </x:c>
      <x:c r="G97" s="61" t="str">
        <x:v>fraction to juice</x:v>
      </x:c>
      <x:c r="H97" s="61" t="n">
        <x:v>0</x:v>
      </x:c>
      <x:c r="I97" s="61" t="n">
        <x:v>1</x:v>
      </x:c>
      <x:c r="J97" s="63" t="b">
        <x:v>1</x:v>
      </x:c>
      <x:c r="K97" s="61" t="str">
        <x:v>assumed</x:v>
      </x:c>
      <x:c r="L97" s="73" t="str">
        <x:v>E</x:v>
      </x:c>
      <x:c r="M97" s="61"/>
      <x:c r="N97" s="61" t="str">
        <x:v>Structural test value.</x:v>
      </x:c>
      <x:c r="O97" s="61" t="n">
        <x:v>10</x:v>
      </x:c>
      <x:c r="P97" s="63" t="b">
        <x:v>1</x:v>
      </x:c>
      <x:c r="Q97" s="61" t="str">
        <x:v>component recovery</x:v>
      </x:c>
    </x:row>
    <x:row r="98">
      <x:c r="A98" s="61" t="str">
        <x:v>F2</x:v>
      </x:c>
      <x:c r="B98" s="61" t="str">
        <x:v>All</x:v>
      </x:c>
      <x:c r="C98" s="61" t="str">
        <x:v>press</x:v>
      </x:c>
      <x:c r="D98" s="61" t="str">
        <x:v>Phosphate recovery</x:v>
      </x:c>
      <x:c r="E98" s="61" t="str">
        <x:v>phosphate_recovery_to_juice</x:v>
      </x:c>
      <x:c r="F98" s="62" t="n">
        <x:v>0.8</x:v>
      </x:c>
      <x:c r="G98" s="61" t="str">
        <x:v>fraction to juice</x:v>
      </x:c>
      <x:c r="H98" s="61" t="n">
        <x:v>0</x:v>
      </x:c>
      <x:c r="I98" s="61" t="n">
        <x:v>1</x:v>
      </x:c>
      <x:c r="J98" s="63" t="b">
        <x:v>1</x:v>
      </x:c>
      <x:c r="K98" s="61" t="str">
        <x:v>assumed</x:v>
      </x:c>
      <x:c r="L98" s="73" t="str">
        <x:v>E</x:v>
      </x:c>
      <x:c r="M98" s="61"/>
      <x:c r="N98" s="61" t="str">
        <x:v>Dissolved-P group recovery.</x:v>
      </x:c>
      <x:c r="O98" s="61" t="n">
        <x:v>10</x:v>
      </x:c>
      <x:c r="P98" s="63" t="b">
        <x:v>1</x:v>
      </x:c>
      <x:c r="Q98" s="61" t="str">
        <x:v>group recovery</x:v>
      </x:c>
    </x:row>
    <x:row r="99">
      <x:c r="A99" s="61" t="str">
        <x:v>F2</x:v>
      </x:c>
      <x:c r="B99" s="61" t="str">
        <x:v>All</x:v>
      </x:c>
      <x:c r="C99" s="61" t="str">
        <x:v>press</x:v>
      </x:c>
      <x:c r="D99" s="61" t="str">
        <x:v>Potassium recovery</x:v>
      </x:c>
      <x:c r="E99" s="61" t="str">
        <x:v>potassium_recovery_to_juice</x:v>
      </x:c>
      <x:c r="F99" s="62" t="n">
        <x:v>0.9</x:v>
      </x:c>
      <x:c r="G99" s="61" t="str">
        <x:v>fraction to juice</x:v>
      </x:c>
      <x:c r="H99" s="61" t="n">
        <x:v>0</x:v>
      </x:c>
      <x:c r="I99" s="61" t="n">
        <x:v>1</x:v>
      </x:c>
      <x:c r="J99" s="63" t="b">
        <x:v>1</x:v>
      </x:c>
      <x:c r="K99" s="61" t="str">
        <x:v>assumed</x:v>
      </x:c>
      <x:c r="L99" s="73" t="str">
        <x:v>E</x:v>
      </x:c>
      <x:c r="M99" s="61"/>
      <x:c r="N99" s="61" t="str">
        <x:v>Structural test value.</x:v>
      </x:c>
      <x:c r="O99" s="61" t="n">
        <x:v>10</x:v>
      </x:c>
      <x:c r="P99" s="63" t="b">
        <x:v>1</x:v>
      </x:c>
      <x:c r="Q99" s="61" t="str">
        <x:v>component recovery</x:v>
      </x:c>
    </x:row>
    <x:row r="100">
      <x:c r="A100" s="61" t="str">
        <x:v>F2</x:v>
      </x:c>
      <x:c r="B100" s="61" t="str">
        <x:v>All</x:v>
      </x:c>
      <x:c r="C100" s="61" t="str">
        <x:v>press</x:v>
      </x:c>
      <x:c r="D100" s="61" t="str">
        <x:v>Soluble salt recovery</x:v>
      </x:c>
      <x:c r="E100" s="61" t="str">
        <x:v>soluble_salt_recovery_to_juice</x:v>
      </x:c>
      <x:c r="F100" s="62" t="n">
        <x:v>0.9</x:v>
      </x:c>
      <x:c r="G100" s="61" t="str">
        <x:v>fraction to juice</x:v>
      </x:c>
      <x:c r="H100" s="61" t="n">
        <x:v>0</x:v>
      </x:c>
      <x:c r="I100" s="61" t="n">
        <x:v>1</x:v>
      </x:c>
      <x:c r="J100" s="63" t="b">
        <x:v>1</x:v>
      </x:c>
      <x:c r="K100" s="61" t="str">
        <x:v>assumed</x:v>
      </x:c>
      <x:c r="L100" s="73" t="str">
        <x:v>E</x:v>
      </x:c>
      <x:c r="M100" s="61"/>
      <x:c r="N100" s="61" t="str">
        <x:v>Structural test value.</x:v>
      </x:c>
      <x:c r="O100" s="61" t="n">
        <x:v>10</x:v>
      </x:c>
      <x:c r="P100" s="63" t="b">
        <x:v>1</x:v>
      </x:c>
      <x:c r="Q100" s="61" t="str">
        <x:v>group recovery</x:v>
      </x:c>
    </x:row>
    <x:row r="101">
      <x:c r="A101" s="61" t="str">
        <x:v>F2</x:v>
      </x:c>
      <x:c r="B101" s="61" t="str">
        <x:v>All</x:v>
      </x:c>
      <x:c r="C101" s="61" t="str">
        <x:v>press</x:v>
      </x:c>
      <x:c r="D101" s="61" t="str">
        <x:v>Cellulose recovery</x:v>
      </x:c>
      <x:c r="E101" s="61" t="str">
        <x:v>cellulose_recovery_to_cake</x:v>
      </x:c>
      <x:c r="F101" s="62" t="n">
        <x:v>0.97</x:v>
      </x:c>
      <x:c r="G101" s="61" t="str">
        <x:v>fraction to cake</x:v>
      </x:c>
      <x:c r="H101" s="61" t="n">
        <x:v>0</x:v>
      </x:c>
      <x:c r="I101" s="61" t="n">
        <x:v>1</x:v>
      </x:c>
      <x:c r="J101" s="63" t="b">
        <x:v>1</x:v>
      </x:c>
      <x:c r="K101" s="61" t="str">
        <x:v>assumed</x:v>
      </x:c>
      <x:c r="L101" s="73" t="str">
        <x:v>E</x:v>
      </x:c>
      <x:c r="M101" s="61"/>
      <x:c r="N101" s="61" t="str">
        <x:v>Structural test value.</x:v>
      </x:c>
      <x:c r="O101" s="61" t="n">
        <x:v>10</x:v>
      </x:c>
      <x:c r="P101" s="63" t="b">
        <x:v>1</x:v>
      </x:c>
      <x:c r="Q101" s="61" t="str">
        <x:v>component recovery</x:v>
      </x:c>
    </x:row>
    <x:row r="102">
      <x:c r="A102" s="61" t="str">
        <x:v>F2</x:v>
      </x:c>
      <x:c r="B102" s="61" t="str">
        <x:v>All</x:v>
      </x:c>
      <x:c r="C102" s="61" t="str">
        <x:v>press</x:v>
      </x:c>
      <x:c r="D102" s="61" t="str">
        <x:v>Hemicellulose recovery</x:v>
      </x:c>
      <x:c r="E102" s="61" t="str">
        <x:v>hemicellulose_recovery_to_cake</x:v>
      </x:c>
      <x:c r="F102" s="62" t="n">
        <x:v>0.95</x:v>
      </x:c>
      <x:c r="G102" s="61" t="str">
        <x:v>fraction to cake</x:v>
      </x:c>
      <x:c r="H102" s="61" t="n">
        <x:v>0</x:v>
      </x:c>
      <x:c r="I102" s="61" t="n">
        <x:v>1</x:v>
      </x:c>
      <x:c r="J102" s="63" t="b">
        <x:v>1</x:v>
      </x:c>
      <x:c r="K102" s="61" t="str">
        <x:v>assumed</x:v>
      </x:c>
      <x:c r="L102" s="73" t="str">
        <x:v>E</x:v>
      </x:c>
      <x:c r="M102" s="61"/>
      <x:c r="N102" s="61" t="str">
        <x:v>Structural test value.</x:v>
      </x:c>
      <x:c r="O102" s="61" t="n">
        <x:v>10</x:v>
      </x:c>
      <x:c r="P102" s="63" t="b">
        <x:v>1</x:v>
      </x:c>
      <x:c r="Q102" s="61" t="str">
        <x:v>component recovery</x:v>
      </x:c>
    </x:row>
    <x:row r="103">
      <x:c r="A103" s="61" t="str">
        <x:v>F2</x:v>
      </x:c>
      <x:c r="B103" s="61" t="str">
        <x:v>All</x:v>
      </x:c>
      <x:c r="C103" s="61" t="str">
        <x:v>press</x:v>
      </x:c>
      <x:c r="D103" s="61" t="str">
        <x:v>Lignin recovery</x:v>
      </x:c>
      <x:c r="E103" s="61" t="str">
        <x:v>lignin_recovery_to_cake</x:v>
      </x:c>
      <x:c r="F103" s="62" t="n">
        <x:v>0.98</x:v>
      </x:c>
      <x:c r="G103" s="61" t="str">
        <x:v>fraction to cake</x:v>
      </x:c>
      <x:c r="H103" s="61" t="n">
        <x:v>0</x:v>
      </x:c>
      <x:c r="I103" s="61" t="n">
        <x:v>1</x:v>
      </x:c>
      <x:c r="J103" s="63" t="b">
        <x:v>1</x:v>
      </x:c>
      <x:c r="K103" s="61" t="str">
        <x:v>assumed</x:v>
      </x:c>
      <x:c r="L103" s="73" t="str">
        <x:v>E</x:v>
      </x:c>
      <x:c r="M103" s="61"/>
      <x:c r="N103" s="61" t="str">
        <x:v>Structural test value.</x:v>
      </x:c>
      <x:c r="O103" s="61" t="n">
        <x:v>10</x:v>
      </x:c>
      <x:c r="P103" s="63" t="b">
        <x:v>1</x:v>
      </x:c>
      <x:c r="Q103" s="61" t="str">
        <x:v>component recovery</x:v>
      </x:c>
    </x:row>
    <x:row r="104">
      <x:c r="A104" s="61" t="str">
        <x:v>F2</x:v>
      </x:c>
      <x:c r="B104" s="61" t="str">
        <x:v>All</x:v>
      </x:c>
      <x:c r="C104" s="61" t="str">
        <x:v>press</x:v>
      </x:c>
      <x:c r="D104" s="61" t="str">
        <x:v>Inert-solids recovery</x:v>
      </x:c>
      <x:c r="E104" s="61" t="str">
        <x:v>inert_solids_recovery_to_cake</x:v>
      </x:c>
      <x:c r="F104" s="62" t="n">
        <x:v>0.97</x:v>
      </x:c>
      <x:c r="G104" s="61" t="str">
        <x:v>fraction to cake</x:v>
      </x:c>
      <x:c r="H104" s="61" t="n">
        <x:v>0</x:v>
      </x:c>
      <x:c r="I104" s="61" t="n">
        <x:v>1</x:v>
      </x:c>
      <x:c r="J104" s="63" t="b">
        <x:v>1</x:v>
      </x:c>
      <x:c r="K104" s="61" t="str">
        <x:v>assumed</x:v>
      </x:c>
      <x:c r="L104" s="73" t="str">
        <x:v>E</x:v>
      </x:c>
      <x:c r="M104" s="61"/>
      <x:c r="N104" s="61" t="str">
        <x:v>Structural test value.</x:v>
      </x:c>
      <x:c r="O104" s="61" t="n">
        <x:v>10</x:v>
      </x:c>
      <x:c r="P104" s="63" t="b">
        <x:v>1</x:v>
      </x:c>
      <x:c r="Q104" s="61" t="str">
        <x:v>component recovery</x:v>
      </x:c>
    </x:row>
    <x:row r="105">
      <x:c r="A105" s="61" t="str">
        <x:v>F2</x:v>
      </x:c>
      <x:c r="B105" s="61" t="str">
        <x:v>All</x:v>
      </x:c>
      <x:c r="C105" s="61" t="str">
        <x:v>press</x:v>
      </x:c>
      <x:c r="D105" s="61" t="str">
        <x:v>Contaminant recovery</x:v>
      </x:c>
      <x:c r="E105" s="61" t="str">
        <x:v>contaminant_recovery_to_cake</x:v>
      </x:c>
      <x:c r="F105" s="62" t="n">
        <x:v>0.9</x:v>
      </x:c>
      <x:c r="G105" s="61" t="str">
        <x:v>fraction to cake</x:v>
      </x:c>
      <x:c r="H105" s="61" t="n">
        <x:v>0</x:v>
      </x:c>
      <x:c r="I105" s="61" t="n">
        <x:v>1</x:v>
      </x:c>
      <x:c r="J105" s="63" t="b">
        <x:v>1</x:v>
      </x:c>
      <x:c r="K105" s="61" t="str">
        <x:v>assumed</x:v>
      </x:c>
      <x:c r="L105" s="73" t="str">
        <x:v>E</x:v>
      </x:c>
      <x:c r="M105" s="61"/>
      <x:c r="N105" s="61" t="str">
        <x:v>Grouped fallback; individual overrides may be added later.</x:v>
      </x:c>
      <x:c r="O105" s="61" t="n">
        <x:v>10</x:v>
      </x:c>
      <x:c r="P105" s="63" t="b">
        <x:v>1</x:v>
      </x:c>
      <x:c r="Q105" s="61" t="str">
        <x:v>group recovery</x:v>
      </x:c>
    </x:row>
    <x:row r="106">
      <x:c r="A106" s="61" t="str">
        <x:v>F2</x:v>
      </x:c>
      <x:c r="B106" s="61" t="str">
        <x:v>All</x:v>
      </x:c>
      <x:c r="C106" s="61" t="str">
        <x:v>press</x:v>
      </x:c>
      <x:c r="D106" s="61" t="str">
        <x:v>Specific electricity</x:v>
      </x:c>
      <x:c r="E106" s="61" t="str">
        <x:v>press_electricity_kwh_per_t_wet</x:v>
      </x:c>
      <x:c r="F106" s="62" t="n">
        <x:v>5</x:v>
      </x:c>
      <x:c r="G106" s="61" t="str">
        <x:v>kWh/t wet</x:v>
      </x:c>
      <x:c r="H106" s="61" t="n">
        <x:v>0</x:v>
      </x:c>
      <x:c r="I106" s="61"/>
      <x:c r="J106" s="63" t="b">
        <x:v>1</x:v>
      </x:c>
      <x:c r="K106" s="61" t="str">
        <x:v>assumed</x:v>
      </x:c>
      <x:c r="L106" s="73" t="str">
        <x:v>E</x:v>
      </x:c>
      <x:c r="M106" s="61"/>
      <x:c r="N106" s="61" t="str">
        <x:v>Structural test value; replace with equipment data.</x:v>
      </x:c>
      <x:c r="O106" s="61" t="n">
        <x:v>10</x:v>
      </x:c>
      <x:c r="P106" s="63" t="b">
        <x:v>1</x:v>
      </x:c>
      <x:c r="Q106" s="61" t="str">
        <x:v>wet t/h x kWh/t</x:v>
      </x:c>
    </x:row>
    <x:row r="107">
      <x:c r="A107" s="61" t="str">
        <x:v>F2</x:v>
      </x:c>
      <x:c r="B107" s="61" t="str">
        <x:v>All</x:v>
      </x:c>
      <x:c r="C107" s="61" t="str">
        <x:v>press</x:v>
      </x:c>
      <x:c r="D107" s="61" t="str">
        <x:v>Train capacity</x:v>
      </x:c>
      <x:c r="E107" s="61" t="str">
        <x:v>press_capacity_t_per_h</x:v>
      </x:c>
      <x:c r="F107" s="62" t="n">
        <x:v>2</x:v>
      </x:c>
      <x:c r="G107" s="61" t="str">
        <x:v>t wet/h</x:v>
      </x:c>
      <x:c r="H107" s="61" t="n">
        <x:v>0</x:v>
      </x:c>
      <x:c r="I107" s="61"/>
      <x:c r="J107" s="63" t="b">
        <x:v>0</x:v>
      </x:c>
      <x:c r="K107" s="61" t="str">
        <x:v>assumed</x:v>
      </x:c>
      <x:c r="L107" s="73" t="str">
        <x:v>E</x:v>
      </x:c>
      <x:c r="M107" s="61"/>
      <x:c r="N107" s="61" t="str">
        <x:v>Structural sizing value; no CAPEX is assigned.</x:v>
      </x:c>
      <x:c r="O107" s="61" t="n">
        <x:v>10</x:v>
      </x:c>
      <x:c r="P107" s="63" t="b">
        <x:v>1</x:v>
      </x:c>
      <x:c r="Q107" s="61" t="str">
        <x:v>ceil throughput/capacity</x:v>
      </x:c>
    </x:row>
    <x:row r="108">
      <x:c r="A108" s="61" t="str">
        <x:v>F2</x:v>
      </x:c>
      <x:c r="B108" s="61" t="str">
        <x:v>All</x:v>
      </x:c>
      <x:c r="C108" s="61" t="str">
        <x:v>press</x:v>
      </x:c>
      <x:c r="D108" s="61" t="str">
        <x:v>Constraint priority</x:v>
      </x:c>
      <x:c r="E108" s="61" t="str">
        <x:v>press_constraint_priority</x:v>
      </x:c>
      <x:c r="F108" s="62" t="str">
        <x:v>juice_yield_priority</x:v>
      </x:c>
      <x:c r="G108" s="61" t="str">
        <x:v>text</x:v>
      </x:c>
      <x:c r="H108" s="61"/>
      <x:c r="I108" s="61"/>
      <x:c r="J108" s="63" t="b">
        <x:v>1</x:v>
      </x:c>
      <x:c r="K108" s="61" t="str">
        <x:v>assumed</x:v>
      </x:c>
      <x:c r="L108" s="73" t="str">
        <x:v>E</x:v>
      </x:c>
      <x:c r="M108" s="61"/>
      <x:c r="N108" s="61" t="str">
        <x:v>Structural scenario enforces juice yield and reports the inconsistent cake-moisture target.</x:v>
      </x:c>
      <x:c r="O108" s="61" t="n">
        <x:v>10</x:v>
      </x:c>
      <x:c r="P108" s="63" t="b">
        <x:v>1</x:v>
      </x:c>
      <x:c r="Q108" s="61" t="str">
        <x:v>direct analytical specification</x:v>
      </x:c>
    </x:row>
    <x:row r="109">
      <x:c r="A109" s="61" t="str">
        <x:v>F3</x:v>
      </x:c>
      <x:c r="B109" s="61" t="str">
        <x:v>All</x:v>
      </x:c>
      <x:c r="C109" s="61" t="str">
        <x:v>press</x:v>
      </x:c>
      <x:c r="D109" s="61" t="str">
        <x:v>Juice yield</x:v>
      </x:c>
      <x:c r="E109" s="61" t="str">
        <x:v>juice_yield_kg_per_kg_wet_feed</x:v>
      </x:c>
      <x:c r="F109" s="62" t="n">
        <x:v>0.5</x:v>
      </x:c>
      <x:c r="G109" s="61" t="str">
        <x:v>kg/kg wet feed</x:v>
      </x:c>
      <x:c r="H109" s="61" t="n">
        <x:v>0</x:v>
      </x:c>
      <x:c r="I109" s="61" t="n">
        <x:v>1</x:v>
      </x:c>
      <x:c r="J109" s="63" t="b">
        <x:v>1</x:v>
      </x:c>
      <x:c r="K109" s="61" t="str">
        <x:v>assumed</x:v>
      </x:c>
      <x:c r="L109" s="73" t="str">
        <x:v>E</x:v>
      </x:c>
      <x:c r="M109" s="61"/>
      <x:c r="N109" s="61" t="str">
        <x:v>Structural consistency target.</x:v>
      </x:c>
      <x:c r="O109" s="61" t="n">
        <x:v>10</x:v>
      </x:c>
      <x:c r="P109" s="63" t="b">
        <x:v>1</x:v>
      </x:c>
      <x:c r="Q109" s="61" t="str">
        <x:v>checked against water allocation</x:v>
      </x:c>
    </x:row>
    <x:row r="110">
      <x:c r="A110" s="61" t="str">
        <x:v>F3</x:v>
      </x:c>
      <x:c r="B110" s="61" t="str">
        <x:v>All</x:v>
      </x:c>
      <x:c r="C110" s="61" t="str">
        <x:v>press</x:v>
      </x:c>
      <x:c r="D110" s="61" t="str">
        <x:v>Liquid recovery default</x:v>
      </x:c>
      <x:c r="E110" s="61" t="str">
        <x:v>liquid_recovery_fraction</x:v>
      </x:c>
      <x:c r="F110" s="62" t="n">
        <x:v>0.9</x:v>
      </x:c>
      <x:c r="G110" s="61" t="str">
        <x:v>fraction to juice</x:v>
      </x:c>
      <x:c r="H110" s="61" t="n">
        <x:v>0</x:v>
      </x:c>
      <x:c r="I110" s="61" t="n">
        <x:v>1</x:v>
      </x:c>
      <x:c r="J110" s="63" t="b">
        <x:v>1</x:v>
      </x:c>
      <x:c r="K110" s="61" t="str">
        <x:v>assumed</x:v>
      </x:c>
      <x:c r="L110" s="73" t="str">
        <x:v>E</x:v>
      </x:c>
      <x:c r="M110" s="61"/>
      <x:c r="N110" s="61" t="str">
        <x:v>Default for soluble unclassified components.</x:v>
      </x:c>
      <x:c r="O110" s="61" t="n">
        <x:v>10</x:v>
      </x:c>
      <x:c r="P110" s="63" t="b">
        <x:v>1</x:v>
      </x:c>
      <x:c r="Q110" s="61" t="str">
        <x:v>split hierarchy</x:v>
      </x:c>
    </x:row>
    <x:row r="111">
      <x:c r="A111" s="61" t="str">
        <x:v>F3</x:v>
      </x:c>
      <x:c r="B111" s="61" t="str">
        <x:v>All</x:v>
      </x:c>
      <x:c r="C111" s="61" t="str">
        <x:v>press</x:v>
      </x:c>
      <x:c r="D111" s="61" t="str">
        <x:v>Cake moisture</x:v>
      </x:c>
      <x:c r="E111" s="61" t="str">
        <x:v>cake_moisture_fraction</x:v>
      </x:c>
      <x:c r="F111" s="62" t="n">
        <x:v>0.65</x:v>
      </x:c>
      <x:c r="G111" s="61" t="str">
        <x:v>fraction wet basis</x:v>
      </x:c>
      <x:c r="H111" s="61" t="n">
        <x:v>0</x:v>
      </x:c>
      <x:c r="I111" s="61" t="n">
        <x:v>1</x:v>
      </x:c>
      <x:c r="J111" s="63" t="b">
        <x:v>1</x:v>
      </x:c>
      <x:c r="K111" s="61" t="str">
        <x:v>assumed</x:v>
      </x:c>
      <x:c r="L111" s="73" t="str">
        <x:v>E</x:v>
      </x:c>
      <x:c r="M111" s="61"/>
      <x:c r="N111" s="61" t="str">
        <x:v>Within the provisional grass-moisture context but not measured cake data.</x:v>
      </x:c>
      <x:c r="O111" s="61" t="n">
        <x:v>10</x:v>
      </x:c>
      <x:c r="P111" s="63" t="b">
        <x:v>1</x:v>
      </x:c>
      <x:c r="Q111" s="61" t="str">
        <x:v>analytical water specification</x:v>
      </x:c>
    </x:row>
    <x:row r="112">
      <x:c r="A112" s="61" t="str">
        <x:v>F3</x:v>
      </x:c>
      <x:c r="B112" s="61" t="str">
        <x:v>All</x:v>
      </x:c>
      <x:c r="C112" s="61" t="str">
        <x:v>press</x:v>
      </x:c>
      <x:c r="D112" s="61" t="str">
        <x:v>Dry-solids recovery</x:v>
      </x:c>
      <x:c r="E112" s="61" t="str">
        <x:v>dry_solids_recovery_to_cake</x:v>
      </x:c>
      <x:c r="F112" s="62" t="n">
        <x:v>0.9</x:v>
      </x:c>
      <x:c r="G112" s="61" t="str">
        <x:v>fraction to cake</x:v>
      </x:c>
      <x:c r="H112" s="61" t="n">
        <x:v>0</x:v>
      </x:c>
      <x:c r="I112" s="61" t="n">
        <x:v>1</x:v>
      </x:c>
      <x:c r="J112" s="63" t="b">
        <x:v>1</x:v>
      </x:c>
      <x:c r="K112" s="61" t="str">
        <x:v>assumed</x:v>
      </x:c>
      <x:c r="L112" s="73" t="str">
        <x:v>E</x:v>
      </x:c>
      <x:c r="M112" s="61"/>
      <x:c r="N112" s="61" t="str">
        <x:v>Particulate default.</x:v>
      </x:c>
      <x:c r="O112" s="61" t="n">
        <x:v>10</x:v>
      </x:c>
      <x:c r="P112" s="63" t="b">
        <x:v>1</x:v>
      </x:c>
      <x:c r="Q112" s="61" t="str">
        <x:v>split hierarchy</x:v>
      </x:c>
    </x:row>
    <x:row r="113">
      <x:c r="A113" s="61" t="str">
        <x:v>F3</x:v>
      </x:c>
      <x:c r="B113" s="61" t="str">
        <x:v>All</x:v>
      </x:c>
      <x:c r="C113" s="61" t="str">
        <x:v>press</x:v>
      </x:c>
      <x:c r="D113" s="61" t="str">
        <x:v>Water recovery</x:v>
      </x:c>
      <x:c r="E113" s="61" t="str">
        <x:v>water_recovery_to_juice</x:v>
      </x:c>
      <x:c r="F113" s="62" t="n">
        <x:v>0.7</x:v>
      </x:c>
      <x:c r="G113" s="61" t="str">
        <x:v>fraction to juice</x:v>
      </x:c>
      <x:c r="H113" s="61" t="n">
        <x:v>0</x:v>
      </x:c>
      <x:c r="I113" s="61" t="n">
        <x:v>1</x:v>
      </x:c>
      <x:c r="J113" s="63" t="b">
        <x:v>1</x:v>
      </x:c>
      <x:c r="K113" s="61" t="str">
        <x:v>assumed</x:v>
      </x:c>
      <x:c r="L113" s="73" t="str">
        <x:v>E</x:v>
      </x:c>
      <x:c r="M113" s="61"/>
      <x:c r="N113" s="61" t="str">
        <x:v>Fallback only when no moisture/yield target is active.</x:v>
      </x:c>
      <x:c r="O113" s="61" t="n">
        <x:v>10</x:v>
      </x:c>
      <x:c r="P113" s="63" t="b">
        <x:v>1</x:v>
      </x:c>
      <x:c r="Q113" s="61" t="str">
        <x:v>water fallback</x:v>
      </x:c>
    </x:row>
    <x:row r="114">
      <x:c r="A114" s="61" t="str">
        <x:v>F3</x:v>
      </x:c>
      <x:c r="B114" s="61" t="str">
        <x:v>All</x:v>
      </x:c>
      <x:c r="C114" s="61" t="str">
        <x:v>press</x:v>
      </x:c>
      <x:c r="D114" s="61" t="str">
        <x:v>Soluble protein recovery</x:v>
      </x:c>
      <x:c r="E114" s="61" t="str">
        <x:v>soluble_protein_recovery_to_juice</x:v>
      </x:c>
      <x:c r="F114" s="62" t="n">
        <x:v>0.7</x:v>
      </x:c>
      <x:c r="G114" s="61" t="str">
        <x:v>fraction to juice</x:v>
      </x:c>
      <x:c r="H114" s="61" t="n">
        <x:v>0</x:v>
      </x:c>
      <x:c r="I114" s="61" t="n">
        <x:v>1</x:v>
      </x:c>
      <x:c r="J114" s="63" t="b">
        <x:v>1</x:v>
      </x:c>
      <x:c r="K114" s="61" t="str">
        <x:v>assumed</x:v>
      </x:c>
      <x:c r="L114" s="73" t="str">
        <x:v>E</x:v>
      </x:c>
      <x:c r="M114" s="61"/>
      <x:c r="N114" s="61" t="str">
        <x:v>Structural test value.</x:v>
      </x:c>
      <x:c r="O114" s="61" t="n">
        <x:v>10</x:v>
      </x:c>
      <x:c r="P114" s="63" t="b">
        <x:v>1</x:v>
      </x:c>
      <x:c r="Q114" s="61" t="str">
        <x:v>group recovery</x:v>
      </x:c>
    </x:row>
    <x:row r="115">
      <x:c r="A115" s="61" t="str">
        <x:v>F3</x:v>
      </x:c>
      <x:c r="B115" s="61" t="str">
        <x:v>All</x:v>
      </x:c>
      <x:c r="C115" s="61" t="str">
        <x:v>press</x:v>
      </x:c>
      <x:c r="D115" s="61" t="str">
        <x:v>Suspended protein recovery</x:v>
      </x:c>
      <x:c r="E115" s="61" t="str">
        <x:v>suspended_protein_recovery_to_juice</x:v>
      </x:c>
      <x:c r="F115" s="62" t="n">
        <x:v>0.15</x:v>
      </x:c>
      <x:c r="G115" s="61" t="str">
        <x:v>fraction to juice</x:v>
      </x:c>
      <x:c r="H115" s="61" t="n">
        <x:v>0</x:v>
      </x:c>
      <x:c r="I115" s="61" t="n">
        <x:v>1</x:v>
      </x:c>
      <x:c r="J115" s="63" t="b">
        <x:v>1</x:v>
      </x:c>
      <x:c r="K115" s="61" t="str">
        <x:v>assumed</x:v>
      </x:c>
      <x:c r="L115" s="73" t="str">
        <x:v>E</x:v>
      </x:c>
      <x:c r="M115" s="61"/>
      <x:c r="N115" s="61" t="str">
        <x:v>Structural test value.</x:v>
      </x:c>
      <x:c r="O115" s="61" t="n">
        <x:v>10</x:v>
      </x:c>
      <x:c r="P115" s="63" t="b">
        <x:v>1</x:v>
      </x:c>
      <x:c r="Q115" s="61" t="str">
        <x:v>group recovery</x:v>
      </x:c>
    </x:row>
    <x:row r="116">
      <x:c r="A116" s="61" t="str">
        <x:v>F3</x:v>
      </x:c>
      <x:c r="B116" s="61" t="str">
        <x:v>All</x:v>
      </x:c>
      <x:c r="C116" s="61" t="str">
        <x:v>press</x:v>
      </x:c>
      <x:c r="D116" s="61" t="str">
        <x:v>Sugar recovery</x:v>
      </x:c>
      <x:c r="E116" s="61" t="str">
        <x:v>sugar_recovery_to_juice</x:v>
      </x:c>
      <x:c r="F116" s="62" t="n">
        <x:v>0.7</x:v>
      </x:c>
      <x:c r="G116" s="61" t="str">
        <x:v>fraction to juice</x:v>
      </x:c>
      <x:c r="H116" s="61" t="n">
        <x:v>0</x:v>
      </x:c>
      <x:c r="I116" s="61" t="n">
        <x:v>1</x:v>
      </x:c>
      <x:c r="J116" s="63" t="b">
        <x:v>1</x:v>
      </x:c>
      <x:c r="K116" s="61" t="str">
        <x:v>assumed</x:v>
      </x:c>
      <x:c r="L116" s="73" t="str">
        <x:v>E</x:v>
      </x:c>
      <x:c r="M116" s="61"/>
      <x:c r="N116" s="61" t="str">
        <x:v>Structural test value.</x:v>
      </x:c>
      <x:c r="O116" s="61" t="n">
        <x:v>10</x:v>
      </x:c>
      <x:c r="P116" s="63" t="b">
        <x:v>1</x:v>
      </x:c>
      <x:c r="Q116" s="61" t="str">
        <x:v>group recovery</x:v>
      </x:c>
    </x:row>
    <x:row r="117">
      <x:c r="A117" s="61" t="str">
        <x:v>F3</x:v>
      </x:c>
      <x:c r="B117" s="61" t="str">
        <x:v>All</x:v>
      </x:c>
      <x:c r="C117" s="61" t="str">
        <x:v>press</x:v>
      </x:c>
      <x:c r="D117" s="61" t="str">
        <x:v>Organic acid recovery</x:v>
      </x:c>
      <x:c r="E117" s="61" t="str">
        <x:v>organic_acid_recovery_to_juice</x:v>
      </x:c>
      <x:c r="F117" s="62" t="n">
        <x:v>0.85</x:v>
      </x:c>
      <x:c r="G117" s="61" t="str">
        <x:v>fraction to juice</x:v>
      </x:c>
      <x:c r="H117" s="61" t="n">
        <x:v>0</x:v>
      </x:c>
      <x:c r="I117" s="61" t="n">
        <x:v>1</x:v>
      </x:c>
      <x:c r="J117" s="63" t="b">
        <x:v>1</x:v>
      </x:c>
      <x:c r="K117" s="61" t="str">
        <x:v>assumed</x:v>
      </x:c>
      <x:c r="L117" s="73" t="str">
        <x:v>E</x:v>
      </x:c>
      <x:c r="M117" s="61"/>
      <x:c r="N117" s="61" t="str">
        <x:v>Structural test value.</x:v>
      </x:c>
      <x:c r="O117" s="61" t="n">
        <x:v>10</x:v>
      </x:c>
      <x:c r="P117" s="63" t="b">
        <x:v>1</x:v>
      </x:c>
      <x:c r="Q117" s="61" t="str">
        <x:v>group recovery</x:v>
      </x:c>
    </x:row>
    <x:row r="118">
      <x:c r="A118" s="61" t="str">
        <x:v>F3</x:v>
      </x:c>
      <x:c r="B118" s="61" t="str">
        <x:v>All</x:v>
      </x:c>
      <x:c r="C118" s="61" t="str">
        <x:v>press</x:v>
      </x:c>
      <x:c r="D118" s="61" t="str">
        <x:v>Amino-acid recovery</x:v>
      </x:c>
      <x:c r="E118" s="61" t="str">
        <x:v>amino_acid_recovery_to_juice</x:v>
      </x:c>
      <x:c r="F118" s="62" t="n">
        <x:v>0.8</x:v>
      </x:c>
      <x:c r="G118" s="61" t="str">
        <x:v>fraction to juice</x:v>
      </x:c>
      <x:c r="H118" s="61" t="n">
        <x:v>0</x:v>
      </x:c>
      <x:c r="I118" s="61" t="n">
        <x:v>1</x:v>
      </x:c>
      <x:c r="J118" s="63" t="b">
        <x:v>1</x:v>
      </x:c>
      <x:c r="K118" s="61" t="str">
        <x:v>assumed</x:v>
      </x:c>
      <x:c r="L118" s="73" t="str">
        <x:v>E</x:v>
      </x:c>
      <x:c r="M118" s="61"/>
      <x:c r="N118" s="61" t="str">
        <x:v>Also used for peptide recovery.</x:v>
      </x:c>
      <x:c r="O118" s="61" t="n">
        <x:v>10</x:v>
      </x:c>
      <x:c r="P118" s="63" t="b">
        <x:v>1</x:v>
      </x:c>
      <x:c r="Q118" s="61" t="str">
        <x:v>group recovery</x:v>
      </x:c>
    </x:row>
    <x:row r="119">
      <x:c r="A119" s="61" t="str">
        <x:v>F3</x:v>
      </x:c>
      <x:c r="B119" s="61" t="str">
        <x:v>All</x:v>
      </x:c>
      <x:c r="C119" s="61" t="str">
        <x:v>press</x:v>
      </x:c>
      <x:c r="D119" s="61" t="str">
        <x:v>Ammonium recovery</x:v>
      </x:c>
      <x:c r="E119" s="61" t="str">
        <x:v>ammonium_recovery_to_juice</x:v>
      </x:c>
      <x:c r="F119" s="62" t="n">
        <x:v>0.9</x:v>
      </x:c>
      <x:c r="G119" s="61" t="str">
        <x:v>fraction to juice</x:v>
      </x:c>
      <x:c r="H119" s="61" t="n">
        <x:v>0</x:v>
      </x:c>
      <x:c r="I119" s="61" t="n">
        <x:v>1</x:v>
      </x:c>
      <x:c r="J119" s="63" t="b">
        <x:v>1</x:v>
      </x:c>
      <x:c r="K119" s="61" t="str">
        <x:v>assumed</x:v>
      </x:c>
      <x:c r="L119" s="73" t="str">
        <x:v>E</x:v>
      </x:c>
      <x:c r="M119" s="61"/>
      <x:c r="N119" s="61" t="str">
        <x:v>Structural test value.</x:v>
      </x:c>
      <x:c r="O119" s="61" t="n">
        <x:v>10</x:v>
      </x:c>
      <x:c r="P119" s="63" t="b">
        <x:v>1</x:v>
      </x:c>
      <x:c r="Q119" s="61" t="str">
        <x:v>component recovery</x:v>
      </x:c>
    </x:row>
    <x:row r="120">
      <x:c r="A120" s="61" t="str">
        <x:v>F3</x:v>
      </x:c>
      <x:c r="B120" s="61" t="str">
        <x:v>All</x:v>
      </x:c>
      <x:c r="C120" s="61" t="str">
        <x:v>press</x:v>
      </x:c>
      <x:c r="D120" s="61" t="str">
        <x:v>Phosphate recovery</x:v>
      </x:c>
      <x:c r="E120" s="61" t="str">
        <x:v>phosphate_recovery_to_juice</x:v>
      </x:c>
      <x:c r="F120" s="62" t="n">
        <x:v>0.8</x:v>
      </x:c>
      <x:c r="G120" s="61" t="str">
        <x:v>fraction to juice</x:v>
      </x:c>
      <x:c r="H120" s="61" t="n">
        <x:v>0</x:v>
      </x:c>
      <x:c r="I120" s="61" t="n">
        <x:v>1</x:v>
      </x:c>
      <x:c r="J120" s="63" t="b">
        <x:v>1</x:v>
      </x:c>
      <x:c r="K120" s="61" t="str">
        <x:v>assumed</x:v>
      </x:c>
      <x:c r="L120" s="73" t="str">
        <x:v>E</x:v>
      </x:c>
      <x:c r="M120" s="61"/>
      <x:c r="N120" s="61" t="str">
        <x:v>Dissolved-P group recovery.</x:v>
      </x:c>
      <x:c r="O120" s="61" t="n">
        <x:v>10</x:v>
      </x:c>
      <x:c r="P120" s="63" t="b">
        <x:v>1</x:v>
      </x:c>
      <x:c r="Q120" s="61" t="str">
        <x:v>group recovery</x:v>
      </x:c>
    </x:row>
    <x:row r="121">
      <x:c r="A121" s="61" t="str">
        <x:v>F3</x:v>
      </x:c>
      <x:c r="B121" s="61" t="str">
        <x:v>All</x:v>
      </x:c>
      <x:c r="C121" s="61" t="str">
        <x:v>press</x:v>
      </x:c>
      <x:c r="D121" s="61" t="str">
        <x:v>Potassium recovery</x:v>
      </x:c>
      <x:c r="E121" s="61" t="str">
        <x:v>potassium_recovery_to_juice</x:v>
      </x:c>
      <x:c r="F121" s="62" t="n">
        <x:v>0.9</x:v>
      </x:c>
      <x:c r="G121" s="61" t="str">
        <x:v>fraction to juice</x:v>
      </x:c>
      <x:c r="H121" s="61" t="n">
        <x:v>0</x:v>
      </x:c>
      <x:c r="I121" s="61" t="n">
        <x:v>1</x:v>
      </x:c>
      <x:c r="J121" s="63" t="b">
        <x:v>1</x:v>
      </x:c>
      <x:c r="K121" s="61" t="str">
        <x:v>assumed</x:v>
      </x:c>
      <x:c r="L121" s="73" t="str">
        <x:v>E</x:v>
      </x:c>
      <x:c r="M121" s="61"/>
      <x:c r="N121" s="61" t="str">
        <x:v>Structural test value.</x:v>
      </x:c>
      <x:c r="O121" s="61" t="n">
        <x:v>10</x:v>
      </x:c>
      <x:c r="P121" s="63" t="b">
        <x:v>1</x:v>
      </x:c>
      <x:c r="Q121" s="61" t="str">
        <x:v>component recovery</x:v>
      </x:c>
    </x:row>
    <x:row r="122">
      <x:c r="A122" s="61" t="str">
        <x:v>F3</x:v>
      </x:c>
      <x:c r="B122" s="61" t="str">
        <x:v>All</x:v>
      </x:c>
      <x:c r="C122" s="61" t="str">
        <x:v>press</x:v>
      </x:c>
      <x:c r="D122" s="61" t="str">
        <x:v>Soluble salt recovery</x:v>
      </x:c>
      <x:c r="E122" s="61" t="str">
        <x:v>soluble_salt_recovery_to_juice</x:v>
      </x:c>
      <x:c r="F122" s="62" t="n">
        <x:v>0.9</x:v>
      </x:c>
      <x:c r="G122" s="61" t="str">
        <x:v>fraction to juice</x:v>
      </x:c>
      <x:c r="H122" s="61" t="n">
        <x:v>0</x:v>
      </x:c>
      <x:c r="I122" s="61" t="n">
        <x:v>1</x:v>
      </x:c>
      <x:c r="J122" s="63" t="b">
        <x:v>1</x:v>
      </x:c>
      <x:c r="K122" s="61" t="str">
        <x:v>assumed</x:v>
      </x:c>
      <x:c r="L122" s="73" t="str">
        <x:v>E</x:v>
      </x:c>
      <x:c r="M122" s="61"/>
      <x:c r="N122" s="61" t="str">
        <x:v>Structural test value.</x:v>
      </x:c>
      <x:c r="O122" s="61" t="n">
        <x:v>10</x:v>
      </x:c>
      <x:c r="P122" s="63" t="b">
        <x:v>1</x:v>
      </x:c>
      <x:c r="Q122" s="61" t="str">
        <x:v>group recovery</x:v>
      </x:c>
    </x:row>
    <x:row r="123">
      <x:c r="A123" s="61" t="str">
        <x:v>F3</x:v>
      </x:c>
      <x:c r="B123" s="61" t="str">
        <x:v>All</x:v>
      </x:c>
      <x:c r="C123" s="61" t="str">
        <x:v>press</x:v>
      </x:c>
      <x:c r="D123" s="61" t="str">
        <x:v>Cellulose recovery</x:v>
      </x:c>
      <x:c r="E123" s="61" t="str">
        <x:v>cellulose_recovery_to_cake</x:v>
      </x:c>
      <x:c r="F123" s="62" t="n">
        <x:v>0.97</x:v>
      </x:c>
      <x:c r="G123" s="61" t="str">
        <x:v>fraction to cake</x:v>
      </x:c>
      <x:c r="H123" s="61" t="n">
        <x:v>0</x:v>
      </x:c>
      <x:c r="I123" s="61" t="n">
        <x:v>1</x:v>
      </x:c>
      <x:c r="J123" s="63" t="b">
        <x:v>1</x:v>
      </x:c>
      <x:c r="K123" s="61" t="str">
        <x:v>assumed</x:v>
      </x:c>
      <x:c r="L123" s="73" t="str">
        <x:v>E</x:v>
      </x:c>
      <x:c r="M123" s="61"/>
      <x:c r="N123" s="61" t="str">
        <x:v>Structural test value.</x:v>
      </x:c>
      <x:c r="O123" s="61" t="n">
        <x:v>10</x:v>
      </x:c>
      <x:c r="P123" s="63" t="b">
        <x:v>1</x:v>
      </x:c>
      <x:c r="Q123" s="61" t="str">
        <x:v>component recovery</x:v>
      </x:c>
    </x:row>
    <x:row r="124">
      <x:c r="A124" s="61" t="str">
        <x:v>F3</x:v>
      </x:c>
      <x:c r="B124" s="61" t="str">
        <x:v>All</x:v>
      </x:c>
      <x:c r="C124" s="61" t="str">
        <x:v>press</x:v>
      </x:c>
      <x:c r="D124" s="61" t="str">
        <x:v>Hemicellulose recovery</x:v>
      </x:c>
      <x:c r="E124" s="61" t="str">
        <x:v>hemicellulose_recovery_to_cake</x:v>
      </x:c>
      <x:c r="F124" s="62" t="n">
        <x:v>0.95</x:v>
      </x:c>
      <x:c r="G124" s="61" t="str">
        <x:v>fraction to cake</x:v>
      </x:c>
      <x:c r="H124" s="61" t="n">
        <x:v>0</x:v>
      </x:c>
      <x:c r="I124" s="61" t="n">
        <x:v>1</x:v>
      </x:c>
      <x:c r="J124" s="63" t="b">
        <x:v>1</x:v>
      </x:c>
      <x:c r="K124" s="61" t="str">
        <x:v>assumed</x:v>
      </x:c>
      <x:c r="L124" s="73" t="str">
        <x:v>E</x:v>
      </x:c>
      <x:c r="M124" s="61"/>
      <x:c r="N124" s="61" t="str">
        <x:v>Structural test value.</x:v>
      </x:c>
      <x:c r="O124" s="61" t="n">
        <x:v>10</x:v>
      </x:c>
      <x:c r="P124" s="63" t="b">
        <x:v>1</x:v>
      </x:c>
      <x:c r="Q124" s="61" t="str">
        <x:v>component recovery</x:v>
      </x:c>
    </x:row>
    <x:row r="125">
      <x:c r="A125" s="61" t="str">
        <x:v>F3</x:v>
      </x:c>
      <x:c r="B125" s="61" t="str">
        <x:v>All</x:v>
      </x:c>
      <x:c r="C125" s="61" t="str">
        <x:v>press</x:v>
      </x:c>
      <x:c r="D125" s="61" t="str">
        <x:v>Lignin recovery</x:v>
      </x:c>
      <x:c r="E125" s="61" t="str">
        <x:v>lignin_recovery_to_cake</x:v>
      </x:c>
      <x:c r="F125" s="62" t="n">
        <x:v>0.98</x:v>
      </x:c>
      <x:c r="G125" s="61" t="str">
        <x:v>fraction to cake</x:v>
      </x:c>
      <x:c r="H125" s="61" t="n">
        <x:v>0</x:v>
      </x:c>
      <x:c r="I125" s="61" t="n">
        <x:v>1</x:v>
      </x:c>
      <x:c r="J125" s="63" t="b">
        <x:v>1</x:v>
      </x:c>
      <x:c r="K125" s="61" t="str">
        <x:v>assumed</x:v>
      </x:c>
      <x:c r="L125" s="73" t="str">
        <x:v>E</x:v>
      </x:c>
      <x:c r="M125" s="61"/>
      <x:c r="N125" s="61" t="str">
        <x:v>Structural test value.</x:v>
      </x:c>
      <x:c r="O125" s="61" t="n">
        <x:v>10</x:v>
      </x:c>
      <x:c r="P125" s="63" t="b">
        <x:v>1</x:v>
      </x:c>
      <x:c r="Q125" s="61" t="str">
        <x:v>component recovery</x:v>
      </x:c>
    </x:row>
    <x:row r="126">
      <x:c r="A126" s="61" t="str">
        <x:v>F3</x:v>
      </x:c>
      <x:c r="B126" s="61" t="str">
        <x:v>All</x:v>
      </x:c>
      <x:c r="C126" s="61" t="str">
        <x:v>press</x:v>
      </x:c>
      <x:c r="D126" s="61" t="str">
        <x:v>Inert-solids recovery</x:v>
      </x:c>
      <x:c r="E126" s="61" t="str">
        <x:v>inert_solids_recovery_to_cake</x:v>
      </x:c>
      <x:c r="F126" s="62" t="n">
        <x:v>0.97</x:v>
      </x:c>
      <x:c r="G126" s="61" t="str">
        <x:v>fraction to cake</x:v>
      </x:c>
      <x:c r="H126" s="61" t="n">
        <x:v>0</x:v>
      </x:c>
      <x:c r="I126" s="61" t="n">
        <x:v>1</x:v>
      </x:c>
      <x:c r="J126" s="63" t="b">
        <x:v>1</x:v>
      </x:c>
      <x:c r="K126" s="61" t="str">
        <x:v>assumed</x:v>
      </x:c>
      <x:c r="L126" s="73" t="str">
        <x:v>E</x:v>
      </x:c>
      <x:c r="M126" s="61"/>
      <x:c r="N126" s="61" t="str">
        <x:v>Structural test value.</x:v>
      </x:c>
      <x:c r="O126" s="61" t="n">
        <x:v>10</x:v>
      </x:c>
      <x:c r="P126" s="63" t="b">
        <x:v>1</x:v>
      </x:c>
      <x:c r="Q126" s="61" t="str">
        <x:v>component recovery</x:v>
      </x:c>
    </x:row>
    <x:row r="127">
      <x:c r="A127" s="61" t="str">
        <x:v>F3</x:v>
      </x:c>
      <x:c r="B127" s="61" t="str">
        <x:v>All</x:v>
      </x:c>
      <x:c r="C127" s="61" t="str">
        <x:v>press</x:v>
      </x:c>
      <x:c r="D127" s="61" t="str">
        <x:v>Contaminant recovery</x:v>
      </x:c>
      <x:c r="E127" s="61" t="str">
        <x:v>contaminant_recovery_to_cake</x:v>
      </x:c>
      <x:c r="F127" s="62" t="n">
        <x:v>0.9</x:v>
      </x:c>
      <x:c r="G127" s="61" t="str">
        <x:v>fraction to cake</x:v>
      </x:c>
      <x:c r="H127" s="61" t="n">
        <x:v>0</x:v>
      </x:c>
      <x:c r="I127" s="61" t="n">
        <x:v>1</x:v>
      </x:c>
      <x:c r="J127" s="63" t="b">
        <x:v>1</x:v>
      </x:c>
      <x:c r="K127" s="61" t="str">
        <x:v>assumed</x:v>
      </x:c>
      <x:c r="L127" s="73" t="str">
        <x:v>E</x:v>
      </x:c>
      <x:c r="M127" s="61"/>
      <x:c r="N127" s="61" t="str">
        <x:v>Grouped fallback; individual overrides may be added later.</x:v>
      </x:c>
      <x:c r="O127" s="61" t="n">
        <x:v>10</x:v>
      </x:c>
      <x:c r="P127" s="63" t="b">
        <x:v>1</x:v>
      </x:c>
      <x:c r="Q127" s="61" t="str">
        <x:v>group recovery</x:v>
      </x:c>
    </x:row>
    <x:row r="128">
      <x:c r="A128" s="61" t="str">
        <x:v>F3</x:v>
      </x:c>
      <x:c r="B128" s="61" t="str">
        <x:v>All</x:v>
      </x:c>
      <x:c r="C128" s="61" t="str">
        <x:v>press</x:v>
      </x:c>
      <x:c r="D128" s="61" t="str">
        <x:v>Specific electricity</x:v>
      </x:c>
      <x:c r="E128" s="61" t="str">
        <x:v>press_electricity_kwh_per_t_wet</x:v>
      </x:c>
      <x:c r="F128" s="62" t="n">
        <x:v>5</x:v>
      </x:c>
      <x:c r="G128" s="61" t="str">
        <x:v>kWh/t wet</x:v>
      </x:c>
      <x:c r="H128" s="61" t="n">
        <x:v>0</x:v>
      </x:c>
      <x:c r="I128" s="61"/>
      <x:c r="J128" s="63" t="b">
        <x:v>1</x:v>
      </x:c>
      <x:c r="K128" s="61" t="str">
        <x:v>assumed</x:v>
      </x:c>
      <x:c r="L128" s="73" t="str">
        <x:v>E</x:v>
      </x:c>
      <x:c r="M128" s="61"/>
      <x:c r="N128" s="61" t="str">
        <x:v>Structural test value; replace with equipment data.</x:v>
      </x:c>
      <x:c r="O128" s="61" t="n">
        <x:v>10</x:v>
      </x:c>
      <x:c r="P128" s="63" t="b">
        <x:v>1</x:v>
      </x:c>
      <x:c r="Q128" s="61" t="str">
        <x:v>wet t/h x kWh/t</x:v>
      </x:c>
    </x:row>
    <x:row r="129">
      <x:c r="A129" s="61" t="str">
        <x:v>F3</x:v>
      </x:c>
      <x:c r="B129" s="61" t="str">
        <x:v>All</x:v>
      </x:c>
      <x:c r="C129" s="61" t="str">
        <x:v>press</x:v>
      </x:c>
      <x:c r="D129" s="61" t="str">
        <x:v>Train capacity</x:v>
      </x:c>
      <x:c r="E129" s="61" t="str">
        <x:v>press_capacity_t_per_h</x:v>
      </x:c>
      <x:c r="F129" s="62" t="n">
        <x:v>2</x:v>
      </x:c>
      <x:c r="G129" s="61" t="str">
        <x:v>t wet/h</x:v>
      </x:c>
      <x:c r="H129" s="61" t="n">
        <x:v>0</x:v>
      </x:c>
      <x:c r="I129" s="61"/>
      <x:c r="J129" s="63" t="b">
        <x:v>0</x:v>
      </x:c>
      <x:c r="K129" s="61" t="str">
        <x:v>assumed</x:v>
      </x:c>
      <x:c r="L129" s="73" t="str">
        <x:v>E</x:v>
      </x:c>
      <x:c r="M129" s="61"/>
      <x:c r="N129" s="61" t="str">
        <x:v>Structural sizing value; no CAPEX is assigned.</x:v>
      </x:c>
      <x:c r="O129" s="61" t="n">
        <x:v>10</x:v>
      </x:c>
      <x:c r="P129" s="63" t="b">
        <x:v>1</x:v>
      </x:c>
      <x:c r="Q129" s="61" t="str">
        <x:v>ceil throughput/capacity</x:v>
      </x:c>
    </x:row>
    <x:row r="130">
      <x:c r="A130" s="61" t="str">
        <x:v>F3</x:v>
      </x:c>
      <x:c r="B130" s="61" t="str">
        <x:v>All</x:v>
      </x:c>
      <x:c r="C130" s="61" t="str">
        <x:v>press</x:v>
      </x:c>
      <x:c r="D130" s="61" t="str">
        <x:v>Constraint priority</x:v>
      </x:c>
      <x:c r="E130" s="61" t="str">
        <x:v>press_constraint_priority</x:v>
      </x:c>
      <x:c r="F130" s="62" t="str">
        <x:v>juice_yield_priority</x:v>
      </x:c>
      <x:c r="G130" s="61" t="str">
        <x:v>text</x:v>
      </x:c>
      <x:c r="H130" s="61"/>
      <x:c r="I130" s="61"/>
      <x:c r="J130" s="63" t="b">
        <x:v>1</x:v>
      </x:c>
      <x:c r="K130" s="61" t="str">
        <x:v>assumed</x:v>
      </x:c>
      <x:c r="L130" s="73" t="str">
        <x:v>E</x:v>
      </x:c>
      <x:c r="M130" s="61"/>
      <x:c r="N130" s="61" t="str">
        <x:v>Structural scenario enforces juice yield and reports the inconsistent cake-moisture target.</x:v>
      </x:c>
      <x:c r="O130" s="61" t="n">
        <x:v>10</x:v>
      </x:c>
      <x:c r="P130" s="63" t="b">
        <x:v>1</x:v>
      </x:c>
      <x:c r="Q130" s="61" t="str">
        <x:v>direct analytical specification</x:v>
      </x:c>
    </x:row>
    <x:row r="131">
      <x:c r="A131" s="61" t="str">
        <x:v>All</x:v>
      </x:c>
      <x:c r="B131" s="61" t="str">
        <x:v>All</x:v>
      </x:c>
      <x:c r="C131" s="61" t="str">
        <x:v>centrifuge</x:v>
      </x:c>
      <x:c r="D131" s="61" t="str">
        <x:v>TSS removal</x:v>
      </x:c>
      <x:c r="E131" s="61" t="str">
        <x:v>tss_removal_efficiency</x:v>
      </x:c>
      <x:c r="F131" s="62" t="n">
        <x:v>0.9</x:v>
      </x:c>
      <x:c r="G131" s="61" t="str">
        <x:v>fraction removed</x:v>
      </x:c>
      <x:c r="H131" s="61" t="n">
        <x:v>0</x:v>
      </x:c>
      <x:c r="I131" s="61" t="n">
        <x:v>1</x:v>
      </x:c>
      <x:c r="J131" s="63" t="b">
        <x:v>1</x:v>
      </x:c>
      <x:c r="K131" s="61" t="str">
        <x:v>assumed</x:v>
      </x:c>
      <x:c r="L131" s="73" t="str">
        <x:v>E</x:v>
      </x:c>
      <x:c r="M131" s="61"/>
      <x:c r="N131" s="61" t="str">
        <x:v>Structural test value.</x:v>
      </x:c>
      <x:c r="O131" s="61" t="n">
        <x:v>10</x:v>
      </x:c>
      <x:c r="P131" s="63" t="b">
        <x:v>1</x:v>
      </x:c>
      <x:c r="Q131" s="61" t="str">
        <x:v>physical class split</x:v>
      </x:c>
    </x:row>
    <x:row r="132">
      <x:c r="A132" s="61" t="str">
        <x:v>All</x:v>
      </x:c>
      <x:c r="B132" s="61" t="str">
        <x:v>All</x:v>
      </x:c>
      <x:c r="C132" s="61" t="str">
        <x:v>centrifuge</x:v>
      </x:c>
      <x:c r="D132" s="61" t="str">
        <x:v>VSS removal</x:v>
      </x:c>
      <x:c r="E132" s="61" t="str">
        <x:v>vss_removal_efficiency</x:v>
      </x:c>
      <x:c r="F132" s="62" t="n">
        <x:v>0.85</x:v>
      </x:c>
      <x:c r="G132" s="61" t="str">
        <x:v>fraction removed</x:v>
      </x:c>
      <x:c r="H132" s="61" t="n">
        <x:v>0</x:v>
      </x:c>
      <x:c r="I132" s="61" t="n">
        <x:v>1</x:v>
      </x:c>
      <x:c r="J132" s="63" t="b">
        <x:v>1</x:v>
      </x:c>
      <x:c r="K132" s="61" t="str">
        <x:v>assumed</x:v>
      </x:c>
      <x:c r="L132" s="73" t="str">
        <x:v>E</x:v>
      </x:c>
      <x:c r="M132" s="61"/>
      <x:c r="N132" s="61" t="str">
        <x:v>Structural test value.</x:v>
      </x:c>
      <x:c r="O132" s="61" t="n">
        <x:v>10</x:v>
      </x:c>
      <x:c r="P132" s="63" t="b">
        <x:v>1</x:v>
      </x:c>
      <x:c r="Q132" s="61" t="str">
        <x:v>physical class split</x:v>
      </x:c>
    </x:row>
    <x:row r="133">
      <x:c r="A133" s="61" t="str">
        <x:v>All</x:v>
      </x:c>
      <x:c r="B133" s="61" t="str">
        <x:v>All</x:v>
      </x:c>
      <x:c r="C133" s="61" t="str">
        <x:v>centrifuge</x:v>
      </x:c>
      <x:c r="D133" s="61" t="str">
        <x:v>Suspended protein removal</x:v>
      </x:c>
      <x:c r="E133" s="61" t="str">
        <x:v>suspended_protein_removal_efficiency</x:v>
      </x:c>
      <x:c r="F133" s="62" t="n">
        <x:v>0.85</x:v>
      </x:c>
      <x:c r="G133" s="61" t="str">
        <x:v>fraction removed</x:v>
      </x:c>
      <x:c r="H133" s="61" t="n">
        <x:v>0</x:v>
      </x:c>
      <x:c r="I133" s="61" t="n">
        <x:v>1</x:v>
      </x:c>
      <x:c r="J133" s="63" t="b">
        <x:v>1</x:v>
      </x:c>
      <x:c r="K133" s="61" t="str">
        <x:v>assumed</x:v>
      </x:c>
      <x:c r="L133" s="73" t="str">
        <x:v>E</x:v>
      </x:c>
      <x:c r="M133" s="61"/>
      <x:c r="N133" s="61" t="str">
        <x:v>Structural test value.</x:v>
      </x:c>
      <x:c r="O133" s="61" t="n">
        <x:v>10</x:v>
      </x:c>
      <x:c r="P133" s="63" t="b">
        <x:v>1</x:v>
      </x:c>
      <x:c r="Q133" s="61" t="str">
        <x:v>component split</x:v>
      </x:c>
    </x:row>
    <x:row r="134">
      <x:c r="A134" s="61" t="str">
        <x:v>All</x:v>
      </x:c>
      <x:c r="B134" s="61" t="str">
        <x:v>All</x:v>
      </x:c>
      <x:c r="C134" s="61" t="str">
        <x:v>centrifuge</x:v>
      </x:c>
      <x:c r="D134" s="61" t="str">
        <x:v>Soluble protein loss</x:v>
      </x:c>
      <x:c r="E134" s="61" t="str">
        <x:v>soluble_protein_loss_fraction</x:v>
      </x:c>
      <x:c r="F134" s="62" t="n">
        <x:v>0.02</x:v>
      </x:c>
      <x:c r="G134" s="61" t="str">
        <x:v>fraction to sludge</x:v>
      </x:c>
      <x:c r="H134" s="61" t="n">
        <x:v>0</x:v>
      </x:c>
      <x:c r="I134" s="61" t="n">
        <x:v>1</x:v>
      </x:c>
      <x:c r="J134" s="63" t="b">
        <x:v>1</x:v>
      </x:c>
      <x:c r="K134" s="61" t="str">
        <x:v>assumed</x:v>
      </x:c>
      <x:c r="L134" s="73" t="str">
        <x:v>E</x:v>
      </x:c>
      <x:c r="M134" s="61"/>
      <x:c r="N134" s="61" t="str">
        <x:v>Structural test value.</x:v>
      </x:c>
      <x:c r="O134" s="61" t="n">
        <x:v>10</x:v>
      </x:c>
      <x:c r="P134" s="63" t="b">
        <x:v>1</x:v>
      </x:c>
      <x:c r="Q134" s="61" t="str">
        <x:v>component split</x:v>
      </x:c>
    </x:row>
    <x:row r="135">
      <x:c r="A135" s="61" t="str">
        <x:v>All</x:v>
      </x:c>
      <x:c r="B135" s="61" t="str">
        <x:v>All</x:v>
      </x:c>
      <x:c r="C135" s="61" t="str">
        <x:v>centrifuge</x:v>
      </x:c>
      <x:c r="D135" s="61" t="str">
        <x:v>Particulate COD removal</x:v>
      </x:c>
      <x:c r="E135" s="61" t="str">
        <x:v>particulate_cod_removal_efficiency</x:v>
      </x:c>
      <x:c r="F135" s="62" t="n">
        <x:v>0.85</x:v>
      </x:c>
      <x:c r="G135" s="61" t="str">
        <x:v>fraction removed</x:v>
      </x:c>
      <x:c r="H135" s="61" t="n">
        <x:v>0</x:v>
      </x:c>
      <x:c r="I135" s="61" t="n">
        <x:v>1</x:v>
      </x:c>
      <x:c r="J135" s="63" t="b">
        <x:v>1</x:v>
      </x:c>
      <x:c r="K135" s="61" t="str">
        <x:v>assumed</x:v>
      </x:c>
      <x:c r="L135" s="73" t="str">
        <x:v>E</x:v>
      </x:c>
      <x:c r="M135" s="61"/>
      <x:c r="N135" s="61" t="str">
        <x:v>Structural test value.</x:v>
      </x:c>
      <x:c r="O135" s="61" t="n">
        <x:v>10</x:v>
      </x:c>
      <x:c r="P135" s="63" t="b">
        <x:v>1</x:v>
      </x:c>
      <x:c r="Q135" s="61" t="str">
        <x:v>group split</x:v>
      </x:c>
    </x:row>
    <x:row r="136">
      <x:c r="A136" s="61" t="str">
        <x:v>All</x:v>
      </x:c>
      <x:c r="B136" s="61" t="str">
        <x:v>All</x:v>
      </x:c>
      <x:c r="C136" s="61" t="str">
        <x:v>centrifuge</x:v>
      </x:c>
      <x:c r="D136" s="61" t="str">
        <x:v>Particulate P removal</x:v>
      </x:c>
      <x:c r="E136" s="61" t="str">
        <x:v>particulate_p_removal_efficiency</x:v>
      </x:c>
      <x:c r="F136" s="62" t="n">
        <x:v>0.9</x:v>
      </x:c>
      <x:c r="G136" s="61" t="str">
        <x:v>fraction removed</x:v>
      </x:c>
      <x:c r="H136" s="61" t="n">
        <x:v>0</x:v>
      </x:c>
      <x:c r="I136" s="61" t="n">
        <x:v>1</x:v>
      </x:c>
      <x:c r="J136" s="63" t="b">
        <x:v>1</x:v>
      </x:c>
      <x:c r="K136" s="61" t="str">
        <x:v>assumed</x:v>
      </x:c>
      <x:c r="L136" s="73" t="str">
        <x:v>E</x:v>
      </x:c>
      <x:c r="M136" s="61"/>
      <x:c r="N136" s="61" t="str">
        <x:v>Structural test value.</x:v>
      </x:c>
      <x:c r="O136" s="61" t="n">
        <x:v>10</x:v>
      </x:c>
      <x:c r="P136" s="63" t="b">
        <x:v>1</x:v>
      </x:c>
      <x:c r="Q136" s="61" t="str">
        <x:v>component split</x:v>
      </x:c>
    </x:row>
    <x:row r="137">
      <x:c r="A137" s="61" t="str">
        <x:v>All</x:v>
      </x:c>
      <x:c r="B137" s="61" t="str">
        <x:v>All</x:v>
      </x:c>
      <x:c r="C137" s="61" t="str">
        <x:v>centrifuge</x:v>
      </x:c>
      <x:c r="D137" s="61" t="str">
        <x:v>Dissolved P loss</x:v>
      </x:c>
      <x:c r="E137" s="61" t="str">
        <x:v>dissolved_p_loss_fraction</x:v>
      </x:c>
      <x:c r="F137" s="62" t="n">
        <x:v>0.02</x:v>
      </x:c>
      <x:c r="G137" s="61" t="str">
        <x:v>fraction to sludge</x:v>
      </x:c>
      <x:c r="H137" s="61" t="n">
        <x:v>0</x:v>
      </x:c>
      <x:c r="I137" s="61" t="n">
        <x:v>1</x:v>
      </x:c>
      <x:c r="J137" s="63" t="b">
        <x:v>1</x:v>
      </x:c>
      <x:c r="K137" s="61" t="str">
        <x:v>assumed</x:v>
      </x:c>
      <x:c r="L137" s="73" t="str">
        <x:v>E</x:v>
      </x:c>
      <x:c r="M137" s="61"/>
      <x:c r="N137" s="61" t="str">
        <x:v>Structural test value.</x:v>
      </x:c>
      <x:c r="O137" s="61" t="n">
        <x:v>10</x:v>
      </x:c>
      <x:c r="P137" s="63" t="b">
        <x:v>1</x:v>
      </x:c>
      <x:c r="Q137" s="61" t="str">
        <x:v>group split</x:v>
      </x:c>
    </x:row>
    <x:row r="138">
      <x:c r="A138" s="61" t="str">
        <x:v>All</x:v>
      </x:c>
      <x:c r="B138" s="61" t="str">
        <x:v>All</x:v>
      </x:c>
      <x:c r="C138" s="61" t="str">
        <x:v>centrifuge</x:v>
      </x:c>
      <x:c r="D138" s="61" t="str">
        <x:v>Particulate heavy-metal removal</x:v>
      </x:c>
      <x:c r="E138" s="61" t="str">
        <x:v>heavy_metal_particulate_removal_efficiency</x:v>
      </x:c>
      <x:c r="F138" s="62" t="n">
        <x:v>0.9</x:v>
      </x:c>
      <x:c r="G138" s="61" t="str">
        <x:v>fraction removed</x:v>
      </x:c>
      <x:c r="H138" s="61" t="n">
        <x:v>0</x:v>
      </x:c>
      <x:c r="I138" s="61" t="n">
        <x:v>1</x:v>
      </x:c>
      <x:c r="J138" s="63" t="b">
        <x:v>1</x:v>
      </x:c>
      <x:c r="K138" s="61" t="str">
        <x:v>assumed</x:v>
      </x:c>
      <x:c r="L138" s="73" t="str">
        <x:v>E</x:v>
      </x:c>
      <x:c r="M138" s="61"/>
      <x:c r="N138" s="61" t="str">
        <x:v>Structural test value.</x:v>
      </x:c>
      <x:c r="O138" s="61" t="n">
        <x:v>10</x:v>
      </x:c>
      <x:c r="P138" s="63" t="b">
        <x:v>1</x:v>
      </x:c>
      <x:c r="Q138" s="61" t="str">
        <x:v>component split</x:v>
      </x:c>
    </x:row>
    <x:row r="139">
      <x:c r="A139" s="61" t="str">
        <x:v>All</x:v>
      </x:c>
      <x:c r="B139" s="61" t="str">
        <x:v>All</x:v>
      </x:c>
      <x:c r="C139" s="61" t="str">
        <x:v>centrifuge</x:v>
      </x:c>
      <x:c r="D139" s="61" t="str">
        <x:v>Microplastic removal</x:v>
      </x:c>
      <x:c r="E139" s="61" t="str">
        <x:v>microplastic_removal_efficiency</x:v>
      </x:c>
      <x:c r="F139" s="62" t="n">
        <x:v>0.8</x:v>
      </x:c>
      <x:c r="G139" s="61" t="str">
        <x:v>fraction removed</x:v>
      </x:c>
      <x:c r="H139" s="61" t="n">
        <x:v>0</x:v>
      </x:c>
      <x:c r="I139" s="61" t="n">
        <x:v>1</x:v>
      </x:c>
      <x:c r="J139" s="63" t="b">
        <x:v>1</x:v>
      </x:c>
      <x:c r="K139" s="61" t="str">
        <x:v>assumed</x:v>
      </x:c>
      <x:c r="L139" s="73" t="str">
        <x:v>E</x:v>
      </x:c>
      <x:c r="M139" s="61"/>
      <x:c r="N139" s="61" t="str">
        <x:v>Structural test value.</x:v>
      </x:c>
      <x:c r="O139" s="61" t="n">
        <x:v>10</x:v>
      </x:c>
      <x:c r="P139" s="63" t="b">
        <x:v>1</x:v>
      </x:c>
      <x:c r="Q139" s="61" t="str">
        <x:v>component split</x:v>
      </x:c>
    </x:row>
    <x:row r="140">
      <x:c r="A140" s="61" t="str">
        <x:v>All</x:v>
      </x:c>
      <x:c r="B140" s="61" t="str">
        <x:v>All</x:v>
      </x:c>
      <x:c r="C140" s="61" t="str">
        <x:v>centrifuge</x:v>
      </x:c>
      <x:c r="D140" s="61" t="str">
        <x:v>Sand removal</x:v>
      </x:c>
      <x:c r="E140" s="61" t="str">
        <x:v>sand_removal_efficiency</x:v>
      </x:c>
      <x:c r="F140" s="62" t="n">
        <x:v>0.98</x:v>
      </x:c>
      <x:c r="G140" s="61" t="str">
        <x:v>fraction removed</x:v>
      </x:c>
      <x:c r="H140" s="61" t="n">
        <x:v>0</x:v>
      </x:c>
      <x:c r="I140" s="61" t="n">
        <x:v>1</x:v>
      </x:c>
      <x:c r="J140" s="63" t="b">
        <x:v>1</x:v>
      </x:c>
      <x:c r="K140" s="61" t="str">
        <x:v>assumed</x:v>
      </x:c>
      <x:c r="L140" s="73" t="str">
        <x:v>E</x:v>
      </x:c>
      <x:c r="M140" s="61"/>
      <x:c r="N140" s="61" t="str">
        <x:v>Structural test value.</x:v>
      </x:c>
      <x:c r="O140" s="61" t="n">
        <x:v>10</x:v>
      </x:c>
      <x:c r="P140" s="63" t="b">
        <x:v>1</x:v>
      </x:c>
      <x:c r="Q140" s="61" t="str">
        <x:v>component split</x:v>
      </x:c>
    </x:row>
    <x:row r="141">
      <x:c r="A141" s="61" t="str">
        <x:v>All</x:v>
      </x:c>
      <x:c r="B141" s="61" t="str">
        <x:v>All</x:v>
      </x:c>
      <x:c r="C141" s="61" t="str">
        <x:v>centrifuge</x:v>
      </x:c>
      <x:c r="D141" s="61" t="str">
        <x:v>Sludge solids</x:v>
      </x:c>
      <x:c r="E141" s="61" t="str">
        <x:v>sludge_solids_fraction</x:v>
      </x:c>
      <x:c r="F141" s="62" t="n">
        <x:v>0.2</x:v>
      </x:c>
      <x:c r="G141" s="61" t="str">
        <x:v>fraction wet basis</x:v>
      </x:c>
      <x:c r="H141" s="61" t="n">
        <x:v>0</x:v>
      </x:c>
      <x:c r="I141" s="61" t="n">
        <x:v>1</x:v>
      </x:c>
      <x:c r="J141" s="63" t="b">
        <x:v>1</x:v>
      </x:c>
      <x:c r="K141" s="61" t="str">
        <x:v>assumed</x:v>
      </x:c>
      <x:c r="L141" s="73" t="str">
        <x:v>E</x:v>
      </x:c>
      <x:c r="M141" s="61"/>
      <x:c r="N141" s="61" t="str">
        <x:v>Must equal one minus sludge moisture.</x:v>
      </x:c>
      <x:c r="O141" s="61" t="n">
        <x:v>10</x:v>
      </x:c>
      <x:c r="P141" s="63" t="b">
        <x:v>1</x:v>
      </x:c>
      <x:c r="Q141" s="61" t="str">
        <x:v>analytical water specification</x:v>
      </x:c>
    </x:row>
    <x:row r="142">
      <x:c r="A142" s="61" t="str">
        <x:v>All</x:v>
      </x:c>
      <x:c r="B142" s="61" t="str">
        <x:v>All</x:v>
      </x:c>
      <x:c r="C142" s="61" t="str">
        <x:v>centrifuge</x:v>
      </x:c>
      <x:c r="D142" s="61" t="str">
        <x:v>Sludge moisture</x:v>
      </x:c>
      <x:c r="E142" s="61" t="str">
        <x:v>sludge_moisture_fraction</x:v>
      </x:c>
      <x:c r="F142" s="62" t="n">
        <x:v>0.8</x:v>
      </x:c>
      <x:c r="G142" s="61" t="str">
        <x:v>fraction wet basis</x:v>
      </x:c>
      <x:c r="H142" s="61" t="n">
        <x:v>0</x:v>
      </x:c>
      <x:c r="I142" s="61" t="n">
        <x:v>1</x:v>
      </x:c>
      <x:c r="J142" s="63" t="b">
        <x:v>1</x:v>
      </x:c>
      <x:c r="K142" s="61" t="str">
        <x:v>assumed</x:v>
      </x:c>
      <x:c r="L142" s="73" t="str">
        <x:v>E</x:v>
      </x:c>
      <x:c r="M142" s="61"/>
      <x:c r="N142" s="61" t="str">
        <x:v>Must equal one minus sludge solids.</x:v>
      </x:c>
      <x:c r="O142" s="61" t="n">
        <x:v>10</x:v>
      </x:c>
      <x:c r="P142" s="63" t="b">
        <x:v>1</x:v>
      </x:c>
      <x:c r="Q142" s="61" t="str">
        <x:v>analytical water specification</x:v>
      </x:c>
    </x:row>
    <x:row r="143">
      <x:c r="A143" s="61" t="str">
        <x:v>All</x:v>
      </x:c>
      <x:c r="B143" s="61" t="str">
        <x:v>All</x:v>
      </x:c>
      <x:c r="C143" s="61" t="str">
        <x:v>centrifuge</x:v>
      </x:c>
      <x:c r="D143" s="61" t="str">
        <x:v>Liquid entrainment</x:v>
      </x:c>
      <x:c r="E143" s="61" t="str">
        <x:v>liquid_entrainment_fraction</x:v>
      </x:c>
      <x:c r="F143" s="62" t="n">
        <x:v>0.05</x:v>
      </x:c>
      <x:c r="G143" s="61" t="str">
        <x:v>fraction</x:v>
      </x:c>
      <x:c r="H143" s="61" t="n">
        <x:v>0</x:v>
      </x:c>
      <x:c r="I143" s="61" t="n">
        <x:v>1</x:v>
      </x:c>
      <x:c r="J143" s="63" t="b">
        <x:v>1</x:v>
      </x:c>
      <x:c r="K143" s="61" t="str">
        <x:v>assumed</x:v>
      </x:c>
      <x:c r="L143" s="73" t="str">
        <x:v>E</x:v>
      </x:c>
      <x:c r="M143" s="61"/>
      <x:c r="N143" s="61" t="str">
        <x:v>Fallback water split only when moisture is absent.</x:v>
      </x:c>
      <x:c r="O143" s="61" t="n">
        <x:v>10</x:v>
      </x:c>
      <x:c r="P143" s="63" t="b">
        <x:v>1</x:v>
      </x:c>
      <x:c r="Q143" s="61" t="str">
        <x:v>water fallback</x:v>
      </x:c>
    </x:row>
    <x:row r="144">
      <x:c r="A144" s="61" t="str">
        <x:v>All</x:v>
      </x:c>
      <x:c r="B144" s="61" t="str">
        <x:v>All</x:v>
      </x:c>
      <x:c r="C144" s="61" t="str">
        <x:v>centrifuge</x:v>
      </x:c>
      <x:c r="D144" s="61" t="str">
        <x:v>Specific electricity</x:v>
      </x:c>
      <x:c r="E144" s="61" t="str">
        <x:v>centrifuge_electricity_kwh_per_m3</x:v>
      </x:c>
      <x:c r="F144" s="62" t="n">
        <x:v>0.8</x:v>
      </x:c>
      <x:c r="G144" s="61" t="str">
        <x:v>kWh/m3</x:v>
      </x:c>
      <x:c r="H144" s="61" t="n">
        <x:v>0</x:v>
      </x:c>
      <x:c r="I144" s="61"/>
      <x:c r="J144" s="63" t="b">
        <x:v>1</x:v>
      </x:c>
      <x:c r="K144" s="61" t="str">
        <x:v>assumed</x:v>
      </x:c>
      <x:c r="L144" s="73" t="str">
        <x:v>E</x:v>
      </x:c>
      <x:c r="M144" s="61"/>
      <x:c r="N144" s="61" t="str">
        <x:v>Structural test value; replace with equipment data.</x:v>
      </x:c>
      <x:c r="O144" s="61" t="n">
        <x:v>10</x:v>
      </x:c>
      <x:c r="P144" s="63" t="b">
        <x:v>1</x:v>
      </x:c>
      <x:c r="Q144" s="61" t="str">
        <x:v>m3/h x kWh/m3</x:v>
      </x:c>
    </x:row>
    <x:row r="145">
      <x:c r="A145" s="61" t="str">
        <x:v>All</x:v>
      </x:c>
      <x:c r="B145" s="61" t="str">
        <x:v>All</x:v>
      </x:c>
      <x:c r="C145" s="61" t="str">
        <x:v>centrifuge</x:v>
      </x:c>
      <x:c r="D145" s="61" t="str">
        <x:v>Train hydraulic capacity</x:v>
      </x:c>
      <x:c r="E145" s="61" t="str">
        <x:v>centrifuge_capacity_m3_per_h</x:v>
      </x:c>
      <x:c r="F145" s="62" t="n">
        <x:v>10</x:v>
      </x:c>
      <x:c r="G145" s="61" t="str">
        <x:v>m3/h</x:v>
      </x:c>
      <x:c r="H145" s="61" t="n">
        <x:v>0</x:v>
      </x:c>
      <x:c r="I145" s="61"/>
      <x:c r="J145" s="63" t="b">
        <x:v>0</x:v>
      </x:c>
      <x:c r="K145" s="61" t="str">
        <x:v>assumed</x:v>
      </x:c>
      <x:c r="L145" s="73" t="str">
        <x:v>E</x:v>
      </x:c>
      <x:c r="M145" s="61"/>
      <x:c r="N145" s="61" t="str">
        <x:v>Structural sizing value; no CAPEX is assigned.</x:v>
      </x:c>
      <x:c r="O145" s="61" t="n">
        <x:v>10</x:v>
      </x:c>
      <x:c r="P145" s="63" t="b">
        <x:v>1</x:v>
      </x:c>
      <x:c r="Q145" s="61" t="str">
        <x:v>ceil throughput/capacity</x:v>
      </x:c>
    </x:row>
    <x:row r="146">
      <x:c r="A146" s="61" t="str">
        <x:v>All</x:v>
      </x:c>
      <x:c r="B146" s="61" t="str">
        <x:v>All</x:v>
      </x:c>
      <x:c r="C146" s="61" t="str">
        <x:v>centrifuge</x:v>
      </x:c>
      <x:c r="D146" s="61" t="str">
        <x:v>Polymer dose</x:v>
      </x:c>
      <x:c r="E146" s="61" t="str">
        <x:v>optional_polymer_kg_per_t_ds</x:v>
      </x:c>
      <x:c r="F146" s="62" t="n">
        <x:v>0</x:v>
      </x:c>
      <x:c r="G146" s="61" t="str">
        <x:v>kg/t DS</x:v>
      </x:c>
      <x:c r="H146" s="61" t="n">
        <x:v>0</x:v>
      </x:c>
      <x:c r="I146" s="61"/>
      <x:c r="J146" s="63" t="b">
        <x:v>1</x:v>
      </x:c>
      <x:c r="K146" s="61" t="str">
        <x:v>assumed</x:v>
      </x:c>
      <x:c r="L146" s="73" t="str">
        <x:v>E</x:v>
      </x:c>
      <x:c r="M146" s="61"/>
      <x:c r="N146" s="61" t="str">
        <x:v>Disabled by default.</x:v>
      </x:c>
      <x:c r="O146" s="61" t="n">
        <x:v>10</x:v>
      </x:c>
      <x:c r="P146" s="63" t="b">
        <x:v>1</x:v>
      </x:c>
      <x:c r="Q146" s="61" t="str">
        <x:v>dry solids x dose</x:v>
      </x:c>
    </x:row>
    <x:row r="147">
      <x:c r="A147" s="61" t="str">
        <x:v>All</x:v>
      </x:c>
      <x:c r="B147" s="61" t="str">
        <x:v>All</x:v>
      </x:c>
      <x:c r="C147" s="61" t="str">
        <x:v>centrifuge</x:v>
      </x:c>
      <x:c r="D147" s="61" t="str">
        <x:v>Wash-water ratio</x:v>
      </x:c>
      <x:c r="E147" s="61" t="str">
        <x:v>wash_water_kg_per_kg_feed</x:v>
      </x:c>
      <x:c r="F147" s="62" t="n">
        <x:v>0</x:v>
      </x:c>
      <x:c r="G147" s="61" t="str">
        <x:v>kg/kg feed</x:v>
      </x:c>
      <x:c r="H147" s="61" t="n">
        <x:v>0</x:v>
      </x:c>
      <x:c r="I147" s="61"/>
      <x:c r="J147" s="63" t="b">
        <x:v>1</x:v>
      </x:c>
      <x:c r="K147" s="61" t="str">
        <x:v>assumed</x:v>
      </x:c>
      <x:c r="L147" s="73" t="str">
        <x:v>E</x:v>
      </x:c>
      <x:c r="M147" s="61"/>
      <x:c r="N147" s="61" t="str">
        <x:v>Disabled by default.</x:v>
      </x:c>
      <x:c r="O147" s="61" t="n">
        <x:v>10</x:v>
      </x:c>
      <x:c r="P147" s="63" t="b">
        <x:v>1</x:v>
      </x:c>
      <x:c r="Q147" s="61" t="str">
        <x:v>external water input</x:v>
      </x:c>
    </x:row>
    <x:row r="148">
      <x:c r="A148" s="61" t="str">
        <x:v>All</x:v>
      </x:c>
      <x:c r="B148" s="61" t="str">
        <x:v>All</x:v>
      </x:c>
      <x:c r="C148" s="61" t="str">
        <x:v>centrifuge</x:v>
      </x:c>
      <x:c r="D148" s="61" t="str">
        <x:v>Raw-liquid density</x:v>
      </x:c>
      <x:c r="E148" s="61" t="str">
        <x:v>raw_liquid_density_kg_m3</x:v>
      </x:c>
      <x:c r="F148" s="62" t="n">
        <x:v>1000</x:v>
      </x:c>
      <x:c r="G148" s="61" t="str">
        <x:v>kg/m3</x:v>
      </x:c>
      <x:c r="H148" s="61" t="n">
        <x:v>1</x:v>
      </x:c>
      <x:c r="I148" s="61"/>
      <x:c r="J148" s="63" t="b">
        <x:v>1</x:v>
      </x:c>
      <x:c r="K148" s="61" t="str">
        <x:v>assumed</x:v>
      </x:c>
      <x:c r="L148" s="73" t="str">
        <x:v>E</x:v>
      </x:c>
      <x:c r="M148" s="61"/>
      <x:c r="N148" s="61" t="str">
        <x:v>F0 measured density overrides this value when available.</x:v>
      </x:c>
      <x:c r="O148" s="61" t="n">
        <x:v>10</x:v>
      </x:c>
      <x:c r="P148" s="63" t="b">
        <x:v>1</x:v>
      </x:c>
      <x:c r="Q148" s="61" t="str">
        <x:v>mass/density</x:v>
      </x:c>
    </x:row>
    <x:row r="149">
      <x:c r="A149" s="61" t="str">
        <x:v>F0</x:v>
      </x:c>
      <x:c r="B149" s="61" t="str">
        <x:v>All</x:v>
      </x:c>
      <x:c r="C149" s="61" t="str">
        <x:v>storage</x:v>
      </x:c>
      <x:c r="D149" s="61" t="str">
        <x:v>Measured-liquid residence time</x:v>
      </x:c>
      <x:c r="E149" s="61" t="str">
        <x:v>measured_liquid_storage_time_h</x:v>
      </x:c>
      <x:c r="F149" s="62" t="n">
        <x:v>24</x:v>
      </x:c>
      <x:c r="G149" s="61" t="str">
        <x:v>h</x:v>
      </x:c>
      <x:c r="H149" s="61" t="n">
        <x:v>0</x:v>
      </x:c>
      <x:c r="I149" s="61"/>
      <x:c r="J149" s="63" t="b">
        <x:v>1</x:v>
      </x:c>
      <x:c r="K149" s="61" t="str">
        <x:v>assumed</x:v>
      </x:c>
      <x:c r="L149" s="73" t="str">
        <x:v>E</x:v>
      </x:c>
      <x:c r="M149" s="61"/>
      <x:c r="N149" s="61" t="str">
        <x:v>Structural storage residence time.</x:v>
      </x:c>
      <x:c r="O149" s="61" t="n">
        <x:v>10</x:v>
      </x:c>
      <x:c r="P149" s="63" t="b">
        <x:v>1</x:v>
      </x:c>
      <x:c r="Q149" s="61" t="str">
        <x:v>BioSTEAM StorageTank</x:v>
      </x:c>
    </x:row>
  </x:sheetData>
  <x:pageMargins left="0.7" right="0.7" top="0.75" bottom="0.75" header="0.3" footer="0.3"/>
  <x:tableParts count="1">
    <x:tablePart xmlns:r="http://schemas.openxmlformats.org/officeDocument/2006/relationships" r:id="R5eff15125e0342f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1" hidden="0" customWidth="1"/>
    <x:col min="3" max="3" width="42" hidden="0" customWidth="1"/>
    <x:col min="4" max="4" width="18" hidden="0" customWidth="1"/>
    <x:col min="5" max="5" width="27" hidden="0" customWidth="1"/>
    <x:col min="6" max="6" width="13" hidden="0" customWidth="1"/>
    <x:col min="7" max="7" width="13" hidden="0" customWidth="1"/>
    <x:col min="8" max="8" width="14" hidden="0" customWidth="1"/>
    <x:col min="9" max="9" width="14" hidden="0" customWidth="1"/>
    <x:col min="10" max="10" width="14" hidden="0" customWidth="1"/>
    <x:col min="11" max="11" width="16" hidden="0" customWidth="1"/>
    <x:col min="12" max="12" width="16" hidden="0" customWidth="1"/>
    <x:col min="13" max="13" width="16" hidden="0" customWidth="1"/>
    <x:col min="14" max="14" width="22" hidden="0" customWidth="1"/>
    <x:col min="15" max="15" width="39" hidden="0" customWidth="1"/>
    <x:col min="16" max="16" width="39" hidden="0" customWidth="1"/>
    <x:col min="17" max="17" width="39" hidden="0" customWidth="1"/>
    <x:col min="18" max="18" width="15" hidden="0" customWidth="1"/>
    <x:col min="19" max="19" width="15" hidden="0" customWidth="1"/>
    <x:col min="20" max="20" width="15" hidden="0" customWidth="1"/>
  </x:cols>
  <x:sheetData>
    <x:row r="1" ht="30" customHeight="1">
      <x:c r="A1" s="106" t="str">
        <x:v>category</x:v>
      </x:c>
      <x:c r="B1" s="106" t="str">
        <x:v>name</x:v>
      </x:c>
      <x:c r="C1" s="106" t="str">
        <x:v>python_name</x:v>
      </x:c>
      <x:c r="D1" s="106" t="str">
        <x:v>value</x:v>
      </x:c>
      <x:c r="E1" s="106" t="str">
        <x:v>unit</x:v>
      </x:c>
      <x:c r="F1" s="106" t="str">
        <x:v>scenario</x:v>
      </x:c>
      <x:c r="G1" s="106" t="str">
        <x:v>month</x:v>
      </x:c>
      <x:c r="H1" s="106" t="str">
        <x:v>minimum</x:v>
      </x:c>
      <x:c r="I1" s="106" t="str">
        <x:v>maximum</x:v>
      </x:c>
      <x:c r="J1" s="106" t="str">
        <x:v>distribution</x:v>
      </x:c>
      <x:c r="K1" s="106" t="str">
        <x:v>required</x:v>
      </x:c>
      <x:c r="L1" s="106" t="str">
        <x:v>measurement_status</x:v>
      </x:c>
      <x:c r="M1" s="106" t="str">
        <x:v>source_class</x:v>
      </x:c>
      <x:c r="N1" s="106" t="str">
        <x:v>reference</x:v>
      </x:c>
      <x:c r="O1" s="106" t="str">
        <x:v>comment</x:v>
      </x:c>
      <x:c r="P1" s="106" t="str">
        <x:v>calculation_method</x:v>
      </x:c>
      <x:c r="Q1" s="106" t="str">
        <x:v>measured_or_assumed</x:v>
      </x:c>
      <x:c r="R1" s="106" t="str">
        <x:v>priority</x:v>
      </x:c>
      <x:c r="S1" s="106" t="str">
        <x:v>active</x:v>
      </x:c>
      <x:c r="T1" s="106" t="str">
        <x:v>phase_introduced</x:v>
      </x:c>
    </x:row>
    <x:row r="2" ht="30" customHeight="1">
      <x:c r="A2" s="79" t="str">
        <x:v>protein_feed</x:v>
      </x:c>
      <x:c r="B2" s="79" t="str">
        <x:v>Soluble protein concentration</x:v>
      </x:c>
      <x:c r="C2" s="79" t="str">
        <x:v>soluble_protein_concentration_g_L</x:v>
      </x:c>
      <x:c r="D2" s="93"/>
      <x:c r="E2" s="79" t="str">
        <x:v>g/L</x:v>
      </x:c>
      <x:c r="F2" s="79" t="str">
        <x:v>All</x:v>
      </x:c>
      <x:c r="G2" s="79" t="str">
        <x:v>All</x:v>
      </x:c>
      <x:c r="H2" s="107"/>
      <x:c r="I2" s="107"/>
      <x:c r="J2" s="79" t="str">
        <x:v>none</x:v>
      </x:c>
      <x:c r="K2" s="97" t="b">
        <x:v>0</x:v>
      </x:c>
      <x:c r="L2" s="79" t="str">
        <x:v>assumed</x:v>
      </x:c>
      <x:c r="M2" s="83" t="str">
        <x:v>E</x:v>
      </x:c>
      <x:c r="N2" s="79"/>
      <x:c r="O2" s="85" t="str">
        <x:v>Calculated from the clarified Phase 3 stream; reserved for future measured-interface overrides.</x:v>
      </x:c>
      <x:c r="P2" s="85"/>
      <x:c r="Q2" s="85" t="str">
        <x:v>assumed</x:v>
      </x:c>
      <x:c r="R2" s="109" t="n">
        <x:v>100</x:v>
      </x:c>
      <x:c r="S2" s="97" t="b">
        <x:v>0</x:v>
      </x:c>
      <x:c r="T2" s="79" t="n">
        <x:v>4</x:v>
      </x:c>
    </x:row>
    <x:row r="3" ht="30" customHeight="1">
      <x:c r="A3" s="80" t="str">
        <x:v>protein_feed</x:v>
      </x:c>
      <x:c r="B3" s="80" t="str">
        <x:v>Suspended protein concentration</x:v>
      </x:c>
      <x:c r="C3" s="80" t="str">
        <x:v>suspended_protein_concentration_g_L</x:v>
      </x:c>
      <x:c r="D3" s="95"/>
      <x:c r="E3" s="80" t="str">
        <x:v>g/L</x:v>
      </x:c>
      <x:c r="F3" s="80" t="str">
        <x:v>All</x:v>
      </x:c>
      <x:c r="G3" s="80" t="str">
        <x:v>All</x:v>
      </x:c>
      <x:c r="H3" s="108"/>
      <x:c r="I3" s="108"/>
      <x:c r="J3" s="80" t="str">
        <x:v>none</x:v>
      </x:c>
      <x:c r="K3" s="89" t="b">
        <x:v>0</x:v>
      </x:c>
      <x:c r="L3" s="80" t="str">
        <x:v>assumed</x:v>
      </x:c>
      <x:c r="M3" s="84" t="str">
        <x:v>E</x:v>
      </x:c>
      <x:c r="N3" s="80"/>
      <x:c r="O3" s="86" t="str">
        <x:v>Calculated from the clarified Phase 3 stream; reserved for future measured-interface overrides.</x:v>
      </x:c>
      <x:c r="P3" s="86"/>
      <x:c r="Q3" s="86" t="str">
        <x:v>assumed</x:v>
      </x:c>
      <x:c r="R3" s="110" t="n">
        <x:v>100</x:v>
      </x:c>
      <x:c r="S3" s="89" t="b">
        <x:v>0</x:v>
      </x:c>
      <x:c r="T3" s="80" t="n">
        <x:v>4</x:v>
      </x:c>
    </x:row>
    <x:row r="4" ht="30" customHeight="1">
      <x:c r="A4" s="80" t="str">
        <x:v>protein_feed</x:v>
      </x:c>
      <x:c r="B4" s="80" t="str">
        <x:v>Peptide concentration</x:v>
      </x:c>
      <x:c r="C4" s="80" t="str">
        <x:v>peptide_concentration_g_L</x:v>
      </x:c>
      <x:c r="D4" s="95"/>
      <x:c r="E4" s="80" t="str">
        <x:v>g/L</x:v>
      </x:c>
      <x:c r="F4" s="80" t="str">
        <x:v>All</x:v>
      </x:c>
      <x:c r="G4" s="80" t="str">
        <x:v>All</x:v>
      </x:c>
      <x:c r="H4" s="108"/>
      <x:c r="I4" s="108"/>
      <x:c r="J4" s="80" t="str">
        <x:v>none</x:v>
      </x:c>
      <x:c r="K4" s="89" t="b">
        <x:v>0</x:v>
      </x:c>
      <x:c r="L4" s="80" t="str">
        <x:v>assumed</x:v>
      </x:c>
      <x:c r="M4" s="84" t="str">
        <x:v>E</x:v>
      </x:c>
      <x:c r="N4" s="80"/>
      <x:c r="O4" s="86" t="str">
        <x:v>Peptides remain separate from recoverable true protein.</x:v>
      </x:c>
      <x:c r="P4" s="86"/>
      <x:c r="Q4" s="86" t="str">
        <x:v>assumed</x:v>
      </x:c>
      <x:c r="R4" s="110" t="n">
        <x:v>100</x:v>
      </x:c>
      <x:c r="S4" s="89" t="b">
        <x:v>0</x:v>
      </x:c>
      <x:c r="T4" s="80" t="n">
        <x:v>4</x:v>
      </x:c>
    </x:row>
    <x:row r="5" ht="30" customHeight="1">
      <x:c r="A5" s="80" t="str">
        <x:v>protein_feed</x:v>
      </x:c>
      <x:c r="B5" s="80" t="str">
        <x:v>Amino-acid concentration</x:v>
      </x:c>
      <x:c r="C5" s="80" t="str">
        <x:v>amino_acid_concentration_g_L</x:v>
      </x:c>
      <x:c r="D5" s="95"/>
      <x:c r="E5" s="80" t="str">
        <x:v>g/L</x:v>
      </x:c>
      <x:c r="F5" s="80" t="str">
        <x:v>All</x:v>
      </x:c>
      <x:c r="G5" s="80" t="str">
        <x:v>All</x:v>
      </x:c>
      <x:c r="H5" s="108"/>
      <x:c r="I5" s="108"/>
      <x:c r="J5" s="80" t="str">
        <x:v>none</x:v>
      </x:c>
      <x:c r="K5" s="89" t="b">
        <x:v>0</x:v>
      </x:c>
      <x:c r="L5" s="80" t="str">
        <x:v>assumed</x:v>
      </x:c>
      <x:c r="M5" s="84" t="str">
        <x:v>E</x:v>
      </x:c>
      <x:c r="N5" s="80"/>
      <x:c r="O5" s="86" t="str">
        <x:v>Amino acids remain separate from recoverable true protein.</x:v>
      </x:c>
      <x:c r="P5" s="86"/>
      <x:c r="Q5" s="86" t="str">
        <x:v>assumed</x:v>
      </x:c>
      <x:c r="R5" s="110" t="n">
        <x:v>100</x:v>
      </x:c>
      <x:c r="S5" s="89" t="b">
        <x:v>0</x:v>
      </x:c>
      <x:c r="T5" s="80" t="n">
        <x:v>4</x:v>
      </x:c>
    </x:row>
    <x:row r="6" ht="30" customHeight="1">
      <x:c r="A6" s="80" t="str">
        <x:v>protein_feed</x:v>
      </x:c>
      <x:c r="B6" s="80" t="str">
        <x:v>Feed pH</x:v>
      </x:c>
      <x:c r="C6" s="80" t="str">
        <x:v>feed_pH</x:v>
      </x:c>
      <x:c r="D6" s="95" t="n">
        <x:v>6.5</x:v>
      </x:c>
      <x:c r="E6" s="80" t="str">
        <x:v>pH</x:v>
      </x:c>
      <x:c r="F6" s="80" t="str">
        <x:v>All</x:v>
      </x:c>
      <x:c r="G6" s="80" t="str">
        <x:v>All</x:v>
      </x:c>
      <x:c r="H6" s="108" t="n">
        <x:v>0</x:v>
      </x:c>
      <x:c r="I6" s="108" t="n">
        <x:v>14</x:v>
      </x:c>
      <x:c r="J6" s="80" t="str">
        <x:v>none</x:v>
      </x:c>
      <x:c r="K6" s="89" t="b">
        <x:v>1</x:v>
      </x:c>
      <x:c r="L6" s="80" t="str">
        <x:v>assumed</x:v>
      </x:c>
      <x:c r="M6" s="84" t="str">
        <x:v>E</x:v>
      </x:c>
      <x:c r="N6" s="80"/>
      <x:c r="O6" s="86" t="str">
        <x:v>Structural placeholder; replace with measured or sourced data.</x:v>
      </x:c>
      <x:c r="P6" s="86" t="str">
        <x:v>metadata</x:v>
      </x:c>
      <x:c r="Q6" s="86" t="str">
        <x:v>assumed</x:v>
      </x:c>
      <x:c r="R6" s="110" t="n">
        <x:v>100</x:v>
      </x:c>
      <x:c r="S6" s="89" t="b">
        <x:v>1</x:v>
      </x:c>
      <x:c r="T6" s="80" t="n">
        <x:v>4</x:v>
      </x:c>
    </x:row>
    <x:row r="7" ht="30" customHeight="1">
      <x:c r="A7" s="80" t="str">
        <x:v>protein_feed</x:v>
      </x:c>
      <x:c r="B7" s="80" t="str">
        <x:v>Phase 4 liquid density</x:v>
      </x:c>
      <x:c r="C7" s="80" t="str">
        <x:v>phase4_feed_density_kg_m3</x:v>
      </x:c>
      <x:c r="D7" s="95" t="n">
        <x:v>1000</x:v>
      </x:c>
      <x:c r="E7" s="80" t="str">
        <x:v>kg/m3</x:v>
      </x:c>
      <x:c r="F7" s="80" t="str">
        <x:v>All</x:v>
      </x:c>
      <x:c r="G7" s="80" t="str">
        <x:v>All</x:v>
      </x:c>
      <x:c r="H7" s="108" t="n">
        <x:v>1</x:v>
      </x:c>
      <x:c r="I7" s="108" t="n">
        <x:v>2000</x:v>
      </x:c>
      <x:c r="J7" s="80" t="str">
        <x:v>none</x:v>
      </x:c>
      <x:c r="K7" s="89" t="b">
        <x:v>1</x:v>
      </x:c>
      <x:c r="L7" s="80" t="str">
        <x:v>assumed</x:v>
      </x:c>
      <x:c r="M7" s="84" t="str">
        <x:v>E</x:v>
      </x:c>
      <x:c r="N7" s="80"/>
      <x:c r="O7" s="86" t="str">
        <x:v>Structural placeholder; replace with measured or sourced data.</x:v>
      </x:c>
      <x:c r="P7" s="86" t="str">
        <x:v>constant density</x:v>
      </x:c>
      <x:c r="Q7" s="86" t="str">
        <x:v>assumed</x:v>
      </x:c>
      <x:c r="R7" s="110" t="n">
        <x:v>100</x:v>
      </x:c>
      <x:c r="S7" s="89" t="b">
        <x:v>1</x:v>
      </x:c>
      <x:c r="T7" s="80" t="n">
        <x:v>4</x:v>
      </x:c>
    </x:row>
    <x:row r="8" ht="30" customHeight="1">
      <x:c r="A8" s="80" t="str">
        <x:v>protein_feed</x:v>
      </x:c>
      <x:c r="B8" s="80" t="str">
        <x:v>Feed alkalinity</x:v>
      </x:c>
      <x:c r="C8" s="80" t="str">
        <x:v>feed_alkalinity_mg_caco3_L</x:v>
      </x:c>
      <x:c r="D8" s="95"/>
      <x:c r="E8" s="80" t="str">
        <x:v>mg CaCO3/L</x:v>
      </x:c>
      <x:c r="F8" s="80" t="str">
        <x:v>All</x:v>
      </x:c>
      <x:c r="G8" s="80" t="str">
        <x:v>All</x:v>
      </x:c>
      <x:c r="H8" s="108" t="n">
        <x:v>0</x:v>
      </x:c>
      <x:c r="I8" s="108"/>
      <x:c r="J8" s="80" t="str">
        <x:v>none</x:v>
      </x:c>
      <x:c r="K8" s="89" t="b">
        <x:v>0</x:v>
      </x:c>
      <x:c r="L8" s="80" t="str">
        <x:v>assumed</x:v>
      </x:c>
      <x:c r="M8" s="84" t="str">
        <x:v>E</x:v>
      </x:c>
      <x:c r="N8" s="80"/>
      <x:c r="O8" s="86" t="str">
        <x:v>Leave blank unless measured; required only for acid-equivalent acid demand.</x:v>
      </x:c>
      <x:c r="P8" s="86"/>
      <x:c r="Q8" s="86" t="str">
        <x:v>assumed</x:v>
      </x:c>
      <x:c r="R8" s="110" t="n">
        <x:v>100</x:v>
      </x:c>
      <x:c r="S8" s="89" t="b">
        <x:v>1</x:v>
      </x:c>
      <x:c r="T8" s="80" t="n">
        <x:v>4</x:v>
      </x:c>
    </x:row>
    <x:row r="9" ht="30" customHeight="1">
      <x:c r="A9" s="80" t="str">
        <x:v>protein_feed</x:v>
      </x:c>
      <x:c r="B9" s="80" t="str">
        <x:v>Buffer capacity</x:v>
      </x:c>
      <x:c r="C9" s="80" t="str">
        <x:v>buffer_capacity_mol_H_per_L_pH</x:v>
      </x:c>
      <x:c r="D9" s="95"/>
      <x:c r="E9" s="80" t="str">
        <x:v>mol H+/L/pH</x:v>
      </x:c>
      <x:c r="F9" s="80" t="str">
        <x:v>All</x:v>
      </x:c>
      <x:c r="G9" s="80" t="str">
        <x:v>All</x:v>
      </x:c>
      <x:c r="H9" s="108" t="n">
        <x:v>0</x:v>
      </x:c>
      <x:c r="I9" s="108"/>
      <x:c r="J9" s="80" t="str">
        <x:v>none</x:v>
      </x:c>
      <x:c r="K9" s="89" t="b">
        <x:v>0</x:v>
      </x:c>
      <x:c r="L9" s="80" t="str">
        <x:v>assumed</x:v>
      </x:c>
      <x:c r="M9" s="84" t="str">
        <x:v>E</x:v>
      </x:c>
      <x:c r="N9" s="80"/>
      <x:c r="O9" s="86" t="str">
        <x:v>Leave blank unless measured or fitted.</x:v>
      </x:c>
      <x:c r="P9" s="86"/>
      <x:c r="Q9" s="86" t="str">
        <x:v>assumed</x:v>
      </x:c>
      <x:c r="R9" s="110" t="n">
        <x:v>100</x:v>
      </x:c>
      <x:c r="S9" s="89" t="b">
        <x:v>1</x:v>
      </x:c>
      <x:c r="T9" s="80" t="n">
        <x:v>4</x:v>
      </x:c>
    </x:row>
    <x:row r="10" ht="30" customHeight="1">
      <x:c r="A10" s="80" t="str">
        <x:v>acidification</x:v>
      </x:c>
      <x:c r="B10" s="80" t="str">
        <x:v>Acid type</x:v>
      </x:c>
      <x:c r="C10" s="80" t="str">
        <x:v>acid_type</x:v>
      </x:c>
      <x:c r="D10" s="95" t="str">
        <x:v>HydrochloricAcid</x:v>
      </x:c>
      <x:c r="E10" s="80" t="str">
        <x:v>component ID</x:v>
      </x:c>
      <x:c r="F10" s="80" t="str">
        <x:v>All</x:v>
      </x:c>
      <x:c r="G10" s="80" t="str">
        <x:v>All</x:v>
      </x:c>
      <x:c r="H10" s="108"/>
      <x:c r="I10" s="108"/>
      <x:c r="J10" s="80" t="str">
        <x:v>none</x:v>
      </x:c>
      <x:c r="K10" s="89" t="b">
        <x:v>1</x:v>
      </x:c>
      <x:c r="L10" s="80" t="str">
        <x:v>assumed</x:v>
      </x:c>
      <x:c r="M10" s="84" t="str">
        <x:v>E</x:v>
      </x:c>
      <x:c r="N10" s="80"/>
      <x:c r="O10" s="86" t="str">
        <x:v>Structural placeholder; replace with measured or sourced data.</x:v>
      </x:c>
      <x:c r="P10" s="86" t="str">
        <x:v>commercial solution</x:v>
      </x:c>
      <x:c r="Q10" s="86" t="str">
        <x:v>assumed</x:v>
      </x:c>
      <x:c r="R10" s="110" t="n">
        <x:v>100</x:v>
      </x:c>
      <x:c r="S10" s="89" t="b">
        <x:v>1</x:v>
      </x:c>
      <x:c r="T10" s="80" t="n">
        <x:v>4</x:v>
      </x:c>
    </x:row>
    <x:row r="11" ht="30" customHeight="1">
      <x:c r="A11" s="80" t="str">
        <x:v>acidification</x:v>
      </x:c>
      <x:c r="B11" s="80" t="str">
        <x:v>Acid solution mass fraction</x:v>
      </x:c>
      <x:c r="C11" s="80" t="str">
        <x:v>acid_solution_mass_fraction</x:v>
      </x:c>
      <x:c r="D11" s="95" t="n">
        <x:v>0.32</x:v>
      </x:c>
      <x:c r="E11" s="80" t="str">
        <x:v>kg active acid/kg solution</x:v>
      </x:c>
      <x:c r="F11" s="80" t="str">
        <x:v>All</x:v>
      </x:c>
      <x:c r="G11" s="80" t="str">
        <x:v>All</x:v>
      </x:c>
      <x:c r="H11" s="108" t="n">
        <x:v>0.000001</x:v>
      </x:c>
      <x:c r="I11" s="108" t="n">
        <x:v>1</x:v>
      </x:c>
      <x:c r="J11" s="80" t="str">
        <x:v>none</x:v>
      </x:c>
      <x:c r="K11" s="89" t="b">
        <x:v>1</x:v>
      </x:c>
      <x:c r="L11" s="80" t="str">
        <x:v>assumed</x:v>
      </x:c>
      <x:c r="M11" s="84" t="str">
        <x:v>E</x:v>
      </x:c>
      <x:c r="N11" s="80"/>
      <x:c r="O11" s="86" t="str">
        <x:v>Structural placeholder; replace with measured or sourced data.</x:v>
      </x:c>
      <x:c r="P11" s="86"/>
      <x:c r="Q11" s="86" t="str">
        <x:v>assumed</x:v>
      </x:c>
      <x:c r="R11" s="110" t="n">
        <x:v>100</x:v>
      </x:c>
      <x:c r="S11" s="89" t="b">
        <x:v>1</x:v>
      </x:c>
      <x:c r="T11" s="80" t="n">
        <x:v>4</x:v>
      </x:c>
    </x:row>
    <x:row r="12" ht="30" customHeight="1">
      <x:c r="A12" s="80" t="str">
        <x:v>acidification</x:v>
      </x:c>
      <x:c r="B12" s="80" t="str">
        <x:v>Acid purity</x:v>
      </x:c>
      <x:c r="C12" s="80" t="str">
        <x:v>acid_purity</x:v>
      </x:c>
      <x:c r="D12" s="95" t="n">
        <x:v>1</x:v>
      </x:c>
      <x:c r="E12" s="80" t="str">
        <x:v>fraction</x:v>
      </x:c>
      <x:c r="F12" s="80" t="str">
        <x:v>All</x:v>
      </x:c>
      <x:c r="G12" s="80" t="str">
        <x:v>All</x:v>
      </x:c>
      <x:c r="H12" s="108" t="n">
        <x:v>0.000001</x:v>
      </x:c>
      <x:c r="I12" s="108" t="n">
        <x:v>1</x:v>
      </x:c>
      <x:c r="J12" s="80" t="str">
        <x:v>none</x:v>
      </x:c>
      <x:c r="K12" s="89" t="b">
        <x:v>1</x:v>
      </x:c>
      <x:c r="L12" s="80" t="str">
        <x:v>assumed</x:v>
      </x:c>
      <x:c r="M12" s="84" t="str">
        <x:v>E</x:v>
      </x:c>
      <x:c r="N12" s="80"/>
      <x:c r="O12" s="86" t="str">
        <x:v>Structural placeholder; replace with measured or sourced data.</x:v>
      </x:c>
      <x:c r="P12" s="86"/>
      <x:c r="Q12" s="86" t="str">
        <x:v>assumed</x:v>
      </x:c>
      <x:c r="R12" s="110" t="n">
        <x:v>100</x:v>
      </x:c>
      <x:c r="S12" s="89" t="b">
        <x:v>1</x:v>
      </x:c>
      <x:c r="T12" s="80" t="n">
        <x:v>4</x:v>
      </x:c>
    </x:row>
    <x:row r="13" ht="30" customHeight="1">
      <x:c r="A13" s="80" t="str">
        <x:v>acidification</x:v>
      </x:c>
      <x:c r="B13" s="80" t="str">
        <x:v>Acid-demand method</x:v>
      </x:c>
      <x:c r="C13" s="80" t="str">
        <x:v>acid_demand_method</x:v>
      </x:c>
      <x:c r="D13" s="95" t="str">
        <x:v>empirical_dose</x:v>
      </x:c>
      <x:c r="E13" s="80" t="str">
        <x:v>text</x:v>
      </x:c>
      <x:c r="F13" s="80" t="str">
        <x:v>All</x:v>
      </x:c>
      <x:c r="G13" s="80" t="str">
        <x:v>All</x:v>
      </x:c>
      <x:c r="H13" s="108"/>
      <x:c r="I13" s="108"/>
      <x:c r="J13" s="80" t="str">
        <x:v>none</x:v>
      </x:c>
      <x:c r="K13" s="89" t="b">
        <x:v>1</x:v>
      </x:c>
      <x:c r="L13" s="80" t="str">
        <x:v>assumed</x:v>
      </x:c>
      <x:c r="M13" s="84" t="str">
        <x:v>E</x:v>
      </x:c>
      <x:c r="N13" s="80"/>
      <x:c r="O13" s="86" t="str">
        <x:v>Structural placeholder; replace with measured or sourced data.</x:v>
      </x:c>
      <x:c r="P13" s="86" t="str">
        <x:v>selectable</x:v>
      </x:c>
      <x:c r="Q13" s="86" t="str">
        <x:v>assumed</x:v>
      </x:c>
      <x:c r="R13" s="110" t="n">
        <x:v>100</x:v>
      </x:c>
      <x:c r="S13" s="89" t="b">
        <x:v>1</x:v>
      </x:c>
      <x:c r="T13" s="80" t="n">
        <x:v>4</x:v>
      </x:c>
    </x:row>
    <x:row r="14" ht="30" customHeight="1">
      <x:c r="A14" s="80" t="str">
        <x:v>acidification</x:v>
      </x:c>
      <x:c r="B14" s="80" t="str">
        <x:v>Pure acid dose</x:v>
      </x:c>
      <x:c r="C14" s="80" t="str">
        <x:v>acid_dose_kg_per_m3</x:v>
      </x:c>
      <x:c r="D14" s="95" t="n">
        <x:v>1.5</x:v>
      </x:c>
      <x:c r="E14" s="80" t="str">
        <x:v>kg pure acid/m3 liquid</x:v>
      </x:c>
      <x:c r="F14" s="80" t="str">
        <x:v>All</x:v>
      </x:c>
      <x:c r="G14" s="80" t="str">
        <x:v>All</x:v>
      </x:c>
      <x:c r="H14" s="108" t="n">
        <x:v>0</x:v>
      </x:c>
      <x:c r="I14" s="108"/>
      <x:c r="J14" s="80" t="str">
        <x:v>none</x:v>
      </x:c>
      <x:c r="K14" s="89" t="b">
        <x:v>1</x:v>
      </x:c>
      <x:c r="L14" s="80" t="str">
        <x:v>assumed</x:v>
      </x:c>
      <x:c r="M14" s="84" t="str">
        <x:v>E</x:v>
      </x:c>
      <x:c r="N14" s="80"/>
      <x:c r="O14" s="86" t="str">
        <x:v>Structural placeholder; replace with measured or sourced data.</x:v>
      </x:c>
      <x:c r="P14" s="86" t="str">
        <x:v>empirical_dose</x:v>
      </x:c>
      <x:c r="Q14" s="86" t="str">
        <x:v>assumed</x:v>
      </x:c>
      <x:c r="R14" s="110" t="n">
        <x:v>100</x:v>
      </x:c>
      <x:c r="S14" s="89" t="b">
        <x:v>1</x:v>
      </x:c>
      <x:c r="T14" s="80" t="n">
        <x:v>4</x:v>
      </x:c>
    </x:row>
    <x:row r="15" ht="30" customHeight="1">
      <x:c r="A15" s="80" t="str">
        <x:v>acidification</x:v>
      </x:c>
      <x:c r="B15" s="80" t="str">
        <x:v>Target precipitation pH</x:v>
      </x:c>
      <x:c r="C15" s="80" t="str">
        <x:v>target_pH</x:v>
      </x:c>
      <x:c r="D15" s="95" t="n">
        <x:v>4.5</x:v>
      </x:c>
      <x:c r="E15" s="80" t="str">
        <x:v>pH</x:v>
      </x:c>
      <x:c r="F15" s="80" t="str">
        <x:v>All</x:v>
      </x:c>
      <x:c r="G15" s="80" t="str">
        <x:v>All</x:v>
      </x:c>
      <x:c r="H15" s="108" t="n">
        <x:v>0</x:v>
      </x:c>
      <x:c r="I15" s="108" t="n">
        <x:v>14</x:v>
      </x:c>
      <x:c r="J15" s="80" t="str">
        <x:v>none</x:v>
      </x:c>
      <x:c r="K15" s="89" t="b">
        <x:v>1</x:v>
      </x:c>
      <x:c r="L15" s="80" t="str">
        <x:v>assumed</x:v>
      </x:c>
      <x:c r="M15" s="84" t="str">
        <x:v>E</x:v>
      </x:c>
      <x:c r="N15" s="80"/>
      <x:c r="O15" s="86" t="str">
        <x:v>Structural placeholder; replace with measured or sourced data.</x:v>
      </x:c>
      <x:c r="P15" s="86" t="str">
        <x:v>metadata</x:v>
      </x:c>
      <x:c r="Q15" s="86" t="str">
        <x:v>assumed</x:v>
      </x:c>
      <x:c r="R15" s="110" t="n">
        <x:v>100</x:v>
      </x:c>
      <x:c r="S15" s="89" t="b">
        <x:v>1</x:v>
      </x:c>
      <x:c r="T15" s="80" t="n">
        <x:v>4</x:v>
      </x:c>
    </x:row>
    <x:row r="16" ht="30" customHeight="1">
      <x:c r="A16" s="80" t="str">
        <x:v>acidification</x:v>
      </x:c>
      <x:c r="B16" s="80" t="str">
        <x:v>Acid reagent temperature</x:v>
      </x:c>
      <x:c r="C16" s="80" t="str">
        <x:v>acid_reagent_temperature_C</x:v>
      </x:c>
      <x:c r="D16" s="95" t="n">
        <x:v>25</x:v>
      </x:c>
      <x:c r="E16" s="80" t="str">
        <x:v>degC</x:v>
      </x:c>
      <x:c r="F16" s="80" t="str">
        <x:v>All</x:v>
      </x:c>
      <x:c r="G16" s="80" t="str">
        <x:v>All</x:v>
      </x:c>
      <x:c r="H16" s="108" t="n">
        <x:v>-5</x:v>
      </x:c>
      <x:c r="I16" s="108" t="n">
        <x:v>100</x:v>
      </x:c>
      <x:c r="J16" s="80" t="str">
        <x:v>none</x:v>
      </x:c>
      <x:c r="K16" s="89" t="b">
        <x:v>1</x:v>
      </x:c>
      <x:c r="L16" s="80" t="str">
        <x:v>assumed</x:v>
      </x:c>
      <x:c r="M16" s="84" t="str">
        <x:v>E</x:v>
      </x:c>
      <x:c r="N16" s="80"/>
      <x:c r="O16" s="86" t="str">
        <x:v>Structural placeholder; replace with measured or sourced data.</x:v>
      </x:c>
      <x:c r="P16" s="86"/>
      <x:c r="Q16" s="86" t="str">
        <x:v>assumed</x:v>
      </x:c>
      <x:c r="R16" s="110" t="n">
        <x:v>100</x:v>
      </x:c>
      <x:c r="S16" s="89" t="b">
        <x:v>1</x:v>
      </x:c>
      <x:c r="T16" s="80" t="n">
        <x:v>4</x:v>
      </x:c>
    </x:row>
    <x:row r="17" ht="30" customHeight="1">
      <x:c r="A17" s="80" t="str">
        <x:v>acidification</x:v>
      </x:c>
      <x:c r="B17" s="80" t="str">
        <x:v>Acid mixing time</x:v>
      </x:c>
      <x:c r="C17" s="80" t="str">
        <x:v>acid_mixing_time_min</x:v>
      </x:c>
      <x:c r="D17" s="95" t="n">
        <x:v>5</x:v>
      </x:c>
      <x:c r="E17" s="80" t="str">
        <x:v>min</x:v>
      </x:c>
      <x:c r="F17" s="80" t="str">
        <x:v>All</x:v>
      </x:c>
      <x:c r="G17" s="80" t="str">
        <x:v>All</x:v>
      </x:c>
      <x:c r="H17" s="108" t="n">
        <x:v>0</x:v>
      </x:c>
      <x:c r="I17" s="108"/>
      <x:c r="J17" s="80" t="str">
        <x:v>none</x:v>
      </x:c>
      <x:c r="K17" s="89" t="b">
        <x:v>1</x:v>
      </x:c>
      <x:c r="L17" s="80" t="str">
        <x:v>assumed</x:v>
      </x:c>
      <x:c r="M17" s="84" t="str">
        <x:v>E</x:v>
      </x:c>
      <x:c r="N17" s="80"/>
      <x:c r="O17" s="86" t="str">
        <x:v>Structural placeholder; replace with measured or sourced data.</x:v>
      </x:c>
      <x:c r="P17" s="86"/>
      <x:c r="Q17" s="86" t="str">
        <x:v>assumed</x:v>
      </x:c>
      <x:c r="R17" s="110" t="n">
        <x:v>100</x:v>
      </x:c>
      <x:c r="S17" s="89" t="b">
        <x:v>1</x:v>
      </x:c>
      <x:c r="T17" s="80" t="n">
        <x:v>4</x:v>
      </x:c>
    </x:row>
    <x:row r="18" ht="30" customHeight="1">
      <x:c r="A18" s="80" t="str">
        <x:v>acidification</x:v>
      </x:c>
      <x:c r="B18" s="80" t="str">
        <x:v>Acid mixing power</x:v>
      </x:c>
      <x:c r="C18" s="80" t="str">
        <x:v>acid_mixing_power_kw_per_m3</x:v>
      </x:c>
      <x:c r="D18" s="95" t="n">
        <x:v>0.1</x:v>
      </x:c>
      <x:c r="E18" s="80" t="str">
        <x:v>kW/m3 working volume</x:v>
      </x:c>
      <x:c r="F18" s="80" t="str">
        <x:v>All</x:v>
      </x:c>
      <x:c r="G18" s="80" t="str">
        <x:v>All</x:v>
      </x:c>
      <x:c r="H18" s="108" t="n">
        <x:v>0</x:v>
      </x:c>
      <x:c r="I18" s="108"/>
      <x:c r="J18" s="80" t="str">
        <x:v>none</x:v>
      </x:c>
      <x:c r="K18" s="89" t="b">
        <x:v>1</x:v>
      </x:c>
      <x:c r="L18" s="80" t="str">
        <x:v>assumed</x:v>
      </x:c>
      <x:c r="M18" s="84" t="str">
        <x:v>E</x:v>
      </x:c>
      <x:c r="N18" s="80"/>
      <x:c r="O18" s="86" t="str">
        <x:v>Structural placeholder; replace with measured or sourced data.</x:v>
      </x:c>
      <x:c r="P18" s="86"/>
      <x:c r="Q18" s="86" t="str">
        <x:v>assumed</x:v>
      </x:c>
      <x:c r="R18" s="110" t="n">
        <x:v>100</x:v>
      </x:c>
      <x:c r="S18" s="89" t="b">
        <x:v>1</x:v>
      </x:c>
      <x:c r="T18" s="80" t="n">
        <x:v>4</x:v>
      </x:c>
    </x:row>
    <x:row r="19" ht="30" customHeight="1">
      <x:c r="A19" s="80" t="str">
        <x:v>protein_precipitation</x:v>
      </x:c>
      <x:c r="B19" s="80" t="str">
        <x:v>Precipitation kinetic model</x:v>
      </x:c>
      <x:c r="C19" s="80" t="str">
        <x:v>precipitation_kinetic_model</x:v>
      </x:c>
      <x:c r="D19" s="95" t="str">
        <x:v>direct_yield</x:v>
      </x:c>
      <x:c r="E19" s="80" t="str">
        <x:v>text</x:v>
      </x:c>
      <x:c r="F19" s="80" t="str">
        <x:v>All</x:v>
      </x:c>
      <x:c r="G19" s="80" t="str">
        <x:v>All</x:v>
      </x:c>
      <x:c r="H19" s="108"/>
      <x:c r="I19" s="108"/>
      <x:c r="J19" s="80" t="str">
        <x:v>none</x:v>
      </x:c>
      <x:c r="K19" s="89" t="b">
        <x:v>1</x:v>
      </x:c>
      <x:c r="L19" s="80" t="str">
        <x:v>assumed</x:v>
      </x:c>
      <x:c r="M19" s="84" t="str">
        <x:v>E</x:v>
      </x:c>
      <x:c r="N19" s="80"/>
      <x:c r="O19" s="86" t="str">
        <x:v>Structural placeholder; replace with measured or sourced data.</x:v>
      </x:c>
      <x:c r="P19" s="86" t="str">
        <x:v>direct measured/assumed yield</x:v>
      </x:c>
      <x:c r="Q19" s="86" t="str">
        <x:v>assumed</x:v>
      </x:c>
      <x:c r="R19" s="110" t="n">
        <x:v>100</x:v>
      </x:c>
      <x:c r="S19" s="89" t="b">
        <x:v>1</x:v>
      </x:c>
      <x:c r="T19" s="80" t="n">
        <x:v>4</x:v>
      </x:c>
    </x:row>
    <x:row r="20" ht="30" customHeight="1">
      <x:c r="A20" s="80" t="str">
        <x:v>protein_precipitation</x:v>
      </x:c>
      <x:c r="B20" s="80" t="str">
        <x:v>Direct acid precipitation efficiency</x:v>
      </x:c>
      <x:c r="C20" s="80" t="str">
        <x:v>precipitation_efficiency</x:v>
      </x:c>
      <x:c r="D20" s="95" t="n">
        <x:v>0.75</x:v>
      </x:c>
      <x:c r="E20" s="80" t="str">
        <x:v>fraction of soluble protein</x:v>
      </x:c>
      <x:c r="F20" s="80" t="str">
        <x:v>All</x:v>
      </x:c>
      <x:c r="G20" s="80" t="str">
        <x:v>All</x:v>
      </x:c>
      <x:c r="H20" s="108" t="n">
        <x:v>0</x:v>
      </x:c>
      <x:c r="I20" s="108" t="n">
        <x:v>1</x:v>
      </x:c>
      <x:c r="J20" s="80" t="str">
        <x:v>none</x:v>
      </x:c>
      <x:c r="K20" s="89" t="b">
        <x:v>1</x:v>
      </x:c>
      <x:c r="L20" s="80" t="str">
        <x:v>assumed</x:v>
      </x:c>
      <x:c r="M20" s="84" t="str">
        <x:v>E</x:v>
      </x:c>
      <x:c r="N20" s="80"/>
      <x:c r="O20" s="86" t="str">
        <x:v>Structural placeholder; replace with measured or sourced data.</x:v>
      </x:c>
      <x:c r="P20" s="86"/>
      <x:c r="Q20" s="86" t="str">
        <x:v>assumed</x:v>
      </x:c>
      <x:c r="R20" s="110" t="n">
        <x:v>100</x:v>
      </x:c>
      <x:c r="S20" s="89" t="b">
        <x:v>1</x:v>
      </x:c>
      <x:c r="T20" s="80" t="n">
        <x:v>4</x:v>
      </x:c>
    </x:row>
    <x:row r="21" ht="30" customHeight="1">
      <x:c r="A21" s="80" t="str">
        <x:v>protein_precipitation</x:v>
      </x:c>
      <x:c r="B21" s="80" t="str">
        <x:v>Maximum acid precipitation recovery</x:v>
      </x:c>
      <x:c r="C21" s="80" t="str">
        <x:v>maximum_protein_recovery</x:v>
      </x:c>
      <x:c r="D21" s="95" t="n">
        <x:v>0.85</x:v>
      </x:c>
      <x:c r="E21" s="80" t="str">
        <x:v>fraction</x:v>
      </x:c>
      <x:c r="F21" s="80" t="str">
        <x:v>All</x:v>
      </x:c>
      <x:c r="G21" s="80" t="str">
        <x:v>All</x:v>
      </x:c>
      <x:c r="H21" s="108" t="n">
        <x:v>0</x:v>
      </x:c>
      <x:c r="I21" s="108" t="n">
        <x:v>1</x:v>
      </x:c>
      <x:c r="J21" s="80" t="str">
        <x:v>none</x:v>
      </x:c>
      <x:c r="K21" s="89" t="b">
        <x:v>1</x:v>
      </x:c>
      <x:c r="L21" s="80" t="str">
        <x:v>assumed</x:v>
      </x:c>
      <x:c r="M21" s="84" t="str">
        <x:v>E</x:v>
      </x:c>
      <x:c r="N21" s="80"/>
      <x:c r="O21" s="86" t="str">
        <x:v>Structural placeholder; replace with measured or sourced data.</x:v>
      </x:c>
      <x:c r="P21" s="86"/>
      <x:c r="Q21" s="86" t="str">
        <x:v>assumed</x:v>
      </x:c>
      <x:c r="R21" s="110" t="n">
        <x:v>100</x:v>
      </x:c>
      <x:c r="S21" s="89" t="b">
        <x:v>1</x:v>
      </x:c>
      <x:c r="T21" s="80" t="n">
        <x:v>4</x:v>
      </x:c>
    </x:row>
    <x:row r="22" ht="30" customHeight="1">
      <x:c r="A22" s="80" t="str">
        <x:v>heat_coagulation</x:v>
      </x:c>
      <x:c r="B22" s="80" t="str">
        <x:v>Heat-coagulation kinetic model</x:v>
      </x:c>
      <x:c r="C22" s="80" t="str">
        <x:v>heat_coagulation_kinetic_model</x:v>
      </x:c>
      <x:c r="D22" s="95" t="str">
        <x:v>direct_yield</x:v>
      </x:c>
      <x:c r="E22" s="80" t="str">
        <x:v>text</x:v>
      </x:c>
      <x:c r="F22" s="80" t="str">
        <x:v>All</x:v>
      </x:c>
      <x:c r="G22" s="80" t="str">
        <x:v>All</x:v>
      </x:c>
      <x:c r="H22" s="108"/>
      <x:c r="I22" s="108"/>
      <x:c r="J22" s="80" t="str">
        <x:v>none</x:v>
      </x:c>
      <x:c r="K22" s="89" t="b">
        <x:v>1</x:v>
      </x:c>
      <x:c r="L22" s="80" t="str">
        <x:v>assumed</x:v>
      </x:c>
      <x:c r="M22" s="84" t="str">
        <x:v>E</x:v>
      </x:c>
      <x:c r="N22" s="80"/>
      <x:c r="O22" s="86" t="str">
        <x:v>Structural placeholder; replace with measured or sourced data.</x:v>
      </x:c>
      <x:c r="P22" s="86" t="str">
        <x:v>direct measured/assumed yield</x:v>
      </x:c>
      <x:c r="Q22" s="86" t="str">
        <x:v>assumed</x:v>
      </x:c>
      <x:c r="R22" s="110" t="n">
        <x:v>100</x:v>
      </x:c>
      <x:c r="S22" s="89" t="b">
        <x:v>1</x:v>
      </x:c>
      <x:c r="T22" s="80" t="n">
        <x:v>4</x:v>
      </x:c>
    </x:row>
    <x:row r="23" ht="30" customHeight="1">
      <x:c r="A23" s="80" t="str">
        <x:v>heat_coagulation</x:v>
      </x:c>
      <x:c r="B23" s="80" t="str">
        <x:v>Direct heat-coagulation efficiency</x:v>
      </x:c>
      <x:c r="C23" s="80" t="str">
        <x:v>heat_coagulation_efficiency</x:v>
      </x:c>
      <x:c r="D23" s="95" t="n">
        <x:v>0.4</x:v>
      </x:c>
      <x:c r="E23" s="80" t="str">
        <x:v>fraction of remaining soluble protein</x:v>
      </x:c>
      <x:c r="F23" s="80" t="str">
        <x:v>All</x:v>
      </x:c>
      <x:c r="G23" s="80" t="str">
        <x:v>All</x:v>
      </x:c>
      <x:c r="H23" s="108" t="n">
        <x:v>0</x:v>
      </x:c>
      <x:c r="I23" s="108" t="n">
        <x:v>1</x:v>
      </x:c>
      <x:c r="J23" s="80" t="str">
        <x:v>none</x:v>
      </x:c>
      <x:c r="K23" s="89" t="b">
        <x:v>1</x:v>
      </x:c>
      <x:c r="L23" s="80" t="str">
        <x:v>assumed</x:v>
      </x:c>
      <x:c r="M23" s="84" t="str">
        <x:v>E</x:v>
      </x:c>
      <x:c r="N23" s="80"/>
      <x:c r="O23" s="86" t="str">
        <x:v>Structural placeholder; replace with measured or sourced data.</x:v>
      </x:c>
      <x:c r="P23" s="86"/>
      <x:c r="Q23" s="86" t="str">
        <x:v>assumed</x:v>
      </x:c>
      <x:c r="R23" s="110" t="n">
        <x:v>100</x:v>
      </x:c>
      <x:c r="S23" s="89" t="b">
        <x:v>1</x:v>
      </x:c>
      <x:c r="T23" s="80" t="n">
        <x:v>4</x:v>
      </x:c>
    </x:row>
    <x:row r="24" ht="30" customHeight="1">
      <x:c r="A24" s="80" t="str">
        <x:v>heat_coagulation</x:v>
      </x:c>
      <x:c r="B24" s="80" t="str">
        <x:v>Maximum heat-coagulation recovery</x:v>
      </x:c>
      <x:c r="C24" s="80" t="str">
        <x:v>maximum_heat_coagulation_recovery</x:v>
      </x:c>
      <x:c r="D24" s="95" t="n">
        <x:v>0.75</x:v>
      </x:c>
      <x:c r="E24" s="80" t="str">
        <x:v>fraction</x:v>
      </x:c>
      <x:c r="F24" s="80" t="str">
        <x:v>All</x:v>
      </x:c>
      <x:c r="G24" s="80" t="str">
        <x:v>All</x:v>
      </x:c>
      <x:c r="H24" s="108" t="n">
        <x:v>0</x:v>
      </x:c>
      <x:c r="I24" s="108" t="n">
        <x:v>1</x:v>
      </x:c>
      <x:c r="J24" s="80" t="str">
        <x:v>none</x:v>
      </x:c>
      <x:c r="K24" s="89" t="b">
        <x:v>1</x:v>
      </x:c>
      <x:c r="L24" s="80" t="str">
        <x:v>assumed</x:v>
      </x:c>
      <x:c r="M24" s="84" t="str">
        <x:v>E</x:v>
      </x:c>
      <x:c r="N24" s="80"/>
      <x:c r="O24" s="86" t="str">
        <x:v>Structural placeholder; replace with measured or sourced data.</x:v>
      </x:c>
      <x:c r="P24" s="86"/>
      <x:c r="Q24" s="86" t="str">
        <x:v>assumed</x:v>
      </x:c>
      <x:c r="R24" s="110" t="n">
        <x:v>100</x:v>
      </x:c>
      <x:c r="S24" s="89" t="b">
        <x:v>1</x:v>
      </x:c>
      <x:c r="T24" s="80" t="n">
        <x:v>4</x:v>
      </x:c>
    </x:row>
    <x:row r="25" ht="30" customHeight="1">
      <x:c r="A25" s="80" t="str">
        <x:v>protein_precipitation</x:v>
      </x:c>
      <x:c r="B25" s="80" t="str">
        <x:v>Effective aggregate protein pI</x:v>
      </x:c>
      <x:c r="C25" s="80" t="str">
        <x:v>effective_protein_pI</x:v>
      </x:c>
      <x:c r="D25" s="95" t="n">
        <x:v>4.5</x:v>
      </x:c>
      <x:c r="E25" s="80" t="str">
        <x:v>pH</x:v>
      </x:c>
      <x:c r="F25" s="80" t="str">
        <x:v>All</x:v>
      </x:c>
      <x:c r="G25" s="80" t="str">
        <x:v>All</x:v>
      </x:c>
      <x:c r="H25" s="108" t="n">
        <x:v>0</x:v>
      </x:c>
      <x:c r="I25" s="108" t="n">
        <x:v>14</x:v>
      </x:c>
      <x:c r="J25" s="80" t="str">
        <x:v>none</x:v>
      </x:c>
      <x:c r="K25" s="89" t="b">
        <x:v>1</x:v>
      </x:c>
      <x:c r="L25" s="80" t="str">
        <x:v>assumed</x:v>
      </x:c>
      <x:c r="M25" s="84" t="str">
        <x:v>E</x:v>
      </x:c>
      <x:c r="N25" s="80"/>
      <x:c r="O25" s="86" t="str">
        <x:v>Aggregate placeholder, not a universal grass-protein pI.</x:v>
      </x:c>
      <x:c r="P25" s="86"/>
      <x:c r="Q25" s="86" t="str">
        <x:v>assumed</x:v>
      </x:c>
      <x:c r="R25" s="110" t="n">
        <x:v>100</x:v>
      </x:c>
      <x:c r="S25" s="89" t="b">
        <x:v>1</x:v>
      </x:c>
      <x:c r="T25" s="80" t="n">
        <x:v>4</x:v>
      </x:c>
    </x:row>
    <x:row r="26" ht="30" customHeight="1">
      <x:c r="A26" s="80" t="str">
        <x:v>protein_precipitation</x:v>
      </x:c>
      <x:c r="B26" s="80" t="str">
        <x:v>Effective pH-response width</x:v>
      </x:c>
      <x:c r="C26" s="80" t="str">
        <x:v>effective_precipitation_pH_width</x:v>
      </x:c>
      <x:c r="D26" s="95" t="n">
        <x:v>0.6</x:v>
      </x:c>
      <x:c r="E26" s="80" t="str">
        <x:v>pH units</x:v>
      </x:c>
      <x:c r="F26" s="80" t="str">
        <x:v>All</x:v>
      </x:c>
      <x:c r="G26" s="80" t="str">
        <x:v>All</x:v>
      </x:c>
      <x:c r="H26" s="108" t="n">
        <x:v>0.000001</x:v>
      </x:c>
      <x:c r="I26" s="108"/>
      <x:c r="J26" s="80" t="str">
        <x:v>none</x:v>
      </x:c>
      <x:c r="K26" s="89" t="b">
        <x:v>1</x:v>
      </x:c>
      <x:c r="L26" s="80" t="str">
        <x:v>assumed</x:v>
      </x:c>
      <x:c r="M26" s="84" t="str">
        <x:v>E</x:v>
      </x:c>
      <x:c r="N26" s="80"/>
      <x:c r="O26" s="86" t="str">
        <x:v>Structural placeholder; replace with measured or sourced data.</x:v>
      </x:c>
      <x:c r="P26" s="86"/>
      <x:c r="Q26" s="86" t="str">
        <x:v>assumed</x:v>
      </x:c>
      <x:c r="R26" s="110" t="n">
        <x:v>100</x:v>
      </x:c>
      <x:c r="S26" s="89" t="b">
        <x:v>1</x:v>
      </x:c>
      <x:c r="T26" s="80" t="n">
        <x:v>4</x:v>
      </x:c>
    </x:row>
    <x:row r="27" ht="30" customHeight="1">
      <x:c r="A27" s="80" t="str">
        <x:v>protein_precipitation</x:v>
      </x:c>
      <x:c r="B27" s="80" t="str">
        <x:v>Precipitation temperature</x:v>
      </x:c>
      <x:c r="C27" s="80" t="str">
        <x:v>precipitation_temperature_C</x:v>
      </x:c>
      <x:c r="D27" s="95" t="n">
        <x:v>60</x:v>
      </x:c>
      <x:c r="E27" s="80" t="str">
        <x:v>degC</x:v>
      </x:c>
      <x:c r="F27" s="80" t="str">
        <x:v>All</x:v>
      </x:c>
      <x:c r="G27" s="80" t="str">
        <x:v>All</x:v>
      </x:c>
      <x:c r="H27" s="108" t="n">
        <x:v>-5</x:v>
      </x:c>
      <x:c r="I27" s="108" t="n">
        <x:v>150</x:v>
      </x:c>
      <x:c r="J27" s="80" t="str">
        <x:v>none</x:v>
      </x:c>
      <x:c r="K27" s="89" t="b">
        <x:v>1</x:v>
      </x:c>
      <x:c r="L27" s="80" t="str">
        <x:v>assumed</x:v>
      </x:c>
      <x:c r="M27" s="84" t="str">
        <x:v>E</x:v>
      </x:c>
      <x:c r="N27" s="80"/>
      <x:c r="O27" s="86" t="str">
        <x:v>Structural placeholder; replace with measured or sourced data.</x:v>
      </x:c>
      <x:c r="P27" s="86"/>
      <x:c r="Q27" s="86" t="str">
        <x:v>assumed</x:v>
      </x:c>
      <x:c r="R27" s="110" t="n">
        <x:v>100</x:v>
      </x:c>
      <x:c r="S27" s="89" t="b">
        <x:v>1</x:v>
      </x:c>
      <x:c r="T27" s="80" t="n">
        <x:v>4</x:v>
      </x:c>
    </x:row>
    <x:row r="28" ht="30" customHeight="1">
      <x:c r="A28" s="80" t="str">
        <x:v>protein_precipitation</x:v>
      </x:c>
      <x:c r="B28" s="80" t="str">
        <x:v>Precipitation residence time</x:v>
      </x:c>
      <x:c r="C28" s="80" t="str">
        <x:v>precipitation_residence_time_min</x:v>
      </x:c>
      <x:c r="D28" s="95" t="n">
        <x:v>30</x:v>
      </x:c>
      <x:c r="E28" s="80" t="str">
        <x:v>min</x:v>
      </x:c>
      <x:c r="F28" s="80" t="str">
        <x:v>All</x:v>
      </x:c>
      <x:c r="G28" s="80" t="str">
        <x:v>All</x:v>
      </x:c>
      <x:c r="H28" s="108" t="n">
        <x:v>0</x:v>
      </x:c>
      <x:c r="I28" s="108"/>
      <x:c r="J28" s="80" t="str">
        <x:v>none</x:v>
      </x:c>
      <x:c r="K28" s="89" t="b">
        <x:v>1</x:v>
      </x:c>
      <x:c r="L28" s="80" t="str">
        <x:v>assumed</x:v>
      </x:c>
      <x:c r="M28" s="84" t="str">
        <x:v>E</x:v>
      </x:c>
      <x:c r="N28" s="80"/>
      <x:c r="O28" s="86" t="str">
        <x:v>Structural placeholder; replace with measured or sourced data.</x:v>
      </x:c>
      <x:c r="P28" s="86"/>
      <x:c r="Q28" s="86" t="str">
        <x:v>assumed</x:v>
      </x:c>
      <x:c r="R28" s="110" t="n">
        <x:v>100</x:v>
      </x:c>
      <x:c r="S28" s="89" t="b">
        <x:v>1</x:v>
      </x:c>
      <x:c r="T28" s="80" t="n">
        <x:v>4</x:v>
      </x:c>
    </x:row>
    <x:row r="29" ht="30" customHeight="1">
      <x:c r="A29" s="80" t="str">
        <x:v>precipitation_kinetics</x:v>
      </x:c>
      <x:c r="B29" s="80" t="str">
        <x:v>Acid precipitation rate constant</x:v>
      </x:c>
      <x:c r="C29" s="80" t="str">
        <x:v>precipitation_rate_constant_per_min</x:v>
      </x:c>
      <x:c r="D29" s="95"/>
      <x:c r="E29" s="80" t="str">
        <x:v>1/min</x:v>
      </x:c>
      <x:c r="F29" s="80" t="str">
        <x:v>All</x:v>
      </x:c>
      <x:c r="G29" s="80" t="str">
        <x:v>All</x:v>
      </x:c>
      <x:c r="H29" s="108" t="n">
        <x:v>0</x:v>
      </x:c>
      <x:c r="I29" s="108"/>
      <x:c r="J29" s="80" t="str">
        <x:v>none</x:v>
      </x:c>
      <x:c r="K29" s="89" t="b">
        <x:v>0</x:v>
      </x:c>
      <x:c r="L29" s="80" t="str">
        <x:v>assumed</x:v>
      </x:c>
      <x:c r="M29" s="84" t="str">
        <x:v>E</x:v>
      </x:c>
      <x:c r="N29" s="80"/>
      <x:c r="O29" s="86" t="str">
        <x:v>Blank in direct-yield mode; required only for first-order mode.</x:v>
      </x:c>
      <x:c r="P29" s="86"/>
      <x:c r="Q29" s="86" t="str">
        <x:v>assumed</x:v>
      </x:c>
      <x:c r="R29" s="110" t="n">
        <x:v>100</x:v>
      </x:c>
      <x:c r="S29" s="89" t="b">
        <x:v>1</x:v>
      </x:c>
      <x:c r="T29" s="80" t="n">
        <x:v>4</x:v>
      </x:c>
    </x:row>
    <x:row r="30" ht="30" customHeight="1">
      <x:c r="A30" s="80" t="str">
        <x:v>precipitation_kinetics</x:v>
      </x:c>
      <x:c r="B30" s="80" t="str">
        <x:v>Heat coagulation rate constant</x:v>
      </x:c>
      <x:c r="C30" s="80" t="str">
        <x:v>heat_coagulation_rate_constant_per_min</x:v>
      </x:c>
      <x:c r="D30" s="95"/>
      <x:c r="E30" s="80" t="str">
        <x:v>1/min</x:v>
      </x:c>
      <x:c r="F30" s="80" t="str">
        <x:v>All</x:v>
      </x:c>
      <x:c r="G30" s="80" t="str">
        <x:v>All</x:v>
      </x:c>
      <x:c r="H30" s="108" t="n">
        <x:v>0</x:v>
      </x:c>
      <x:c r="I30" s="108"/>
      <x:c r="J30" s="80" t="str">
        <x:v>none</x:v>
      </x:c>
      <x:c r="K30" s="89" t="b">
        <x:v>0</x:v>
      </x:c>
      <x:c r="L30" s="80" t="str">
        <x:v>assumed</x:v>
      </x:c>
      <x:c r="M30" s="84" t="str">
        <x:v>E</x:v>
      </x:c>
      <x:c r="N30" s="80"/>
      <x:c r="O30" s="86" t="str">
        <x:v>Blank in direct-yield mode; required only for first-order mode.</x:v>
      </x:c>
      <x:c r="P30" s="86"/>
      <x:c r="Q30" s="86" t="str">
        <x:v>assumed</x:v>
      </x:c>
      <x:c r="R30" s="110" t="n">
        <x:v>100</x:v>
      </x:c>
      <x:c r="S30" s="89" t="b">
        <x:v>1</x:v>
      </x:c>
      <x:c r="T30" s="80" t="n">
        <x:v>4</x:v>
      </x:c>
    </x:row>
    <x:row r="31" ht="30" customHeight="1">
      <x:c r="A31" s="80" t="str">
        <x:v>precipitation_kinetics</x:v>
      </x:c>
      <x:c r="B31" s="80" t="str">
        <x:v>Activation energy</x:v>
      </x:c>
      <x:c r="C31" s="80" t="str">
        <x:v>precipitation_activation_energy_kj_per_mol</x:v>
      </x:c>
      <x:c r="D31" s="95"/>
      <x:c r="E31" s="80" t="str">
        <x:v>kJ/mol</x:v>
      </x:c>
      <x:c r="F31" s="80" t="str">
        <x:v>All</x:v>
      </x:c>
      <x:c r="G31" s="80" t="str">
        <x:v>All</x:v>
      </x:c>
      <x:c r="H31" s="108" t="n">
        <x:v>0</x:v>
      </x:c>
      <x:c r="I31" s="108"/>
      <x:c r="J31" s="80" t="str">
        <x:v>none</x:v>
      </x:c>
      <x:c r="K31" s="89" t="b">
        <x:v>0</x:v>
      </x:c>
      <x:c r="L31" s="80" t="str">
        <x:v>assumed</x:v>
      </x:c>
      <x:c r="M31" s="84" t="str">
        <x:v>E</x:v>
      </x:c>
      <x:c r="N31" s="80"/>
      <x:c r="O31" s="86" t="str">
        <x:v>Blank unless literature-supported or fitted.</x:v>
      </x:c>
      <x:c r="P31" s="86"/>
      <x:c r="Q31" s="86" t="str">
        <x:v>assumed</x:v>
      </x:c>
      <x:c r="R31" s="110" t="n">
        <x:v>100</x:v>
      </x:c>
      <x:c r="S31" s="89" t="b">
        <x:v>1</x:v>
      </x:c>
      <x:c r="T31" s="80" t="n">
        <x:v>4</x:v>
      </x:c>
    </x:row>
    <x:row r="32" ht="30" customHeight="1">
      <x:c r="A32" s="80" t="str">
        <x:v>precipitation_kinetics</x:v>
      </x:c>
      <x:c r="B32" s="80" t="str">
        <x:v>Kinetic reference temperature</x:v>
      </x:c>
      <x:c r="C32" s="80" t="str">
        <x:v>kinetic_reference_temperature_C</x:v>
      </x:c>
      <x:c r="D32" s="95" t="n">
        <x:v>25</x:v>
      </x:c>
      <x:c r="E32" s="80" t="str">
        <x:v>degC</x:v>
      </x:c>
      <x:c r="F32" s="80" t="str">
        <x:v>All</x:v>
      </x:c>
      <x:c r="G32" s="80" t="str">
        <x:v>All</x:v>
      </x:c>
      <x:c r="H32" s="108" t="n">
        <x:v>-5</x:v>
      </x:c>
      <x:c r="I32" s="108" t="n">
        <x:v>150</x:v>
      </x:c>
      <x:c r="J32" s="80" t="str">
        <x:v>none</x:v>
      </x:c>
      <x:c r="K32" s="89" t="b">
        <x:v>1</x:v>
      </x:c>
      <x:c r="L32" s="80" t="str">
        <x:v>assumed</x:v>
      </x:c>
      <x:c r="M32" s="84" t="str">
        <x:v>E</x:v>
      </x:c>
      <x:c r="N32" s="80"/>
      <x:c r="O32" s="86" t="str">
        <x:v>Structural placeholder; replace with measured or sourced data.</x:v>
      </x:c>
      <x:c r="P32" s="86"/>
      <x:c r="Q32" s="86" t="str">
        <x:v>assumed</x:v>
      </x:c>
      <x:c r="R32" s="110" t="n">
        <x:v>100</x:v>
      </x:c>
      <x:c r="S32" s="89" t="b">
        <x:v>1</x:v>
      </x:c>
      <x:c r="T32" s="80" t="n">
        <x:v>4</x:v>
      </x:c>
    </x:row>
    <x:row r="33" ht="30" customHeight="1">
      <x:c r="A33" s="80" t="str">
        <x:v>protein_precipitation</x:v>
      </x:c>
      <x:c r="B33" s="80" t="str">
        <x:v>Vessel working-volume fraction</x:v>
      </x:c>
      <x:c r="C33" s="80" t="str">
        <x:v>precipitation_working_volume_fraction</x:v>
      </x:c>
      <x:c r="D33" s="95" t="n">
        <x:v>0.8</x:v>
      </x:c>
      <x:c r="E33" s="80" t="str">
        <x:v>fraction</x:v>
      </x:c>
      <x:c r="F33" s="80" t="str">
        <x:v>All</x:v>
      </x:c>
      <x:c r="G33" s="80" t="str">
        <x:v>All</x:v>
      </x:c>
      <x:c r="H33" s="108" t="n">
        <x:v>0.000001</x:v>
      </x:c>
      <x:c r="I33" s="108" t="n">
        <x:v>1</x:v>
      </x:c>
      <x:c r="J33" s="80" t="str">
        <x:v>none</x:v>
      </x:c>
      <x:c r="K33" s="89" t="b">
        <x:v>1</x:v>
      </x:c>
      <x:c r="L33" s="80" t="str">
        <x:v>assumed</x:v>
      </x:c>
      <x:c r="M33" s="84" t="str">
        <x:v>E</x:v>
      </x:c>
      <x:c r="N33" s="80"/>
      <x:c r="O33" s="86" t="str">
        <x:v>Structural placeholder; replace with measured or sourced data.</x:v>
      </x:c>
      <x:c r="P33" s="86"/>
      <x:c r="Q33" s="86" t="str">
        <x:v>assumed</x:v>
      </x:c>
      <x:c r="R33" s="110" t="n">
        <x:v>100</x:v>
      </x:c>
      <x:c r="S33" s="89" t="b">
        <x:v>1</x:v>
      </x:c>
      <x:c r="T33" s="80" t="n">
        <x:v>4</x:v>
      </x:c>
    </x:row>
    <x:row r="34" ht="30" customHeight="1">
      <x:c r="A34" s="80" t="str">
        <x:v>protein_precipitation</x:v>
      </x:c>
      <x:c r="B34" s="80" t="str">
        <x:v>Vessel mixing power</x:v>
      </x:c>
      <x:c r="C34" s="80" t="str">
        <x:v>precipitation_mixing_power_kw_per_m3</x:v>
      </x:c>
      <x:c r="D34" s="95" t="n">
        <x:v>0.2</x:v>
      </x:c>
      <x:c r="E34" s="80" t="str">
        <x:v>kW/m3 working volume</x:v>
      </x:c>
      <x:c r="F34" s="80" t="str">
        <x:v>All</x:v>
      </x:c>
      <x:c r="G34" s="80" t="str">
        <x:v>All</x:v>
      </x:c>
      <x:c r="H34" s="108" t="n">
        <x:v>0</x:v>
      </x:c>
      <x:c r="I34" s="108"/>
      <x:c r="J34" s="80" t="str">
        <x:v>none</x:v>
      </x:c>
      <x:c r="K34" s="89" t="b">
        <x:v>1</x:v>
      </x:c>
      <x:c r="L34" s="80" t="str">
        <x:v>assumed</x:v>
      </x:c>
      <x:c r="M34" s="84" t="str">
        <x:v>E</x:v>
      </x:c>
      <x:c r="N34" s="80"/>
      <x:c r="O34" s="86" t="str">
        <x:v>Structural placeholder; replace with measured or sourced data.</x:v>
      </x:c>
      <x:c r="P34" s="86"/>
      <x:c r="Q34" s="86" t="str">
        <x:v>assumed</x:v>
      </x:c>
      <x:c r="R34" s="110" t="n">
        <x:v>100</x:v>
      </x:c>
      <x:c r="S34" s="89" t="b">
        <x:v>1</x:v>
      </x:c>
      <x:c r="T34" s="80" t="n">
        <x:v>4</x:v>
      </x:c>
    </x:row>
    <x:row r="35" ht="30" customHeight="1">
      <x:c r="A35" s="80" t="str">
        <x:v>protein_separation</x:v>
      </x:c>
      <x:c r="B35" s="80" t="str">
        <x:v>Precipitated protein capture</x:v>
      </x:c>
      <x:c r="C35" s="80" t="str">
        <x:v>precipitated_protein_capture_fraction</x:v>
      </x:c>
      <x:c r="D35" s="95" t="n">
        <x:v>0.95</x:v>
      </x:c>
      <x:c r="E35" s="80" t="str">
        <x:v>fraction to cake</x:v>
      </x:c>
      <x:c r="F35" s="80" t="str">
        <x:v>All</x:v>
      </x:c>
      <x:c r="G35" s="80" t="str">
        <x:v>All</x:v>
      </x:c>
      <x:c r="H35" s="108" t="n">
        <x:v>0</x:v>
      </x:c>
      <x:c r="I35" s="108" t="n">
        <x:v>1</x:v>
      </x:c>
      <x:c r="J35" s="80" t="str">
        <x:v>none</x:v>
      </x:c>
      <x:c r="K35" s="89" t="b">
        <x:v>1</x:v>
      </x:c>
      <x:c r="L35" s="80" t="str">
        <x:v>assumed</x:v>
      </x:c>
      <x:c r="M35" s="84" t="str">
        <x:v>E</x:v>
      </x:c>
      <x:c r="N35" s="80"/>
      <x:c r="O35" s="86" t="str">
        <x:v>Structural placeholder; replace with measured or sourced data.</x:v>
      </x:c>
      <x:c r="P35" s="86"/>
      <x:c r="Q35" s="86" t="str">
        <x:v>assumed</x:v>
      </x:c>
      <x:c r="R35" s="110" t="n">
        <x:v>100</x:v>
      </x:c>
      <x:c r="S35" s="89" t="b">
        <x:v>1</x:v>
      </x:c>
      <x:c r="T35" s="80" t="n">
        <x:v>4</x:v>
      </x:c>
    </x:row>
    <x:row r="36" ht="30" customHeight="1">
      <x:c r="A36" s="80" t="str">
        <x:v>protein_separation</x:v>
      </x:c>
      <x:c r="B36" s="80" t="str">
        <x:v>Suspended protein capture</x:v>
      </x:c>
      <x:c r="C36" s="80" t="str">
        <x:v>suspended_protein_capture_fraction</x:v>
      </x:c>
      <x:c r="D36" s="95" t="n">
        <x:v>0.8</x:v>
      </x:c>
      <x:c r="E36" s="80" t="str">
        <x:v>fraction to cake</x:v>
      </x:c>
      <x:c r="F36" s="80" t="str">
        <x:v>All</x:v>
      </x:c>
      <x:c r="G36" s="80" t="str">
        <x:v>All</x:v>
      </x:c>
      <x:c r="H36" s="108" t="n">
        <x:v>0</x:v>
      </x:c>
      <x:c r="I36" s="108" t="n">
        <x:v>1</x:v>
      </x:c>
      <x:c r="J36" s="80" t="str">
        <x:v>none</x:v>
      </x:c>
      <x:c r="K36" s="89" t="b">
        <x:v>1</x:v>
      </x:c>
      <x:c r="L36" s="80" t="str">
        <x:v>assumed</x:v>
      </x:c>
      <x:c r="M36" s="84" t="str">
        <x:v>E</x:v>
      </x:c>
      <x:c r="N36" s="80"/>
      <x:c r="O36" s="86" t="str">
        <x:v>Structural placeholder; replace with measured or sourced data.</x:v>
      </x:c>
      <x:c r="P36" s="86"/>
      <x:c r="Q36" s="86" t="str">
        <x:v>assumed</x:v>
      </x:c>
      <x:c r="R36" s="110" t="n">
        <x:v>100</x:v>
      </x:c>
      <x:c r="S36" s="89" t="b">
        <x:v>1</x:v>
      </x:c>
      <x:c r="T36" s="80" t="n">
        <x:v>4</x:v>
      </x:c>
    </x:row>
    <x:row r="37" ht="30" customHeight="1">
      <x:c r="A37" s="80" t="str">
        <x:v>protein_separation</x:v>
      </x:c>
      <x:c r="B37" s="80" t="str">
        <x:v>Soluble protein adsorption loss</x:v>
      </x:c>
      <x:c r="C37" s="80" t="str">
        <x:v>separator_soluble_protein_loss_fraction</x:v>
      </x:c>
      <x:c r="D37" s="95" t="n">
        <x:v>0.02</x:v>
      </x:c>
      <x:c r="E37" s="80" t="str">
        <x:v>fraction to cake</x:v>
      </x:c>
      <x:c r="F37" s="80" t="str">
        <x:v>All</x:v>
      </x:c>
      <x:c r="G37" s="80" t="str">
        <x:v>All</x:v>
      </x:c>
      <x:c r="H37" s="108" t="n">
        <x:v>0</x:v>
      </x:c>
      <x:c r="I37" s="108" t="n">
        <x:v>1</x:v>
      </x:c>
      <x:c r="J37" s="80" t="str">
        <x:v>none</x:v>
      </x:c>
      <x:c r="K37" s="89" t="b">
        <x:v>1</x:v>
      </x:c>
      <x:c r="L37" s="80" t="str">
        <x:v>assumed</x:v>
      </x:c>
      <x:c r="M37" s="84" t="str">
        <x:v>E</x:v>
      </x:c>
      <x:c r="N37" s="80"/>
      <x:c r="O37" s="86" t="str">
        <x:v>Structural placeholder; replace with measured or sourced data.</x:v>
      </x:c>
      <x:c r="P37" s="86"/>
      <x:c r="Q37" s="86" t="str">
        <x:v>assumed</x:v>
      </x:c>
      <x:c r="R37" s="110" t="n">
        <x:v>100</x:v>
      </x:c>
      <x:c r="S37" s="89" t="b">
        <x:v>1</x:v>
      </x:c>
      <x:c r="T37" s="80" t="n">
        <x:v>4</x:v>
      </x:c>
    </x:row>
    <x:row r="38" ht="30" customHeight="1">
      <x:c r="A38" s="80" t="str">
        <x:v>protein_separation</x:v>
      </x:c>
      <x:c r="B38" s="80" t="str">
        <x:v>Wet cake moisture</x:v>
      </x:c>
      <x:c r="C38" s="80" t="str">
        <x:v>protein_cake_moisture_fraction</x:v>
      </x:c>
      <x:c r="D38" s="95" t="n">
        <x:v>0.75</x:v>
      </x:c>
      <x:c r="E38" s="80" t="str">
        <x:v>fraction wet basis</x:v>
      </x:c>
      <x:c r="F38" s="80" t="str">
        <x:v>All</x:v>
      </x:c>
      <x:c r="G38" s="80" t="str">
        <x:v>All</x:v>
      </x:c>
      <x:c r="H38" s="108" t="n">
        <x:v>0</x:v>
      </x:c>
      <x:c r="I38" s="108" t="n">
        <x:v>0.999999</x:v>
      </x:c>
      <x:c r="J38" s="80" t="str">
        <x:v>none</x:v>
      </x:c>
      <x:c r="K38" s="89" t="b">
        <x:v>1</x:v>
      </x:c>
      <x:c r="L38" s="80" t="str">
        <x:v>assumed</x:v>
      </x:c>
      <x:c r="M38" s="84" t="str">
        <x:v>E</x:v>
      </x:c>
      <x:c r="N38" s="80"/>
      <x:c r="O38" s="86" t="str">
        <x:v>Structural placeholder; replace with measured or sourced data.</x:v>
      </x:c>
      <x:c r="P38" s="86" t="str">
        <x:v>analytical water allocation</x:v>
      </x:c>
      <x:c r="Q38" s="86" t="str">
        <x:v>assumed</x:v>
      </x:c>
      <x:c r="R38" s="110" t="n">
        <x:v>100</x:v>
      </x:c>
      <x:c r="S38" s="89" t="b">
        <x:v>1</x:v>
      </x:c>
      <x:c r="T38" s="80" t="n">
        <x:v>4</x:v>
      </x:c>
    </x:row>
    <x:row r="39" ht="30" customHeight="1">
      <x:c r="A39" s="80" t="str">
        <x:v>protein_separation</x:v>
      </x:c>
      <x:c r="B39" s="80" t="str">
        <x:v>Separator electricity</x:v>
      </x:c>
      <x:c r="C39" s="80" t="str">
        <x:v>protein_separator_electricity_kwh_per_m3</x:v>
      </x:c>
      <x:c r="D39" s="95" t="n">
        <x:v>0.8</x:v>
      </x:c>
      <x:c r="E39" s="80" t="str">
        <x:v>kWh/m3 feed</x:v>
      </x:c>
      <x:c r="F39" s="80" t="str">
        <x:v>All</x:v>
      </x:c>
      <x:c r="G39" s="80" t="str">
        <x:v>All</x:v>
      </x:c>
      <x:c r="H39" s="108" t="n">
        <x:v>0</x:v>
      </x:c>
      <x:c r="I39" s="108"/>
      <x:c r="J39" s="80" t="str">
        <x:v>none</x:v>
      </x:c>
      <x:c r="K39" s="89" t="b">
        <x:v>1</x:v>
      </x:c>
      <x:c r="L39" s="80" t="str">
        <x:v>assumed</x:v>
      </x:c>
      <x:c r="M39" s="84" t="str">
        <x:v>E</x:v>
      </x:c>
      <x:c r="N39" s="80"/>
      <x:c r="O39" s="86" t="str">
        <x:v>Structural placeholder; replace with measured or sourced data.</x:v>
      </x:c>
      <x:c r="P39" s="86"/>
      <x:c r="Q39" s="86" t="str">
        <x:v>assumed</x:v>
      </x:c>
      <x:c r="R39" s="110" t="n">
        <x:v>100</x:v>
      </x:c>
      <x:c r="S39" s="89" t="b">
        <x:v>1</x:v>
      </x:c>
      <x:c r="T39" s="80" t="n">
        <x:v>4</x:v>
      </x:c>
    </x:row>
    <x:row r="40" ht="30" customHeight="1">
      <x:c r="A40" s="80" t="str">
        <x:v>protein_separation</x:v>
      </x:c>
      <x:c r="B40" s="80" t="str">
        <x:v>Separator hydraulic capacity</x:v>
      </x:c>
      <x:c r="C40" s="80" t="str">
        <x:v>protein_separator_capacity_m3_hr</x:v>
      </x:c>
      <x:c r="D40" s="95"/>
      <x:c r="E40" s="80" t="str">
        <x:v>m3/hr per train</x:v>
      </x:c>
      <x:c r="F40" s="80" t="str">
        <x:v>All</x:v>
      </x:c>
      <x:c r="G40" s="80" t="str">
        <x:v>All</x:v>
      </x:c>
      <x:c r="H40" s="108" t="n">
        <x:v>0.000001</x:v>
      </x:c>
      <x:c r="I40" s="108"/>
      <x:c r="J40" s="80" t="str">
        <x:v>none</x:v>
      </x:c>
      <x:c r="K40" s="89" t="b">
        <x:v>0</x:v>
      </x:c>
      <x:c r="L40" s="80" t="str">
        <x:v>assumed</x:v>
      </x:c>
      <x:c r="M40" s="84" t="str">
        <x:v>E</x:v>
      </x:c>
      <x:c r="N40" s="80"/>
      <x:c r="O40" s="86" t="str">
        <x:v>Leave blank until vendor data are available.</x:v>
      </x:c>
      <x:c r="P40" s="86"/>
      <x:c r="Q40" s="86" t="str">
        <x:v>assumed</x:v>
      </x:c>
      <x:c r="R40" s="110" t="n">
        <x:v>100</x:v>
      </x:c>
      <x:c r="S40" s="89" t="b">
        <x:v>1</x:v>
      </x:c>
      <x:c r="T40" s="80" t="n">
        <x:v>4</x:v>
      </x:c>
    </x:row>
    <x:row r="41" ht="30" customHeight="1">
      <x:c r="A41" s="80" t="str">
        <x:v>protein_separation</x:v>
      </x:c>
      <x:c r="B41" s="80" t="str">
        <x:v>Separator solids capacity</x:v>
      </x:c>
      <x:c r="C41" s="80" t="str">
        <x:v>protein_separator_solids_capacity_kg_hr</x:v>
      </x:c>
      <x:c r="D41" s="95"/>
      <x:c r="E41" s="80" t="str">
        <x:v>kg dry solids/hr per train</x:v>
      </x:c>
      <x:c r="F41" s="80" t="str">
        <x:v>All</x:v>
      </x:c>
      <x:c r="G41" s="80" t="str">
        <x:v>All</x:v>
      </x:c>
      <x:c r="H41" s="108" t="n">
        <x:v>0.000001</x:v>
      </x:c>
      <x:c r="I41" s="108"/>
      <x:c r="J41" s="80" t="str">
        <x:v>none</x:v>
      </x:c>
      <x:c r="K41" s="89" t="b">
        <x:v>0</x:v>
      </x:c>
      <x:c r="L41" s="80" t="str">
        <x:v>assumed</x:v>
      </x:c>
      <x:c r="M41" s="84" t="str">
        <x:v>E</x:v>
      </x:c>
      <x:c r="N41" s="80"/>
      <x:c r="O41" s="86" t="str">
        <x:v>Leave blank until vendor data are available.</x:v>
      </x:c>
      <x:c r="P41" s="86"/>
      <x:c r="Q41" s="86" t="str">
        <x:v>assumed</x:v>
      </x:c>
      <x:c r="R41" s="110" t="n">
        <x:v>100</x:v>
      </x:c>
      <x:c r="S41" s="89" t="b">
        <x:v>1</x:v>
      </x:c>
      <x:c r="T41" s="80" t="n">
        <x:v>4</x:v>
      </x:c>
    </x:row>
    <x:row r="42" ht="30" customHeight="1">
      <x:c r="A42" s="80" t="str">
        <x:v>protein_separation</x:v>
      </x:c>
      <x:c r="B42" s="80" t="str">
        <x:v>Co-precipitation: suspended_solids</x:v>
      </x:c>
      <x:c r="C42" s="80" t="str">
        <x:v>co_precipitation_suspended_solids_fraction</x:v>
      </x:c>
      <x:c r="D42" s="95" t="n">
        <x:v>0.5</x:v>
      </x:c>
      <x:c r="E42" s="80" t="str">
        <x:v>fraction to cake</x:v>
      </x:c>
      <x:c r="F42" s="80" t="str">
        <x:v>All</x:v>
      </x:c>
      <x:c r="G42" s="80" t="str">
        <x:v>All</x:v>
      </x:c>
      <x:c r="H42" s="108" t="n">
        <x:v>0</x:v>
      </x:c>
      <x:c r="I42" s="108" t="n">
        <x:v>1</x:v>
      </x:c>
      <x:c r="J42" s="80" t="str">
        <x:v>none</x:v>
      </x:c>
      <x:c r="K42" s="89" t="b">
        <x:v>1</x:v>
      </x:c>
      <x:c r="L42" s="80" t="str">
        <x:v>assumed</x:v>
      </x:c>
      <x:c r="M42" s="84" t="str">
        <x:v>E</x:v>
      </x:c>
      <x:c r="N42" s="80"/>
      <x:c r="O42" s="86" t="str">
        <x:v>Structural placeholder; replace with measured or sourced data.</x:v>
      </x:c>
      <x:c r="P42" s="86"/>
      <x:c r="Q42" s="86" t="str">
        <x:v>assumed</x:v>
      </x:c>
      <x:c r="R42" s="110" t="n">
        <x:v>100</x:v>
      </x:c>
      <x:c r="S42" s="89" t="b">
        <x:v>1</x:v>
      </x:c>
      <x:c r="T42" s="80" t="n">
        <x:v>4</x:v>
      </x:c>
    </x:row>
    <x:row r="43" ht="30" customHeight="1">
      <x:c r="A43" s="80" t="str">
        <x:v>protein_separation</x:v>
      </x:c>
      <x:c r="B43" s="80" t="str">
        <x:v>Co-precipitation: colloidal_carbohydrates</x:v>
      </x:c>
      <x:c r="C43" s="80" t="str">
        <x:v>co_precipitation_colloidal_carbohydrates_fraction</x:v>
      </x:c>
      <x:c r="D43" s="95" t="n">
        <x:v>0.2</x:v>
      </x:c>
      <x:c r="E43" s="80" t="str">
        <x:v>fraction to cake</x:v>
      </x:c>
      <x:c r="F43" s="80" t="str">
        <x:v>All</x:v>
      </x:c>
      <x:c r="G43" s="80" t="str">
        <x:v>All</x:v>
      </x:c>
      <x:c r="H43" s="108" t="n">
        <x:v>0</x:v>
      </x:c>
      <x:c r="I43" s="108" t="n">
        <x:v>1</x:v>
      </x:c>
      <x:c r="J43" s="80" t="str">
        <x:v>none</x:v>
      </x:c>
      <x:c r="K43" s="89" t="b">
        <x:v>1</x:v>
      </x:c>
      <x:c r="L43" s="80" t="str">
        <x:v>assumed</x:v>
      </x:c>
      <x:c r="M43" s="84" t="str">
        <x:v>E</x:v>
      </x:c>
      <x:c r="N43" s="80"/>
      <x:c r="O43" s="86" t="str">
        <x:v>Structural placeholder; replace with measured or sourced data.</x:v>
      </x:c>
      <x:c r="P43" s="86"/>
      <x:c r="Q43" s="86" t="str">
        <x:v>assumed</x:v>
      </x:c>
      <x:c r="R43" s="110" t="n">
        <x:v>100</x:v>
      </x:c>
      <x:c r="S43" s="89" t="b">
        <x:v>1</x:v>
      </x:c>
      <x:c r="T43" s="80" t="n">
        <x:v>4</x:v>
      </x:c>
    </x:row>
    <x:row r="44" ht="30" customHeight="1">
      <x:c r="A44" s="80" t="str">
        <x:v>protein_separation</x:v>
      </x:c>
      <x:c r="B44" s="80" t="str">
        <x:v>Co-precipitation: lipids</x:v>
      </x:c>
      <x:c r="C44" s="80" t="str">
        <x:v>co_precipitation_lipids_fraction</x:v>
      </x:c>
      <x:c r="D44" s="95" t="n">
        <x:v>0.1</x:v>
      </x:c>
      <x:c r="E44" s="80" t="str">
        <x:v>fraction to cake</x:v>
      </x:c>
      <x:c r="F44" s="80" t="str">
        <x:v>All</x:v>
      </x:c>
      <x:c r="G44" s="80" t="str">
        <x:v>All</x:v>
      </x:c>
      <x:c r="H44" s="108" t="n">
        <x:v>0</x:v>
      </x:c>
      <x:c r="I44" s="108" t="n">
        <x:v>1</x:v>
      </x:c>
      <x:c r="J44" s="80" t="str">
        <x:v>none</x:v>
      </x:c>
      <x:c r="K44" s="89" t="b">
        <x:v>1</x:v>
      </x:c>
      <x:c r="L44" s="80" t="str">
        <x:v>assumed</x:v>
      </x:c>
      <x:c r="M44" s="84" t="str">
        <x:v>E</x:v>
      </x:c>
      <x:c r="N44" s="80"/>
      <x:c r="O44" s="86" t="str">
        <x:v>Structural placeholder; replace with measured or sourced data.</x:v>
      </x:c>
      <x:c r="P44" s="86"/>
      <x:c r="Q44" s="86" t="str">
        <x:v>assumed</x:v>
      </x:c>
      <x:c r="R44" s="110" t="n">
        <x:v>100</x:v>
      </x:c>
      <x:c r="S44" s="89" t="b">
        <x:v>1</x:v>
      </x:c>
      <x:c r="T44" s="80" t="n">
        <x:v>4</x:v>
      </x:c>
    </x:row>
    <x:row r="45" ht="30" customHeight="1">
      <x:c r="A45" s="80" t="str">
        <x:v>protein_separation</x:v>
      </x:c>
      <x:c r="B45" s="80" t="str">
        <x:v>Co-precipitation: particulate_phosphorus</x:v>
      </x:c>
      <x:c r="C45" s="80" t="str">
        <x:v>co_precipitation_particulate_phosphorus_fraction</x:v>
      </x:c>
      <x:c r="D45" s="95" t="n">
        <x:v>0.3</x:v>
      </x:c>
      <x:c r="E45" s="80" t="str">
        <x:v>fraction to cake</x:v>
      </x:c>
      <x:c r="F45" s="80" t="str">
        <x:v>All</x:v>
      </x:c>
      <x:c r="G45" s="80" t="str">
        <x:v>All</x:v>
      </x:c>
      <x:c r="H45" s="108" t="n">
        <x:v>0</x:v>
      </x:c>
      <x:c r="I45" s="108" t="n">
        <x:v>1</x:v>
      </x:c>
      <x:c r="J45" s="80" t="str">
        <x:v>none</x:v>
      </x:c>
      <x:c r="K45" s="89" t="b">
        <x:v>1</x:v>
      </x:c>
      <x:c r="L45" s="80" t="str">
        <x:v>assumed</x:v>
      </x:c>
      <x:c r="M45" s="84" t="str">
        <x:v>E</x:v>
      </x:c>
      <x:c r="N45" s="80"/>
      <x:c r="O45" s="86" t="str">
        <x:v>Structural placeholder; replace with measured or sourced data.</x:v>
      </x:c>
      <x:c r="P45" s="86"/>
      <x:c r="Q45" s="86" t="str">
        <x:v>assumed</x:v>
      </x:c>
      <x:c r="R45" s="110" t="n">
        <x:v>100</x:v>
      </x:c>
      <x:c r="S45" s="89" t="b">
        <x:v>1</x:v>
      </x:c>
      <x:c r="T45" s="80" t="n">
        <x:v>4</x:v>
      </x:c>
    </x:row>
    <x:row r="46" ht="30" customHeight="1">
      <x:c r="A46" s="80" t="str">
        <x:v>protein_separation</x:v>
      </x:c>
      <x:c r="B46" s="80" t="str">
        <x:v>Co-precipitation: mineral_ash</x:v>
      </x:c>
      <x:c r="C46" s="80" t="str">
        <x:v>co_precipitation_mineral_ash_fraction</x:v>
      </x:c>
      <x:c r="D46" s="95" t="n">
        <x:v>0.2</x:v>
      </x:c>
      <x:c r="E46" s="80" t="str">
        <x:v>fraction to cake</x:v>
      </x:c>
      <x:c r="F46" s="80" t="str">
        <x:v>All</x:v>
      </x:c>
      <x:c r="G46" s="80" t="str">
        <x:v>All</x:v>
      </x:c>
      <x:c r="H46" s="108" t="n">
        <x:v>0</x:v>
      </x:c>
      <x:c r="I46" s="108" t="n">
        <x:v>1</x:v>
      </x:c>
      <x:c r="J46" s="80" t="str">
        <x:v>none</x:v>
      </x:c>
      <x:c r="K46" s="89" t="b">
        <x:v>1</x:v>
      </x:c>
      <x:c r="L46" s="80" t="str">
        <x:v>assumed</x:v>
      </x:c>
      <x:c r="M46" s="84" t="str">
        <x:v>E</x:v>
      </x:c>
      <x:c r="N46" s="80"/>
      <x:c r="O46" s="86" t="str">
        <x:v>Structural placeholder; replace with measured or sourced data.</x:v>
      </x:c>
      <x:c r="P46" s="86"/>
      <x:c r="Q46" s="86" t="str">
        <x:v>assumed</x:v>
      </x:c>
      <x:c r="R46" s="110" t="n">
        <x:v>100</x:v>
      </x:c>
      <x:c r="S46" s="89" t="b">
        <x:v>1</x:v>
      </x:c>
      <x:c r="T46" s="80" t="n">
        <x:v>4</x:v>
      </x:c>
    </x:row>
    <x:row r="47" ht="30" customHeight="1">
      <x:c r="A47" s="80" t="str">
        <x:v>protein_separation</x:v>
      </x:c>
      <x:c r="B47" s="80" t="str">
        <x:v>Co-precipitation: heavy_metals</x:v>
      </x:c>
      <x:c r="C47" s="80" t="str">
        <x:v>co_precipitation_heavy_metals_fraction</x:v>
      </x:c>
      <x:c r="D47" s="95" t="n">
        <x:v>0.1</x:v>
      </x:c>
      <x:c r="E47" s="80" t="str">
        <x:v>fraction to cake</x:v>
      </x:c>
      <x:c r="F47" s="80" t="str">
        <x:v>All</x:v>
      </x:c>
      <x:c r="G47" s="80" t="str">
        <x:v>All</x:v>
      </x:c>
      <x:c r="H47" s="108" t="n">
        <x:v>0</x:v>
      </x:c>
      <x:c r="I47" s="108" t="n">
        <x:v>1</x:v>
      </x:c>
      <x:c r="J47" s="80" t="str">
        <x:v>none</x:v>
      </x:c>
      <x:c r="K47" s="89" t="b">
        <x:v>1</x:v>
      </x:c>
      <x:c r="L47" s="80" t="str">
        <x:v>assumed</x:v>
      </x:c>
      <x:c r="M47" s="84" t="str">
        <x:v>E</x:v>
      </x:c>
      <x:c r="N47" s="80"/>
      <x:c r="O47" s="86" t="str">
        <x:v>Structural placeholder; replace with measured or sourced data.</x:v>
      </x:c>
      <x:c r="P47" s="86"/>
      <x:c r="Q47" s="86" t="str">
        <x:v>assumed</x:v>
      </x:c>
      <x:c r="R47" s="110" t="n">
        <x:v>100</x:v>
      </x:c>
      <x:c r="S47" s="89" t="b">
        <x:v>1</x:v>
      </x:c>
      <x:c r="T47" s="80" t="n">
        <x:v>4</x:v>
      </x:c>
    </x:row>
    <x:row r="48" ht="30" customHeight="1">
      <x:c r="A48" s="80" t="str">
        <x:v>protein_separation</x:v>
      </x:c>
      <x:c r="B48" s="80" t="str">
        <x:v>Co-precipitation: microplastics</x:v>
      </x:c>
      <x:c r="C48" s="80" t="str">
        <x:v>co_precipitation_microplastics_fraction</x:v>
      </x:c>
      <x:c r="D48" s="95" t="n">
        <x:v>0.1</x:v>
      </x:c>
      <x:c r="E48" s="80" t="str">
        <x:v>fraction to cake</x:v>
      </x:c>
      <x:c r="F48" s="80" t="str">
        <x:v>All</x:v>
      </x:c>
      <x:c r="G48" s="80" t="str">
        <x:v>All</x:v>
      </x:c>
      <x:c r="H48" s="108" t="n">
        <x:v>0</x:v>
      </x:c>
      <x:c r="I48" s="108" t="n">
        <x:v>1</x:v>
      </x:c>
      <x:c r="J48" s="80" t="str">
        <x:v>none</x:v>
      </x:c>
      <x:c r="K48" s="89" t="b">
        <x:v>1</x:v>
      </x:c>
      <x:c r="L48" s="80" t="str">
        <x:v>assumed</x:v>
      </x:c>
      <x:c r="M48" s="84" t="str">
        <x:v>E</x:v>
      </x:c>
      <x:c r="N48" s="80"/>
      <x:c r="O48" s="86" t="str">
        <x:v>Structural placeholder; replace with measured or sourced data.</x:v>
      </x:c>
      <x:c r="P48" s="86"/>
      <x:c r="Q48" s="86" t="str">
        <x:v>assumed</x:v>
      </x:c>
      <x:c r="R48" s="110" t="n">
        <x:v>100</x:v>
      </x:c>
      <x:c r="S48" s="89" t="b">
        <x:v>1</x:v>
      </x:c>
      <x:c r="T48" s="80" t="n">
        <x:v>4</x:v>
      </x:c>
    </x:row>
    <x:row r="49" ht="30" customHeight="1">
      <x:c r="A49" s="80" t="str">
        <x:v>protein_separation</x:v>
      </x:c>
      <x:c r="B49" s="80" t="str">
        <x:v>Co-precipitation: other_particulates</x:v>
      </x:c>
      <x:c r="C49" s="80" t="str">
        <x:v>co_precipitation_other_particulates_fraction</x:v>
      </x:c>
      <x:c r="D49" s="95" t="n">
        <x:v>0.3</x:v>
      </x:c>
      <x:c r="E49" s="80" t="str">
        <x:v>fraction to cake</x:v>
      </x:c>
      <x:c r="F49" s="80" t="str">
        <x:v>All</x:v>
      </x:c>
      <x:c r="G49" s="80" t="str">
        <x:v>All</x:v>
      </x:c>
      <x:c r="H49" s="108" t="n">
        <x:v>0</x:v>
      </x:c>
      <x:c r="I49" s="108" t="n">
        <x:v>1</x:v>
      </x:c>
      <x:c r="J49" s="80" t="str">
        <x:v>none</x:v>
      </x:c>
      <x:c r="K49" s="89" t="b">
        <x:v>1</x:v>
      </x:c>
      <x:c r="L49" s="80" t="str">
        <x:v>assumed</x:v>
      </x:c>
      <x:c r="M49" s="84" t="str">
        <x:v>E</x:v>
      </x:c>
      <x:c r="N49" s="80"/>
      <x:c r="O49" s="86" t="str">
        <x:v>Structural placeholder; replace with measured or sourced data.</x:v>
      </x:c>
      <x:c r="P49" s="86"/>
      <x:c r="Q49" s="86" t="str">
        <x:v>assumed</x:v>
      </x:c>
      <x:c r="R49" s="110" t="n">
        <x:v>100</x:v>
      </x:c>
      <x:c r="S49" s="89" t="b">
        <x:v>1</x:v>
      </x:c>
      <x:c r="T49" s="80" t="n">
        <x:v>4</x:v>
      </x:c>
    </x:row>
    <x:row r="50" ht="30" customHeight="1">
      <x:c r="A50" s="80" t="str">
        <x:v>cake_washing</x:v>
      </x:c>
      <x:c r="B50" s="80" t="str">
        <x:v>Wash-water ratio</x:v>
      </x:c>
      <x:c r="C50" s="80" t="str">
        <x:v>wash_water_kg_per_kg_dry_cake</x:v>
      </x:c>
      <x:c r="D50" s="95" t="n">
        <x:v>2</x:v>
      </x:c>
      <x:c r="E50" s="80" t="str">
        <x:v>kg/kg dry cake</x:v>
      </x:c>
      <x:c r="F50" s="80" t="str">
        <x:v>All</x:v>
      </x:c>
      <x:c r="G50" s="80" t="str">
        <x:v>All</x:v>
      </x:c>
      <x:c r="H50" s="108" t="n">
        <x:v>0</x:v>
      </x:c>
      <x:c r="I50" s="108"/>
      <x:c r="J50" s="80" t="str">
        <x:v>none</x:v>
      </x:c>
      <x:c r="K50" s="89" t="b">
        <x:v>1</x:v>
      </x:c>
      <x:c r="L50" s="80" t="str">
        <x:v>assumed</x:v>
      </x:c>
      <x:c r="M50" s="84" t="str">
        <x:v>E</x:v>
      </x:c>
      <x:c r="N50" s="80"/>
      <x:c r="O50" s="86" t="str">
        <x:v>Structural placeholder; replace with measured or sourced data.</x:v>
      </x:c>
      <x:c r="P50" s="86"/>
      <x:c r="Q50" s="86" t="str">
        <x:v>assumed</x:v>
      </x:c>
      <x:c r="R50" s="110" t="n">
        <x:v>100</x:v>
      </x:c>
      <x:c r="S50" s="89" t="b">
        <x:v>1</x:v>
      </x:c>
      <x:c r="T50" s="80" t="n">
        <x:v>4</x:v>
      </x:c>
    </x:row>
    <x:row r="51" ht="30" customHeight="1">
      <x:c r="A51" s="80" t="str">
        <x:v>cake_washing</x:v>
      </x:c>
      <x:c r="B51" s="80" t="str">
        <x:v>Soluble-salt wash efficiency</x:v>
      </x:c>
      <x:c r="C51" s="80" t="str">
        <x:v>salt_wash_efficiency</x:v>
      </x:c>
      <x:c r="D51" s="95" t="n">
        <x:v>0.8</x:v>
      </x:c>
      <x:c r="E51" s="80" t="str">
        <x:v>fraction removed</x:v>
      </x:c>
      <x:c r="F51" s="80" t="str">
        <x:v>All</x:v>
      </x:c>
      <x:c r="G51" s="80" t="str">
        <x:v>All</x:v>
      </x:c>
      <x:c r="H51" s="108" t="n">
        <x:v>0</x:v>
      </x:c>
      <x:c r="I51" s="108" t="n">
        <x:v>1</x:v>
      </x:c>
      <x:c r="J51" s="80" t="str">
        <x:v>none</x:v>
      </x:c>
      <x:c r="K51" s="89" t="b">
        <x:v>1</x:v>
      </x:c>
      <x:c r="L51" s="80" t="str">
        <x:v>assumed</x:v>
      </x:c>
      <x:c r="M51" s="84" t="str">
        <x:v>E</x:v>
      </x:c>
      <x:c r="N51" s="80"/>
      <x:c r="O51" s="86" t="str">
        <x:v>Structural placeholder; replace with measured or sourced data.</x:v>
      </x:c>
      <x:c r="P51" s="86"/>
      <x:c r="Q51" s="86" t="str">
        <x:v>assumed</x:v>
      </x:c>
      <x:c r="R51" s="110" t="n">
        <x:v>100</x:v>
      </x:c>
      <x:c r="S51" s="89" t="b">
        <x:v>1</x:v>
      </x:c>
      <x:c r="T51" s="80" t="n">
        <x:v>4</x:v>
      </x:c>
    </x:row>
    <x:row r="52" ht="30" customHeight="1">
      <x:c r="A52" s="80" t="str">
        <x:v>cake_washing</x:v>
      </x:c>
      <x:c r="B52" s="80" t="str">
        <x:v>Residual-sugar removal</x:v>
      </x:c>
      <x:c r="C52" s="80" t="str">
        <x:v>residual_sugar_removal_fraction</x:v>
      </x:c>
      <x:c r="D52" s="95" t="n">
        <x:v>0.6</x:v>
      </x:c>
      <x:c r="E52" s="80" t="str">
        <x:v>fraction removed</x:v>
      </x:c>
      <x:c r="F52" s="80" t="str">
        <x:v>All</x:v>
      </x:c>
      <x:c r="G52" s="80" t="str">
        <x:v>All</x:v>
      </x:c>
      <x:c r="H52" s="108" t="n">
        <x:v>0</x:v>
      </x:c>
      <x:c r="I52" s="108" t="n">
        <x:v>1</x:v>
      </x:c>
      <x:c r="J52" s="80" t="str">
        <x:v>none</x:v>
      </x:c>
      <x:c r="K52" s="89" t="b">
        <x:v>1</x:v>
      </x:c>
      <x:c r="L52" s="80" t="str">
        <x:v>assumed</x:v>
      </x:c>
      <x:c r="M52" s="84" t="str">
        <x:v>E</x:v>
      </x:c>
      <x:c r="N52" s="80"/>
      <x:c r="O52" s="86" t="str">
        <x:v>Structural placeholder; replace with measured or sourced data.</x:v>
      </x:c>
      <x:c r="P52" s="86"/>
      <x:c r="Q52" s="86" t="str">
        <x:v>assumed</x:v>
      </x:c>
      <x:c r="R52" s="110" t="n">
        <x:v>100</x:v>
      </x:c>
      <x:c r="S52" s="89" t="b">
        <x:v>1</x:v>
      </x:c>
      <x:c r="T52" s="80" t="n">
        <x:v>4</x:v>
      </x:c>
    </x:row>
    <x:row r="53" ht="30" customHeight="1">
      <x:c r="A53" s="80" t="str">
        <x:v>cake_washing</x:v>
      </x:c>
      <x:c r="B53" s="80" t="str">
        <x:v>Residual-acid removal</x:v>
      </x:c>
      <x:c r="C53" s="80" t="str">
        <x:v>residual_acid_removal_fraction</x:v>
      </x:c>
      <x:c r="D53" s="95" t="n">
        <x:v>0.8</x:v>
      </x:c>
      <x:c r="E53" s="80" t="str">
        <x:v>fraction removed</x:v>
      </x:c>
      <x:c r="F53" s="80" t="str">
        <x:v>All</x:v>
      </x:c>
      <x:c r="G53" s="80" t="str">
        <x:v>All</x:v>
      </x:c>
      <x:c r="H53" s="108" t="n">
        <x:v>0</x:v>
      </x:c>
      <x:c r="I53" s="108" t="n">
        <x:v>1</x:v>
      </x:c>
      <x:c r="J53" s="80" t="str">
        <x:v>none</x:v>
      </x:c>
      <x:c r="K53" s="89" t="b">
        <x:v>1</x:v>
      </x:c>
      <x:c r="L53" s="80" t="str">
        <x:v>assumed</x:v>
      </x:c>
      <x:c r="M53" s="84" t="str">
        <x:v>E</x:v>
      </x:c>
      <x:c r="N53" s="80"/>
      <x:c r="O53" s="86" t="str">
        <x:v>Structural placeholder; replace with measured or sourced data.</x:v>
      </x:c>
      <x:c r="P53" s="86"/>
      <x:c r="Q53" s="86" t="str">
        <x:v>assumed</x:v>
      </x:c>
      <x:c r="R53" s="110" t="n">
        <x:v>100</x:v>
      </x:c>
      <x:c r="S53" s="89" t="b">
        <x:v>1</x:v>
      </x:c>
      <x:c r="T53" s="80" t="n">
        <x:v>4</x:v>
      </x:c>
    </x:row>
    <x:row r="54" ht="30" customHeight="1">
      <x:c r="A54" s="80" t="str">
        <x:v>cake_washing</x:v>
      </x:c>
      <x:c r="B54" s="80" t="str">
        <x:v>Soluble-COD removal</x:v>
      </x:c>
      <x:c r="C54" s="80" t="str">
        <x:v>soluble_cod_removal_fraction</x:v>
      </x:c>
      <x:c r="D54" s="95" t="n">
        <x:v>0.5</x:v>
      </x:c>
      <x:c r="E54" s="80" t="str">
        <x:v>fraction removed</x:v>
      </x:c>
      <x:c r="F54" s="80" t="str">
        <x:v>All</x:v>
      </x:c>
      <x:c r="G54" s="80" t="str">
        <x:v>All</x:v>
      </x:c>
      <x:c r="H54" s="108" t="n">
        <x:v>0</x:v>
      </x:c>
      <x:c r="I54" s="108" t="n">
        <x:v>1</x:v>
      </x:c>
      <x:c r="J54" s="80" t="str">
        <x:v>none</x:v>
      </x:c>
      <x:c r="K54" s="89" t="b">
        <x:v>1</x:v>
      </x:c>
      <x:c r="L54" s="80" t="str">
        <x:v>assumed</x:v>
      </x:c>
      <x:c r="M54" s="84" t="str">
        <x:v>E</x:v>
      </x:c>
      <x:c r="N54" s="80"/>
      <x:c r="O54" s="86" t="str">
        <x:v>Structural placeholder; replace with measured or sourced data.</x:v>
      </x:c>
      <x:c r="P54" s="86"/>
      <x:c r="Q54" s="86" t="str">
        <x:v>assumed</x:v>
      </x:c>
      <x:c r="R54" s="110" t="n">
        <x:v>100</x:v>
      </x:c>
      <x:c r="S54" s="89" t="b">
        <x:v>1</x:v>
      </x:c>
      <x:c r="T54" s="80" t="n">
        <x:v>4</x:v>
      </x:c>
    </x:row>
    <x:row r="55" ht="30" customHeight="1">
      <x:c r="A55" s="80" t="str">
        <x:v>cake_washing</x:v>
      </x:c>
      <x:c r="B55" s="80" t="str">
        <x:v>Protein wash loss</x:v>
      </x:c>
      <x:c r="C55" s="80" t="str">
        <x:v>protein_wash_loss_fraction</x:v>
      </x:c>
      <x:c r="D55" s="95" t="n">
        <x:v>0.02</x:v>
      </x:c>
      <x:c r="E55" s="80" t="str">
        <x:v>fraction removed</x:v>
      </x:c>
      <x:c r="F55" s="80" t="str">
        <x:v>All</x:v>
      </x:c>
      <x:c r="G55" s="80" t="str">
        <x:v>All</x:v>
      </x:c>
      <x:c r="H55" s="108" t="n">
        <x:v>0</x:v>
      </x:c>
      <x:c r="I55" s="108" t="n">
        <x:v>1</x:v>
      </x:c>
      <x:c r="J55" s="80" t="str">
        <x:v>none</x:v>
      </x:c>
      <x:c r="K55" s="89" t="b">
        <x:v>1</x:v>
      </x:c>
      <x:c r="L55" s="80" t="str">
        <x:v>assumed</x:v>
      </x:c>
      <x:c r="M55" s="84" t="str">
        <x:v>E</x:v>
      </x:c>
      <x:c r="N55" s="80"/>
      <x:c r="O55" s="86" t="str">
        <x:v>Structural placeholder; replace with measured or sourced data.</x:v>
      </x:c>
      <x:c r="P55" s="86"/>
      <x:c r="Q55" s="86" t="str">
        <x:v>assumed</x:v>
      </x:c>
      <x:c r="R55" s="110" t="n">
        <x:v>100</x:v>
      </x:c>
      <x:c r="S55" s="89" t="b">
        <x:v>1</x:v>
      </x:c>
      <x:c r="T55" s="80" t="n">
        <x:v>4</x:v>
      </x:c>
    </x:row>
    <x:row r="56" ht="30" customHeight="1">
      <x:c r="A56" s="80" t="str">
        <x:v>cake_washing</x:v>
      </x:c>
      <x:c r="B56" s="80" t="str">
        <x:v>Wash stage count</x:v>
      </x:c>
      <x:c r="C56" s="80" t="str">
        <x:v>wash_stage_count</x:v>
      </x:c>
      <x:c r="D56" s="95" t="n">
        <x:v>1</x:v>
      </x:c>
      <x:c r="E56" s="80" t="str">
        <x:v>count</x:v>
      </x:c>
      <x:c r="F56" s="80" t="str">
        <x:v>All</x:v>
      </x:c>
      <x:c r="G56" s="80" t="str">
        <x:v>All</x:v>
      </x:c>
      <x:c r="H56" s="108" t="n">
        <x:v>1</x:v>
      </x:c>
      <x:c r="I56" s="108" t="n">
        <x:v>1</x:v>
      </x:c>
      <x:c r="J56" s="80" t="str">
        <x:v>none</x:v>
      </x:c>
      <x:c r="K56" s="89" t="b">
        <x:v>1</x:v>
      </x:c>
      <x:c r="L56" s="80" t="str">
        <x:v>assumed</x:v>
      </x:c>
      <x:c r="M56" s="84" t="str">
        <x:v>E</x:v>
      </x:c>
      <x:c r="N56" s="80"/>
      <x:c r="O56" s="86" t="str">
        <x:v>Structural placeholder; replace with measured or sourced data.</x:v>
      </x:c>
      <x:c r="P56" s="86"/>
      <x:c r="Q56" s="86" t="str">
        <x:v>assumed</x:v>
      </x:c>
      <x:c r="R56" s="110" t="n">
        <x:v>100</x:v>
      </x:c>
      <x:c r="S56" s="89" t="b">
        <x:v>1</x:v>
      </x:c>
      <x:c r="T56" s="80" t="n">
        <x:v>4</x:v>
      </x:c>
    </x:row>
    <x:row r="57" ht="30" customHeight="1">
      <x:c r="A57" s="80" t="str">
        <x:v>cake_washing</x:v>
      </x:c>
      <x:c r="B57" s="80" t="str">
        <x:v>Washed-cake moisture</x:v>
      </x:c>
      <x:c r="C57" s="80" t="str">
        <x:v>washed_cake_moisture_fraction</x:v>
      </x:c>
      <x:c r="D57" s="95" t="n">
        <x:v>0.75</x:v>
      </x:c>
      <x:c r="E57" s="80" t="str">
        <x:v>fraction wet basis</x:v>
      </x:c>
      <x:c r="F57" s="80" t="str">
        <x:v>All</x:v>
      </x:c>
      <x:c r="G57" s="80" t="str">
        <x:v>All</x:v>
      </x:c>
      <x:c r="H57" s="108" t="n">
        <x:v>0</x:v>
      </x:c>
      <x:c r="I57" s="108" t="n">
        <x:v>0.999999</x:v>
      </x:c>
      <x:c r="J57" s="80" t="str">
        <x:v>none</x:v>
      </x:c>
      <x:c r="K57" s="89" t="b">
        <x:v>1</x:v>
      </x:c>
      <x:c r="L57" s="80" t="str">
        <x:v>assumed</x:v>
      </x:c>
      <x:c r="M57" s="84" t="str">
        <x:v>E</x:v>
      </x:c>
      <x:c r="N57" s="80"/>
      <x:c r="O57" s="86" t="str">
        <x:v>Structural placeholder; replace with measured or sourced data.</x:v>
      </x:c>
      <x:c r="P57" s="86"/>
      <x:c r="Q57" s="86" t="str">
        <x:v>assumed</x:v>
      </x:c>
      <x:c r="R57" s="110" t="n">
        <x:v>100</x:v>
      </x:c>
      <x:c r="S57" s="89" t="b">
        <x:v>1</x:v>
      </x:c>
      <x:c r="T57" s="80" t="n">
        <x:v>4</x:v>
      </x:c>
    </x:row>
    <x:row r="58" ht="30" customHeight="1">
      <x:c r="A58" s="80" t="str">
        <x:v>dewatering</x:v>
      </x:c>
      <x:c r="B58" s="80" t="str">
        <x:v>Target dryer-feed solids</x:v>
      </x:c>
      <x:c r="C58" s="80" t="str">
        <x:v>target_dryer_feed_solids_fraction</x:v>
      </x:c>
      <x:c r="D58" s="95" t="n">
        <x:v>0.35</x:v>
      </x:c>
      <x:c r="E58" s="80" t="str">
        <x:v>fraction wet basis</x:v>
      </x:c>
      <x:c r="F58" s="80" t="str">
        <x:v>All</x:v>
      </x:c>
      <x:c r="G58" s="80" t="str">
        <x:v>All</x:v>
      </x:c>
      <x:c r="H58" s="108" t="n">
        <x:v>0.000001</x:v>
      </x:c>
      <x:c r="I58" s="108" t="n">
        <x:v>0.999999</x:v>
      </x:c>
      <x:c r="J58" s="80" t="str">
        <x:v>none</x:v>
      </x:c>
      <x:c r="K58" s="89" t="b">
        <x:v>1</x:v>
      </x:c>
      <x:c r="L58" s="80" t="str">
        <x:v>assumed</x:v>
      </x:c>
      <x:c r="M58" s="84" t="str">
        <x:v>E</x:v>
      </x:c>
      <x:c r="N58" s="80"/>
      <x:c r="O58" s="86" t="str">
        <x:v>Structural placeholder; replace with measured or sourced data.</x:v>
      </x:c>
      <x:c r="P58" s="86"/>
      <x:c r="Q58" s="86" t="str">
        <x:v>assumed</x:v>
      </x:c>
      <x:c r="R58" s="110" t="n">
        <x:v>100</x:v>
      </x:c>
      <x:c r="S58" s="89" t="b">
        <x:v>1</x:v>
      </x:c>
      <x:c r="T58" s="80" t="n">
        <x:v>4</x:v>
      </x:c>
    </x:row>
    <x:row r="59" ht="30" customHeight="1">
      <x:c r="A59" s="80" t="str">
        <x:v>dewatering</x:v>
      </x:c>
      <x:c r="B59" s="80" t="str">
        <x:v>Protein capture</x:v>
      </x:c>
      <x:c r="C59" s="80" t="str">
        <x:v>dewatering_protein_capture_fraction</x:v>
      </x:c>
      <x:c r="D59" s="95" t="n">
        <x:v>0.995</x:v>
      </x:c>
      <x:c r="E59" s="80" t="str">
        <x:v>fraction to cake</x:v>
      </x:c>
      <x:c r="F59" s="80" t="str">
        <x:v>All</x:v>
      </x:c>
      <x:c r="G59" s="80" t="str">
        <x:v>All</x:v>
      </x:c>
      <x:c r="H59" s="108" t="n">
        <x:v>0</x:v>
      </x:c>
      <x:c r="I59" s="108" t="n">
        <x:v>1</x:v>
      </x:c>
      <x:c r="J59" s="80" t="str">
        <x:v>none</x:v>
      </x:c>
      <x:c r="K59" s="89" t="b">
        <x:v>1</x:v>
      </x:c>
      <x:c r="L59" s="80" t="str">
        <x:v>assumed</x:v>
      </x:c>
      <x:c r="M59" s="84" t="str">
        <x:v>E</x:v>
      </x:c>
      <x:c r="N59" s="80"/>
      <x:c r="O59" s="86" t="str">
        <x:v>Structural placeholder; replace with measured or sourced data.</x:v>
      </x:c>
      <x:c r="P59" s="86"/>
      <x:c r="Q59" s="86" t="str">
        <x:v>assumed</x:v>
      </x:c>
      <x:c r="R59" s="110" t="n">
        <x:v>100</x:v>
      </x:c>
      <x:c r="S59" s="89" t="b">
        <x:v>1</x:v>
      </x:c>
      <x:c r="T59" s="80" t="n">
        <x:v>4</x:v>
      </x:c>
    </x:row>
    <x:row r="60" ht="30" customHeight="1">
      <x:c r="A60" s="80" t="str">
        <x:v>dewatering</x:v>
      </x:c>
      <x:c r="B60" s="80" t="str">
        <x:v>Dewatering electricity</x:v>
      </x:c>
      <x:c r="C60" s="80" t="str">
        <x:v>dewatering_electricity_kwh_per_t_wet</x:v>
      </x:c>
      <x:c r="D60" s="95" t="n">
        <x:v>5</x:v>
      </x:c>
      <x:c r="E60" s="80" t="str">
        <x:v>kWh/t wet cake</x:v>
      </x:c>
      <x:c r="F60" s="80" t="str">
        <x:v>All</x:v>
      </x:c>
      <x:c r="G60" s="80" t="str">
        <x:v>All</x:v>
      </x:c>
      <x:c r="H60" s="108" t="n">
        <x:v>0</x:v>
      </x:c>
      <x:c r="I60" s="108"/>
      <x:c r="J60" s="80" t="str">
        <x:v>none</x:v>
      </x:c>
      <x:c r="K60" s="89" t="b">
        <x:v>1</x:v>
      </x:c>
      <x:c r="L60" s="80" t="str">
        <x:v>assumed</x:v>
      </x:c>
      <x:c r="M60" s="84" t="str">
        <x:v>E</x:v>
      </x:c>
      <x:c r="N60" s="80"/>
      <x:c r="O60" s="86" t="str">
        <x:v>Structural placeholder; replace with measured or sourced data.</x:v>
      </x:c>
      <x:c r="P60" s="86"/>
      <x:c r="Q60" s="86" t="str">
        <x:v>assumed</x:v>
      </x:c>
      <x:c r="R60" s="110" t="n">
        <x:v>100</x:v>
      </x:c>
      <x:c r="S60" s="89" t="b">
        <x:v>1</x:v>
      </x:c>
      <x:c r="T60" s="80" t="n">
        <x:v>4</x:v>
      </x:c>
    </x:row>
    <x:row r="61" ht="30" customHeight="1">
      <x:c r="A61" s="80" t="str">
        <x:v>dewatering</x:v>
      </x:c>
      <x:c r="B61" s="80" t="str">
        <x:v>Dewatering capacity</x:v>
      </x:c>
      <x:c r="C61" s="80" t="str">
        <x:v>dewatering_capacity_kg_hr</x:v>
      </x:c>
      <x:c r="D61" s="95"/>
      <x:c r="E61" s="80" t="str">
        <x:v>kg wet cake/hr per train</x:v>
      </x:c>
      <x:c r="F61" s="80" t="str">
        <x:v>All</x:v>
      </x:c>
      <x:c r="G61" s="80" t="str">
        <x:v>All</x:v>
      </x:c>
      <x:c r="H61" s="108" t="n">
        <x:v>0.000001</x:v>
      </x:c>
      <x:c r="I61" s="108"/>
      <x:c r="J61" s="80" t="str">
        <x:v>none</x:v>
      </x:c>
      <x:c r="K61" s="89" t="b">
        <x:v>0</x:v>
      </x:c>
      <x:c r="L61" s="80" t="str">
        <x:v>assumed</x:v>
      </x:c>
      <x:c r="M61" s="84" t="str">
        <x:v>E</x:v>
      </x:c>
      <x:c r="N61" s="80"/>
      <x:c r="O61" s="86" t="str">
        <x:v>Leave blank until vendor data are available.</x:v>
      </x:c>
      <x:c r="P61" s="86"/>
      <x:c r="Q61" s="86" t="str">
        <x:v>assumed</x:v>
      </x:c>
      <x:c r="R61" s="110" t="n">
        <x:v>100</x:v>
      </x:c>
      <x:c r="S61" s="89" t="b">
        <x:v>1</x:v>
      </x:c>
      <x:c r="T61" s="80" t="n">
        <x:v>4</x:v>
      </x:c>
    </x:row>
    <x:row r="62" ht="30" customHeight="1">
      <x:c r="A62" s="80" t="str">
        <x:v>drying</x:v>
      </x:c>
      <x:c r="B62" s="80" t="str">
        <x:v>Dryer type</x:v>
      </x:c>
      <x:c r="C62" s="80" t="str">
        <x:v>dryer_type</x:v>
      </x:c>
      <x:c r="D62" s="95" t="str">
        <x:v>low_temperature_belt_dryer</x:v>
      </x:c>
      <x:c r="E62" s="80" t="str">
        <x:v>text</x:v>
      </x:c>
      <x:c r="F62" s="80" t="str">
        <x:v>All</x:v>
      </x:c>
      <x:c r="G62" s="80" t="str">
        <x:v>All</x:v>
      </x:c>
      <x:c r="H62" s="108"/>
      <x:c r="I62" s="108"/>
      <x:c r="J62" s="80" t="str">
        <x:v>none</x:v>
      </x:c>
      <x:c r="K62" s="89" t="b">
        <x:v>1</x:v>
      </x:c>
      <x:c r="L62" s="80" t="str">
        <x:v>assumed</x:v>
      </x:c>
      <x:c r="M62" s="84" t="str">
        <x:v>E</x:v>
      </x:c>
      <x:c r="N62" s="80"/>
      <x:c r="O62" s="86" t="str">
        <x:v>Structural selection for dewatered heat-sensitive cake; vendor confirmation required.</x:v>
      </x:c>
      <x:c r="P62" s="86"/>
      <x:c r="Q62" s="86" t="str">
        <x:v>assumed</x:v>
      </x:c>
      <x:c r="R62" s="110" t="n">
        <x:v>100</x:v>
      </x:c>
      <x:c r="S62" s="89" t="b">
        <x:v>1</x:v>
      </x:c>
      <x:c r="T62" s="80" t="n">
        <x:v>4</x:v>
      </x:c>
    </x:row>
    <x:row r="63" ht="30" customHeight="1">
      <x:c r="A63" s="80" t="str">
        <x:v>drying</x:v>
      </x:c>
      <x:c r="B63" s="80" t="str">
        <x:v>Target product moisture</x:v>
      </x:c>
      <x:c r="C63" s="80" t="str">
        <x:v>target_product_moisture_fraction</x:v>
      </x:c>
      <x:c r="D63" s="95" t="n">
        <x:v>0.08</x:v>
      </x:c>
      <x:c r="E63" s="80" t="str">
        <x:v>fraction wet basis</x:v>
      </x:c>
      <x:c r="F63" s="80" t="str">
        <x:v>All</x:v>
      </x:c>
      <x:c r="G63" s="80" t="str">
        <x:v>All</x:v>
      </x:c>
      <x:c r="H63" s="108" t="n">
        <x:v>0</x:v>
      </x:c>
      <x:c r="I63" s="108" t="n">
        <x:v>0.999999</x:v>
      </x:c>
      <x:c r="J63" s="80" t="str">
        <x:v>none</x:v>
      </x:c>
      <x:c r="K63" s="89" t="b">
        <x:v>1</x:v>
      </x:c>
      <x:c r="L63" s="80" t="str">
        <x:v>assumed</x:v>
      </x:c>
      <x:c r="M63" s="84" t="str">
        <x:v>E</x:v>
      </x:c>
      <x:c r="N63" s="80"/>
      <x:c r="O63" s="86" t="str">
        <x:v>Structural placeholder; replace with measured or sourced data.</x:v>
      </x:c>
      <x:c r="P63" s="86"/>
      <x:c r="Q63" s="86" t="str">
        <x:v>assumed</x:v>
      </x:c>
      <x:c r="R63" s="110" t="n">
        <x:v>100</x:v>
      </x:c>
      <x:c r="S63" s="89" t="b">
        <x:v>1</x:v>
      </x:c>
      <x:c r="T63" s="80" t="n">
        <x:v>4</x:v>
      </x:c>
    </x:row>
    <x:row r="64" ht="30" customHeight="1">
      <x:c r="A64" s="80" t="str">
        <x:v>drying</x:v>
      </x:c>
      <x:c r="B64" s="80" t="str">
        <x:v>Dryer temperature</x:v>
      </x:c>
      <x:c r="C64" s="80" t="str">
        <x:v>dryer_temperature_C</x:v>
      </x:c>
      <x:c r="D64" s="95" t="n">
        <x:v>70</x:v>
      </x:c>
      <x:c r="E64" s="80" t="str">
        <x:v>degC</x:v>
      </x:c>
      <x:c r="F64" s="80" t="str">
        <x:v>All</x:v>
      </x:c>
      <x:c r="G64" s="80" t="str">
        <x:v>All</x:v>
      </x:c>
      <x:c r="H64" s="108" t="n">
        <x:v>-5</x:v>
      </x:c>
      <x:c r="I64" s="108" t="n">
        <x:v>200</x:v>
      </x:c>
      <x:c r="J64" s="80" t="str">
        <x:v>none</x:v>
      </x:c>
      <x:c r="K64" s="89" t="b">
        <x:v>1</x:v>
      </x:c>
      <x:c r="L64" s="80" t="str">
        <x:v>assumed</x:v>
      </x:c>
      <x:c r="M64" s="84" t="str">
        <x:v>E</x:v>
      </x:c>
      <x:c r="N64" s="80"/>
      <x:c r="O64" s="86" t="str">
        <x:v>Structural placeholder; replace with measured or sourced data.</x:v>
      </x:c>
      <x:c r="P64" s="86"/>
      <x:c r="Q64" s="86" t="str">
        <x:v>assumed</x:v>
      </x:c>
      <x:c r="R64" s="110" t="n">
        <x:v>100</x:v>
      </x:c>
      <x:c r="S64" s="89" t="b">
        <x:v>1</x:v>
      </x:c>
      <x:c r="T64" s="80" t="n">
        <x:v>4</x:v>
      </x:c>
    </x:row>
    <x:row r="65" ht="30" customHeight="1">
      <x:c r="A65" s="80" t="str">
        <x:v>drying</x:v>
      </x:c>
      <x:c r="B65" s="80" t="str">
        <x:v>Product outlet temperature</x:v>
      </x:c>
      <x:c r="C65" s="80" t="str">
        <x:v>product_outlet_temperature_C</x:v>
      </x:c>
      <x:c r="D65" s="95" t="n">
        <x:v>55</x:v>
      </x:c>
      <x:c r="E65" s="80" t="str">
        <x:v>degC</x:v>
      </x:c>
      <x:c r="F65" s="80" t="str">
        <x:v>All</x:v>
      </x:c>
      <x:c r="G65" s="80" t="str">
        <x:v>All</x:v>
      </x:c>
      <x:c r="H65" s="108" t="n">
        <x:v>-5</x:v>
      </x:c>
      <x:c r="I65" s="108" t="n">
        <x:v>200</x:v>
      </x:c>
      <x:c r="J65" s="80" t="str">
        <x:v>none</x:v>
      </x:c>
      <x:c r="K65" s="89" t="b">
        <x:v>1</x:v>
      </x:c>
      <x:c r="L65" s="80" t="str">
        <x:v>assumed</x:v>
      </x:c>
      <x:c r="M65" s="84" t="str">
        <x:v>E</x:v>
      </x:c>
      <x:c r="N65" s="80"/>
      <x:c r="O65" s="86" t="str">
        <x:v>Structural placeholder; replace with measured or sourced data.</x:v>
      </x:c>
      <x:c r="P65" s="86"/>
      <x:c r="Q65" s="86" t="str">
        <x:v>assumed</x:v>
      </x:c>
      <x:c r="R65" s="110" t="n">
        <x:v>100</x:v>
      </x:c>
      <x:c r="S65" s="89" t="b">
        <x:v>1</x:v>
      </x:c>
      <x:c r="T65" s="80" t="n">
        <x:v>4</x:v>
      </x:c>
    </x:row>
    <x:row r="66" ht="30" customHeight="1">
      <x:c r="A66" s="80" t="str">
        <x:v>drying</x:v>
      </x:c>
      <x:c r="B66" s="80" t="str">
        <x:v>Energy calculation method</x:v>
      </x:c>
      <x:c r="C66" s="80" t="str">
        <x:v>dryer_energy_method</x:v>
      </x:c>
      <x:c r="D66" s="95" t="str">
        <x:v>thermodynamic</x:v>
      </x:c>
      <x:c r="E66" s="80" t="str">
        <x:v>text</x:v>
      </x:c>
      <x:c r="F66" s="80" t="str">
        <x:v>All</x:v>
      </x:c>
      <x:c r="G66" s="80" t="str">
        <x:v>All</x:v>
      </x:c>
      <x:c r="H66" s="108"/>
      <x:c r="I66" s="108"/>
      <x:c r="J66" s="80" t="str">
        <x:v>none</x:v>
      </x:c>
      <x:c r="K66" s="89" t="b">
        <x:v>1</x:v>
      </x:c>
      <x:c r="L66" s="80" t="str">
        <x:v>assumed</x:v>
      </x:c>
      <x:c r="M66" s="84" t="str">
        <x:v>E</x:v>
      </x:c>
      <x:c r="N66" s="80"/>
      <x:c r="O66" s="86" t="str">
        <x:v>Structural placeholder; replace with measured or sourced data.</x:v>
      </x:c>
      <x:c r="P66" s="86" t="str">
        <x:v>selected method only</x:v>
      </x:c>
      <x:c r="Q66" s="86" t="str">
        <x:v>assumed</x:v>
      </x:c>
      <x:c r="R66" s="110" t="n">
        <x:v>100</x:v>
      </x:c>
      <x:c r="S66" s="89" t="b">
        <x:v>1</x:v>
      </x:c>
      <x:c r="T66" s="80" t="n">
        <x:v>4</x:v>
      </x:c>
    </x:row>
    <x:row r="67" ht="30" customHeight="1">
      <x:c r="A67" s="80" t="str">
        <x:v>drying</x:v>
      </x:c>
      <x:c r="B67" s="80" t="str">
        <x:v>Thermal efficiency</x:v>
      </x:c>
      <x:c r="C67" s="80" t="str">
        <x:v>dryer_thermal_efficiency</x:v>
      </x:c>
      <x:c r="D67" s="95" t="n">
        <x:v>0.65</x:v>
      </x:c>
      <x:c r="E67" s="80" t="str">
        <x:v>fraction</x:v>
      </x:c>
      <x:c r="F67" s="80" t="str">
        <x:v>All</x:v>
      </x:c>
      <x:c r="G67" s="80" t="str">
        <x:v>All</x:v>
      </x:c>
      <x:c r="H67" s="108" t="n">
        <x:v>0.000001</x:v>
      </x:c>
      <x:c r="I67" s="108" t="n">
        <x:v>1</x:v>
      </x:c>
      <x:c r="J67" s="80" t="str">
        <x:v>none</x:v>
      </x:c>
      <x:c r="K67" s="89" t="b">
        <x:v>1</x:v>
      </x:c>
      <x:c r="L67" s="80" t="str">
        <x:v>assumed</x:v>
      </x:c>
      <x:c r="M67" s="84" t="str">
        <x:v>E</x:v>
      </x:c>
      <x:c r="N67" s="80"/>
      <x:c r="O67" s="86" t="str">
        <x:v>Structural placeholder; replace with measured or sourced data.</x:v>
      </x:c>
      <x:c r="P67" s="86"/>
      <x:c r="Q67" s="86" t="str">
        <x:v>assumed</x:v>
      </x:c>
      <x:c r="R67" s="110" t="n">
        <x:v>100</x:v>
      </x:c>
      <x:c r="S67" s="89" t="b">
        <x:v>1</x:v>
      </x:c>
      <x:c r="T67" s="80" t="n">
        <x:v>4</x:v>
      </x:c>
    </x:row>
    <x:row r="68" ht="30" customHeight="1">
      <x:c r="A68" s="80" t="str">
        <x:v>drying</x:v>
      </x:c>
      <x:c r="B68" s="80" t="str">
        <x:v>Heat-loss fraction</x:v>
      </x:c>
      <x:c r="C68" s="80" t="str">
        <x:v>dryer_heat_loss_fraction</x:v>
      </x:c>
      <x:c r="D68" s="95" t="n">
        <x:v>0.1</x:v>
      </x:c>
      <x:c r="E68" s="80" t="str">
        <x:v>fraction</x:v>
      </x:c>
      <x:c r="F68" s="80" t="str">
        <x:v>All</x:v>
      </x:c>
      <x:c r="G68" s="80" t="str">
        <x:v>All</x:v>
      </x:c>
      <x:c r="H68" s="108" t="n">
        <x:v>0</x:v>
      </x:c>
      <x:c r="I68" s="108" t="n">
        <x:v>0.999999</x:v>
      </x:c>
      <x:c r="J68" s="80" t="str">
        <x:v>none</x:v>
      </x:c>
      <x:c r="K68" s="89" t="b">
        <x:v>1</x:v>
      </x:c>
      <x:c r="L68" s="80" t="str">
        <x:v>assumed</x:v>
      </x:c>
      <x:c r="M68" s="84" t="str">
        <x:v>E</x:v>
      </x:c>
      <x:c r="N68" s="80"/>
      <x:c r="O68" s="86" t="str">
        <x:v>Structural placeholder; replace with measured or sourced data.</x:v>
      </x:c>
      <x:c r="P68" s="86"/>
      <x:c r="Q68" s="86" t="str">
        <x:v>assumed</x:v>
      </x:c>
      <x:c r="R68" s="110" t="n">
        <x:v>100</x:v>
      </x:c>
      <x:c r="S68" s="89" t="b">
        <x:v>1</x:v>
      </x:c>
      <x:c r="T68" s="80" t="n">
        <x:v>4</x:v>
      </x:c>
    </x:row>
    <x:row r="69" ht="30" customHeight="1">
      <x:c r="A69" s="80" t="str">
        <x:v>drying</x:v>
      </x:c>
      <x:c r="B69" s="80" t="str">
        <x:v>Empirical specific heat demand</x:v>
      </x:c>
      <x:c r="C69" s="80" t="str">
        <x:v>specific_heat_demand_kj_per_kg_water</x:v>
      </x:c>
      <x:c r="D69" s="95"/>
      <x:c r="E69" s="80" t="str">
        <x:v>kJ/kg water evaporated</x:v>
      </x:c>
      <x:c r="F69" s="80" t="str">
        <x:v>All</x:v>
      </x:c>
      <x:c r="G69" s="80" t="str">
        <x:v>All</x:v>
      </x:c>
      <x:c r="H69" s="108" t="n">
        <x:v>0</x:v>
      </x:c>
      <x:c r="I69" s="108"/>
      <x:c r="J69" s="80" t="str">
        <x:v>none</x:v>
      </x:c>
      <x:c r="K69" s="89" t="b">
        <x:v>0</x:v>
      </x:c>
      <x:c r="L69" s="80" t="str">
        <x:v>assumed</x:v>
      </x:c>
      <x:c r="M69" s="84" t="str">
        <x:v>E</x:v>
      </x:c>
      <x:c r="N69" s="80"/>
      <x:c r="O69" s="86" t="str">
        <x:v>Blank because thermodynamic mode is selected; do not combine both methods.</x:v>
      </x:c>
      <x:c r="P69" s="86"/>
      <x:c r="Q69" s="86" t="str">
        <x:v>assumed</x:v>
      </x:c>
      <x:c r="R69" s="110" t="n">
        <x:v>100</x:v>
      </x:c>
      <x:c r="S69" s="89" t="b">
        <x:v>1</x:v>
      </x:c>
      <x:c r="T69" s="80" t="n">
        <x:v>4</x:v>
      </x:c>
    </x:row>
    <x:row r="70" ht="30" customHeight="1">
      <x:c r="A70" s="80" t="str">
        <x:v>drying</x:v>
      </x:c>
      <x:c r="B70" s="80" t="str">
        <x:v>Dryer electricity</x:v>
      </x:c>
      <x:c r="C70" s="80" t="str">
        <x:v>dryer_electricity_kwh_per_kg_water_evaporated</x:v>
      </x:c>
      <x:c r="D70" s="95" t="n">
        <x:v>0.15</x:v>
      </x:c>
      <x:c r="E70" s="80" t="str">
        <x:v>kWh/kg water evaporated</x:v>
      </x:c>
      <x:c r="F70" s="80" t="str">
        <x:v>All</x:v>
      </x:c>
      <x:c r="G70" s="80" t="str">
        <x:v>All</x:v>
      </x:c>
      <x:c r="H70" s="108" t="n">
        <x:v>0</x:v>
      </x:c>
      <x:c r="I70" s="108"/>
      <x:c r="J70" s="80" t="str">
        <x:v>none</x:v>
      </x:c>
      <x:c r="K70" s="89" t="b">
        <x:v>1</x:v>
      </x:c>
      <x:c r="L70" s="80" t="str">
        <x:v>assumed</x:v>
      </x:c>
      <x:c r="M70" s="84" t="str">
        <x:v>E</x:v>
      </x:c>
      <x:c r="N70" s="80"/>
      <x:c r="O70" s="86" t="str">
        <x:v>Structural placeholder; replace with measured or sourced data.</x:v>
      </x:c>
      <x:c r="P70" s="86"/>
      <x:c r="Q70" s="86" t="str">
        <x:v>assumed</x:v>
      </x:c>
      <x:c r="R70" s="110" t="n">
        <x:v>100</x:v>
      </x:c>
      <x:c r="S70" s="89" t="b">
        <x:v>1</x:v>
      </x:c>
      <x:c r="T70" s="80" t="n">
        <x:v>4</x:v>
      </x:c>
    </x:row>
    <x:row r="71" ht="30" customHeight="1">
      <x:c r="A71" s="80" t="str">
        <x:v>drying</x:v>
      </x:c>
      <x:c r="B71" s="80" t="str">
        <x:v>Dry dust loss</x:v>
      </x:c>
      <x:c r="C71" s="80" t="str">
        <x:v>dryer_dust_loss_fraction</x:v>
      </x:c>
      <x:c r="D71" s="95" t="n">
        <x:v>0.005</x:v>
      </x:c>
      <x:c r="E71" s="80" t="str">
        <x:v>fraction dry matter to exhaust</x:v>
      </x:c>
      <x:c r="F71" s="80" t="str">
        <x:v>All</x:v>
      </x:c>
      <x:c r="G71" s="80" t="str">
        <x:v>All</x:v>
      </x:c>
      <x:c r="H71" s="108" t="n">
        <x:v>0</x:v>
      </x:c>
      <x:c r="I71" s="108" t="n">
        <x:v>1</x:v>
      </x:c>
      <x:c r="J71" s="80" t="str">
        <x:v>none</x:v>
      </x:c>
      <x:c r="K71" s="89" t="b">
        <x:v>1</x:v>
      </x:c>
      <x:c r="L71" s="80" t="str">
        <x:v>assumed</x:v>
      </x:c>
      <x:c r="M71" s="84" t="str">
        <x:v>E</x:v>
      </x:c>
      <x:c r="N71" s="80"/>
      <x:c r="O71" s="86" t="str">
        <x:v>Structural placeholder; replace with measured or sourced data.</x:v>
      </x:c>
      <x:c r="P71" s="86"/>
      <x:c r="Q71" s="86" t="str">
        <x:v>assumed</x:v>
      </x:c>
      <x:c r="R71" s="110" t="n">
        <x:v>100</x:v>
      </x:c>
      <x:c r="S71" s="89" t="b">
        <x:v>1</x:v>
      </x:c>
      <x:c r="T71" s="80" t="n">
        <x:v>4</x:v>
      </x:c>
    </x:row>
    <x:row r="72" ht="30" customHeight="1">
      <x:c r="A72" s="80" t="str">
        <x:v>drying</x:v>
      </x:c>
      <x:c r="B72" s="80" t="str">
        <x:v>Protein entrainment loss</x:v>
      </x:c>
      <x:c r="C72" s="80" t="str">
        <x:v>dryer_protein_entrainment_loss_fraction</x:v>
      </x:c>
      <x:c r="D72" s="95" t="n">
        <x:v>0.002</x:v>
      </x:c>
      <x:c r="E72" s="80" t="str">
        <x:v>fraction protein to exhaust</x:v>
      </x:c>
      <x:c r="F72" s="80" t="str">
        <x:v>All</x:v>
      </x:c>
      <x:c r="G72" s="80" t="str">
        <x:v>All</x:v>
      </x:c>
      <x:c r="H72" s="108" t="n">
        <x:v>0</x:v>
      </x:c>
      <x:c r="I72" s="108" t="n">
        <x:v>1</x:v>
      </x:c>
      <x:c r="J72" s="80" t="str">
        <x:v>none</x:v>
      </x:c>
      <x:c r="K72" s="89" t="b">
        <x:v>1</x:v>
      </x:c>
      <x:c r="L72" s="80" t="str">
        <x:v>assumed</x:v>
      </x:c>
      <x:c r="M72" s="84" t="str">
        <x:v>E</x:v>
      </x:c>
      <x:c r="N72" s="80"/>
      <x:c r="O72" s="86" t="str">
        <x:v>Structural placeholder; replace with measured or sourced data.</x:v>
      </x:c>
      <x:c r="P72" s="86"/>
      <x:c r="Q72" s="86" t="str">
        <x:v>assumed</x:v>
      </x:c>
      <x:c r="R72" s="110" t="n">
        <x:v>100</x:v>
      </x:c>
      <x:c r="S72" s="89" t="b">
        <x:v>1</x:v>
      </x:c>
      <x:c r="T72" s="80" t="n">
        <x:v>4</x:v>
      </x:c>
    </x:row>
    <x:row r="73" ht="30" customHeight="1">
      <x:c r="A73" s="80" t="str">
        <x:v>drying</x:v>
      </x:c>
      <x:c r="B73" s="80" t="str">
        <x:v>Thermal protein degradation</x:v>
      </x:c>
      <x:c r="C73" s="80" t="str">
        <x:v>thermal_protein_degradation_fraction</x:v>
      </x:c>
      <x:c r="D73" s="95" t="n">
        <x:v>0</x:v>
      </x:c>
      <x:c r="E73" s="80" t="str">
        <x:v>fraction retained protein</x:v>
      </x:c>
      <x:c r="F73" s="80" t="str">
        <x:v>All</x:v>
      </x:c>
      <x:c r="G73" s="80" t="str">
        <x:v>All</x:v>
      </x:c>
      <x:c r="H73" s="108" t="n">
        <x:v>0</x:v>
      </x:c>
      <x:c r="I73" s="108" t="n">
        <x:v>1</x:v>
      </x:c>
      <x:c r="J73" s="80" t="str">
        <x:v>none</x:v>
      </x:c>
      <x:c r="K73" s="89" t="b">
        <x:v>1</x:v>
      </x:c>
      <x:c r="L73" s="80" t="str">
        <x:v>assumed</x:v>
      </x:c>
      <x:c r="M73" s="84" t="str">
        <x:v>E</x:v>
      </x:c>
      <x:c r="N73" s="80"/>
      <x:c r="O73" s="86" t="str">
        <x:v>Structural placeholder; replace with measured or sourced data.</x:v>
      </x:c>
      <x:c r="P73" s="86"/>
      <x:c r="Q73" s="86" t="str">
        <x:v>assumed</x:v>
      </x:c>
      <x:c r="R73" s="110" t="n">
        <x:v>100</x:v>
      </x:c>
      <x:c r="S73" s="89" t="b">
        <x:v>1</x:v>
      </x:c>
      <x:c r="T73" s="80" t="n">
        <x:v>4</x:v>
      </x:c>
    </x:row>
    <x:row r="74" ht="30" customHeight="1">
      <x:c r="A74" s="80" t="str">
        <x:v>drying</x:v>
      </x:c>
      <x:c r="B74" s="80" t="str">
        <x:v>Dryer capacity</x:v>
      </x:c>
      <x:c r="C74" s="80" t="str">
        <x:v>dryer_capacity_kg_hr</x:v>
      </x:c>
      <x:c r="D74" s="95"/>
      <x:c r="E74" s="80" t="str">
        <x:v>kg wet cake/hr per train</x:v>
      </x:c>
      <x:c r="F74" s="80" t="str">
        <x:v>All</x:v>
      </x:c>
      <x:c r="G74" s="80" t="str">
        <x:v>All</x:v>
      </x:c>
      <x:c r="H74" s="108" t="n">
        <x:v>0.000001</x:v>
      </x:c>
      <x:c r="I74" s="108"/>
      <x:c r="J74" s="80" t="str">
        <x:v>none</x:v>
      </x:c>
      <x:c r="K74" s="89" t="b">
        <x:v>0</x:v>
      </x:c>
      <x:c r="L74" s="80" t="str">
        <x:v>assumed</x:v>
      </x:c>
      <x:c r="M74" s="84" t="str">
        <x:v>E</x:v>
      </x:c>
      <x:c r="N74" s="80"/>
      <x:c r="O74" s="86" t="str">
        <x:v>Leave blank until vendor data are available.</x:v>
      </x:c>
      <x:c r="P74" s="86"/>
      <x:c r="Q74" s="86" t="str">
        <x:v>assumed</x:v>
      </x:c>
      <x:c r="R74" s="110" t="n">
        <x:v>100</x:v>
      </x:c>
      <x:c r="S74" s="89" t="b">
        <x:v>1</x:v>
      </x:c>
      <x:c r="T74" s="80" t="n">
        <x:v>4</x:v>
      </x:c>
    </x:row>
    <x:row r="75" ht="30" customHeight="1">
      <x:c r="A75" s="80" t="str">
        <x:v>drying</x:v>
      </x:c>
      <x:c r="B75" s="80" t="str">
        <x:v>Dryer residence time</x:v>
      </x:c>
      <x:c r="C75" s="80" t="str">
        <x:v>dryer_residence_time_min</x:v>
      </x:c>
      <x:c r="D75" s="95" t="n">
        <x:v>45</x:v>
      </x:c>
      <x:c r="E75" s="80" t="str">
        <x:v>min</x:v>
      </x:c>
      <x:c r="F75" s="80" t="str">
        <x:v>All</x:v>
      </x:c>
      <x:c r="G75" s="80" t="str">
        <x:v>All</x:v>
      </x:c>
      <x:c r="H75" s="108" t="n">
        <x:v>0</x:v>
      </x:c>
      <x:c r="I75" s="108"/>
      <x:c r="J75" s="80" t="str">
        <x:v>none</x:v>
      </x:c>
      <x:c r="K75" s="89" t="b">
        <x:v>1</x:v>
      </x:c>
      <x:c r="L75" s="80" t="str">
        <x:v>assumed</x:v>
      </x:c>
      <x:c r="M75" s="84" t="str">
        <x:v>E</x:v>
      </x:c>
      <x:c r="N75" s="80"/>
      <x:c r="O75" s="86" t="str">
        <x:v>Structural placeholder; replace with measured or sourced data.</x:v>
      </x:c>
      <x:c r="P75" s="86"/>
      <x:c r="Q75" s="86" t="str">
        <x:v>assumed</x:v>
      </x:c>
      <x:c r="R75" s="110" t="n">
        <x:v>100</x:v>
      </x:c>
      <x:c r="S75" s="89" t="b">
        <x:v>1</x:v>
      </x:c>
      <x:c r="T75" s="80" t="n">
        <x:v>4</x:v>
      </x:c>
    </x:row>
    <x:row r="76" ht="30" customHeight="1">
      <x:c r="A76" s="80" t="str">
        <x:v>drying</x:v>
      </x:c>
      <x:c r="B76" s="80" t="str">
        <x:v>Dryer heat source</x:v>
      </x:c>
      <x:c r="C76" s="80" t="str">
        <x:v>dryer_heat_source</x:v>
      </x:c>
      <x:c r="D76" s="95" t="str">
        <x:v>hot_water</x:v>
      </x:c>
      <x:c r="E76" s="80" t="str">
        <x:v>text</x:v>
      </x:c>
      <x:c r="F76" s="80" t="str">
        <x:v>All</x:v>
      </x:c>
      <x:c r="G76" s="80" t="str">
        <x:v>All</x:v>
      </x:c>
      <x:c r="H76" s="108"/>
      <x:c r="I76" s="108"/>
      <x:c r="J76" s="80" t="str">
        <x:v>none</x:v>
      </x:c>
      <x:c r="K76" s="89" t="b">
        <x:v>1</x:v>
      </x:c>
      <x:c r="L76" s="80" t="str">
        <x:v>assumed</x:v>
      </x:c>
      <x:c r="M76" s="84" t="str">
        <x:v>E</x:v>
      </x:c>
      <x:c r="N76" s="80"/>
      <x:c r="O76" s="86" t="str">
        <x:v>External hot-water utility only; no future biomethane integration in Phase 4.</x:v>
      </x:c>
      <x:c r="P76" s="86"/>
      <x:c r="Q76" s="86" t="str">
        <x:v>assumed</x:v>
      </x:c>
      <x:c r="R76" s="110" t="n">
        <x:v>100</x:v>
      </x:c>
      <x:c r="S76" s="89" t="b">
        <x:v>1</x:v>
      </x:c>
      <x:c r="T76" s="80" t="n">
        <x:v>4</x:v>
      </x:c>
    </x:row>
    <x:row r="77" ht="30" customHeight="1">
      <x:c r="A77" s="80" t="str">
        <x:v>neutralization</x:v>
      </x:c>
      <x:c r="B77" s="80" t="str">
        <x:v>Base type</x:v>
      </x:c>
      <x:c r="C77" s="80" t="str">
        <x:v>base_type</x:v>
      </x:c>
      <x:c r="D77" s="95" t="str">
        <x:v>SodiumHydroxide</x:v>
      </x:c>
      <x:c r="E77" s="80" t="str">
        <x:v>component ID</x:v>
      </x:c>
      <x:c r="F77" s="80" t="str">
        <x:v>All</x:v>
      </x:c>
      <x:c r="G77" s="80" t="str">
        <x:v>All</x:v>
      </x:c>
      <x:c r="H77" s="108"/>
      <x:c r="I77" s="108"/>
      <x:c r="J77" s="80" t="str">
        <x:v>none</x:v>
      </x:c>
      <x:c r="K77" s="89" t="b">
        <x:v>1</x:v>
      </x:c>
      <x:c r="L77" s="80" t="str">
        <x:v>assumed</x:v>
      </x:c>
      <x:c r="M77" s="84" t="str">
        <x:v>E</x:v>
      </x:c>
      <x:c r="N77" s="80"/>
      <x:c r="O77" s="86" t="str">
        <x:v>Structural placeholder; replace with measured or sourced data.</x:v>
      </x:c>
      <x:c r="P77" s="86" t="str">
        <x:v>commercial solution</x:v>
      </x:c>
      <x:c r="Q77" s="86" t="str">
        <x:v>assumed</x:v>
      </x:c>
      <x:c r="R77" s="110" t="n">
        <x:v>100</x:v>
      </x:c>
      <x:c r="S77" s="89" t="b">
        <x:v>1</x:v>
      </x:c>
      <x:c r="T77" s="80" t="n">
        <x:v>4</x:v>
      </x:c>
    </x:row>
    <x:row r="78" ht="30" customHeight="1">
      <x:c r="A78" s="80" t="str">
        <x:v>neutralization</x:v>
      </x:c>
      <x:c r="B78" s="80" t="str">
        <x:v>Base solution mass fraction</x:v>
      </x:c>
      <x:c r="C78" s="80" t="str">
        <x:v>base_solution_mass_fraction</x:v>
      </x:c>
      <x:c r="D78" s="95" t="n">
        <x:v>0.5</x:v>
      </x:c>
      <x:c r="E78" s="80" t="str">
        <x:v>kg active base/kg solution</x:v>
      </x:c>
      <x:c r="F78" s="80" t="str">
        <x:v>All</x:v>
      </x:c>
      <x:c r="G78" s="80" t="str">
        <x:v>All</x:v>
      </x:c>
      <x:c r="H78" s="108" t="n">
        <x:v>0.000001</x:v>
      </x:c>
      <x:c r="I78" s="108" t="n">
        <x:v>1</x:v>
      </x:c>
      <x:c r="J78" s="80" t="str">
        <x:v>none</x:v>
      </x:c>
      <x:c r="K78" s="89" t="b">
        <x:v>1</x:v>
      </x:c>
      <x:c r="L78" s="80" t="str">
        <x:v>assumed</x:v>
      </x:c>
      <x:c r="M78" s="84" t="str">
        <x:v>E</x:v>
      </x:c>
      <x:c r="N78" s="80"/>
      <x:c r="O78" s="86" t="str">
        <x:v>Structural placeholder; replace with measured or sourced data.</x:v>
      </x:c>
      <x:c r="P78" s="86"/>
      <x:c r="Q78" s="86" t="str">
        <x:v>assumed</x:v>
      </x:c>
      <x:c r="R78" s="110" t="n">
        <x:v>100</x:v>
      </x:c>
      <x:c r="S78" s="89" t="b">
        <x:v>1</x:v>
      </x:c>
      <x:c r="T78" s="80" t="n">
        <x:v>4</x:v>
      </x:c>
    </x:row>
    <x:row r="79" ht="30" customHeight="1">
      <x:c r="A79" s="80" t="str">
        <x:v>neutralization</x:v>
      </x:c>
      <x:c r="B79" s="80" t="str">
        <x:v>Base purity</x:v>
      </x:c>
      <x:c r="C79" s="80" t="str">
        <x:v>base_purity</x:v>
      </x:c>
      <x:c r="D79" s="95" t="n">
        <x:v>1</x:v>
      </x:c>
      <x:c r="E79" s="80" t="str">
        <x:v>fraction</x:v>
      </x:c>
      <x:c r="F79" s="80" t="str">
        <x:v>All</x:v>
      </x:c>
      <x:c r="G79" s="80" t="str">
        <x:v>All</x:v>
      </x:c>
      <x:c r="H79" s="108" t="n">
        <x:v>0.000001</x:v>
      </x:c>
      <x:c r="I79" s="108" t="n">
        <x:v>1</x:v>
      </x:c>
      <x:c r="J79" s="80" t="str">
        <x:v>none</x:v>
      </x:c>
      <x:c r="K79" s="89" t="b">
        <x:v>1</x:v>
      </x:c>
      <x:c r="L79" s="80" t="str">
        <x:v>assumed</x:v>
      </x:c>
      <x:c r="M79" s="84" t="str">
        <x:v>E</x:v>
      </x:c>
      <x:c r="N79" s="80"/>
      <x:c r="O79" s="86" t="str">
        <x:v>Structural placeholder; replace with measured or sourced data.</x:v>
      </x:c>
      <x:c r="P79" s="86"/>
      <x:c r="Q79" s="86" t="str">
        <x:v>assumed</x:v>
      </x:c>
      <x:c r="R79" s="110" t="n">
        <x:v>100</x:v>
      </x:c>
      <x:c r="S79" s="89" t="b">
        <x:v>1</x:v>
      </x:c>
      <x:c r="T79" s="80" t="n">
        <x:v>4</x:v>
      </x:c>
    </x:row>
    <x:row r="80" ht="30" customHeight="1">
      <x:c r="A80" s="80" t="str">
        <x:v>neutralization</x:v>
      </x:c>
      <x:c r="B80" s="80" t="str">
        <x:v>Base-demand method</x:v>
      </x:c>
      <x:c r="C80" s="80" t="str">
        <x:v>base_demand_method</x:v>
      </x:c>
      <x:c r="D80" s="95" t="str">
        <x:v>stoichiometric</x:v>
      </x:c>
      <x:c r="E80" s="80" t="str">
        <x:v>text</x:v>
      </x:c>
      <x:c r="F80" s="80" t="str">
        <x:v>All</x:v>
      </x:c>
      <x:c r="G80" s="80" t="str">
        <x:v>All</x:v>
      </x:c>
      <x:c r="H80" s="108"/>
      <x:c r="I80" s="108"/>
      <x:c r="J80" s="80" t="str">
        <x:v>none</x:v>
      </x:c>
      <x:c r="K80" s="89" t="b">
        <x:v>1</x:v>
      </x:c>
      <x:c r="L80" s="80" t="str">
        <x:v>assumed</x:v>
      </x:c>
      <x:c r="M80" s="84" t="str">
        <x:v>E</x:v>
      </x:c>
      <x:c r="N80" s="80"/>
      <x:c r="O80" s="86" t="str">
        <x:v>Structural placeholder; replace with measured or sourced data.</x:v>
      </x:c>
      <x:c r="P80" s="86" t="str">
        <x:v>molecular acid/base balance</x:v>
      </x:c>
      <x:c r="Q80" s="86" t="str">
        <x:v>assumed</x:v>
      </x:c>
      <x:c r="R80" s="110" t="n">
        <x:v>100</x:v>
      </x:c>
      <x:c r="S80" s="89" t="b">
        <x:v>1</x:v>
      </x:c>
      <x:c r="T80" s="80" t="n">
        <x:v>4</x:v>
      </x:c>
    </x:row>
    <x:row r="81" ht="30" customHeight="1">
      <x:c r="A81" s="80" t="str">
        <x:v>neutralization</x:v>
      </x:c>
      <x:c r="B81" s="80" t="str">
        <x:v>Empirical base dose</x:v>
      </x:c>
      <x:c r="C81" s="80" t="str">
        <x:v>base_dose_kg_per_m3</x:v>
      </x:c>
      <x:c r="D81" s="95"/>
      <x:c r="E81" s="80" t="str">
        <x:v>kg pure base/m3 liquid</x:v>
      </x:c>
      <x:c r="F81" s="80" t="str">
        <x:v>All</x:v>
      </x:c>
      <x:c r="G81" s="80" t="str">
        <x:v>All</x:v>
      </x:c>
      <x:c r="H81" s="108" t="n">
        <x:v>0</x:v>
      </x:c>
      <x:c r="I81" s="108"/>
      <x:c r="J81" s="80" t="str">
        <x:v>none</x:v>
      </x:c>
      <x:c r="K81" s="89" t="b">
        <x:v>0</x:v>
      </x:c>
      <x:c r="L81" s="80" t="str">
        <x:v>assumed</x:v>
      </x:c>
      <x:c r="M81" s="84" t="str">
        <x:v>E</x:v>
      </x:c>
      <x:c r="N81" s="80"/>
      <x:c r="O81" s="86" t="str">
        <x:v>Blank in stoichiometric mode.</x:v>
      </x:c>
      <x:c r="P81" s="86"/>
      <x:c r="Q81" s="86" t="str">
        <x:v>assumed</x:v>
      </x:c>
      <x:c r="R81" s="110" t="n">
        <x:v>100</x:v>
      </x:c>
      <x:c r="S81" s="89" t="b">
        <x:v>1</x:v>
      </x:c>
      <x:c r="T81" s="80" t="n">
        <x:v>4</x:v>
      </x:c>
    </x:row>
    <x:row r="82" ht="30" customHeight="1">
      <x:c r="A82" s="80" t="str">
        <x:v>neutralization</x:v>
      </x:c>
      <x:c r="B82" s="80" t="str">
        <x:v>Target downstream pH</x:v>
      </x:c>
      <x:c r="C82" s="80" t="str">
        <x:v>target_digester_feed_pH</x:v>
      </x:c>
      <x:c r="D82" s="95" t="n">
        <x:v>7</x:v>
      </x:c>
      <x:c r="E82" s="80" t="str">
        <x:v>pH</x:v>
      </x:c>
      <x:c r="F82" s="80" t="str">
        <x:v>All</x:v>
      </x:c>
      <x:c r="G82" s="80" t="str">
        <x:v>All</x:v>
      </x:c>
      <x:c r="H82" s="108" t="n">
        <x:v>0</x:v>
      </x:c>
      <x:c r="I82" s="108" t="n">
        <x:v>14</x:v>
      </x:c>
      <x:c r="J82" s="80" t="str">
        <x:v>none</x:v>
      </x:c>
      <x:c r="K82" s="89" t="b">
        <x:v>1</x:v>
      </x:c>
      <x:c r="L82" s="80" t="str">
        <x:v>assumed</x:v>
      </x:c>
      <x:c r="M82" s="84" t="str">
        <x:v>E</x:v>
      </x:c>
      <x:c r="N82" s="80"/>
      <x:c r="O82" s="86" t="str">
        <x:v>Structural placeholder; replace with measured or sourced data.</x:v>
      </x:c>
      <x:c r="P82" s="86" t="str">
        <x:v>metadata</x:v>
      </x:c>
      <x:c r="Q82" s="86" t="str">
        <x:v>assumed</x:v>
      </x:c>
      <x:c r="R82" s="110" t="n">
        <x:v>100</x:v>
      </x:c>
      <x:c r="S82" s="89" t="b">
        <x:v>1</x:v>
      </x:c>
      <x:c r="T82" s="80" t="n">
        <x:v>4</x:v>
      </x:c>
    </x:row>
    <x:row r="83" ht="30" customHeight="1">
      <x:c r="A83" s="80" t="str">
        <x:v>neutralization</x:v>
      </x:c>
      <x:c r="B83" s="80" t="str">
        <x:v>Neutralization mixing time</x:v>
      </x:c>
      <x:c r="C83" s="80" t="str">
        <x:v>neutralization_mixing_time_min</x:v>
      </x:c>
      <x:c r="D83" s="95" t="n">
        <x:v>5</x:v>
      </x:c>
      <x:c r="E83" s="80" t="str">
        <x:v>min</x:v>
      </x:c>
      <x:c r="F83" s="80" t="str">
        <x:v>All</x:v>
      </x:c>
      <x:c r="G83" s="80" t="str">
        <x:v>All</x:v>
      </x:c>
      <x:c r="H83" s="108" t="n">
        <x:v>0</x:v>
      </x:c>
      <x:c r="I83" s="108"/>
      <x:c r="J83" s="80" t="str">
        <x:v>none</x:v>
      </x:c>
      <x:c r="K83" s="89" t="b">
        <x:v>1</x:v>
      </x:c>
      <x:c r="L83" s="80" t="str">
        <x:v>assumed</x:v>
      </x:c>
      <x:c r="M83" s="84" t="str">
        <x:v>E</x:v>
      </x:c>
      <x:c r="N83" s="80"/>
      <x:c r="O83" s="86" t="str">
        <x:v>Structural placeholder; replace with measured or sourced data.</x:v>
      </x:c>
      <x:c r="P83" s="86"/>
      <x:c r="Q83" s="86" t="str">
        <x:v>assumed</x:v>
      </x:c>
      <x:c r="R83" s="110" t="n">
        <x:v>100</x:v>
      </x:c>
      <x:c r="S83" s="89" t="b">
        <x:v>1</x:v>
      </x:c>
      <x:c r="T83" s="80" t="n">
        <x:v>4</x:v>
      </x:c>
    </x:row>
    <x:row r="84" ht="30" customHeight="1">
      <x:c r="A84" s="80" t="str">
        <x:v>neutralization</x:v>
      </x:c>
      <x:c r="B84" s="80" t="str">
        <x:v>Neutralization mixing power</x:v>
      </x:c>
      <x:c r="C84" s="80" t="str">
        <x:v>neutralization_mixing_power_kw_per_m3</x:v>
      </x:c>
      <x:c r="D84" s="95" t="n">
        <x:v>0.05</x:v>
      </x:c>
      <x:c r="E84" s="80" t="str">
        <x:v>kW/m3 working volume</x:v>
      </x:c>
      <x:c r="F84" s="80" t="str">
        <x:v>All</x:v>
      </x:c>
      <x:c r="G84" s="80" t="str">
        <x:v>All</x:v>
      </x:c>
      <x:c r="H84" s="108" t="n">
        <x:v>0</x:v>
      </x:c>
      <x:c r="I84" s="108"/>
      <x:c r="J84" s="80" t="str">
        <x:v>none</x:v>
      </x:c>
      <x:c r="K84" s="89" t="b">
        <x:v>1</x:v>
      </x:c>
      <x:c r="L84" s="80" t="str">
        <x:v>assumed</x:v>
      </x:c>
      <x:c r="M84" s="84" t="str">
        <x:v>E</x:v>
      </x:c>
      <x:c r="N84" s="80"/>
      <x:c r="O84" s="86" t="str">
        <x:v>Structural placeholder; replace with measured or sourced data.</x:v>
      </x:c>
      <x:c r="P84" s="86"/>
      <x:c r="Q84" s="86" t="str">
        <x:v>assumed</x:v>
      </x:c>
      <x:c r="R84" s="110" t="n">
        <x:v>100</x:v>
      </x:c>
      <x:c r="S84" s="89" t="b">
        <x:v>1</x:v>
      </x:c>
      <x:c r="T84" s="80" t="n">
        <x:v>4</x:v>
      </x:c>
    </x:row>
    <x:row r="85" ht="30" customHeight="1">
      <x:c r="A85" s="80" t="str">
        <x:v>neutralization</x:v>
      </x:c>
      <x:c r="B85" s="80" t="str">
        <x:v>Base reagent temperature</x:v>
      </x:c>
      <x:c r="C85" s="80" t="str">
        <x:v>base_reagent_temperature_C</x:v>
      </x:c>
      <x:c r="D85" s="95" t="n">
        <x:v>25</x:v>
      </x:c>
      <x:c r="E85" s="80" t="str">
        <x:v>degC</x:v>
      </x:c>
      <x:c r="F85" s="80" t="str">
        <x:v>All</x:v>
      </x:c>
      <x:c r="G85" s="80" t="str">
        <x:v>All</x:v>
      </x:c>
      <x:c r="H85" s="108" t="n">
        <x:v>-5</x:v>
      </x:c>
      <x:c r="I85" s="108" t="n">
        <x:v>100</x:v>
      </x:c>
      <x:c r="J85" s="80" t="str">
        <x:v>none</x:v>
      </x:c>
      <x:c r="K85" s="89" t="b">
        <x:v>1</x:v>
      </x:c>
      <x:c r="L85" s="80" t="str">
        <x:v>assumed</x:v>
      </x:c>
      <x:c r="M85" s="84" t="str">
        <x:v>E</x:v>
      </x:c>
      <x:c r="N85" s="80"/>
      <x:c r="O85" s="86" t="str">
        <x:v>Structural placeholder; replace with measured or sourced data.</x:v>
      </x:c>
      <x:c r="P85" s="86"/>
      <x:c r="Q85" s="86" t="str">
        <x:v>assumed</x:v>
      </x:c>
      <x:c r="R85" s="110" t="n">
        <x:v>100</x:v>
      </x:c>
      <x:c r="S85" s="89" t="b">
        <x:v>1</x:v>
      </x:c>
      <x:c r="T85" s="80" t="n">
        <x:v>4</x:v>
      </x:c>
    </x:row>
    <x:row r="86" ht="30" customHeight="1">
      <x:c r="A86" s="80" t="str">
        <x:v>protein_precipitation</x:v>
      </x:c>
      <x:c r="B86" s="80" t="str">
        <x:v>PR1 precipitation temperature</x:v>
      </x:c>
      <x:c r="C86" s="80" t="str">
        <x:v>precipitation_temperature_C</x:v>
      </x:c>
      <x:c r="D86" s="95" t="n">
        <x:v>25</x:v>
      </x:c>
      <x:c r="E86" s="80" t="str">
        <x:v>degC</x:v>
      </x:c>
      <x:c r="F86" s="80" t="str">
        <x:v>PR1</x:v>
      </x:c>
      <x:c r="G86" s="80" t="str">
        <x:v>All</x:v>
      </x:c>
      <x:c r="H86" s="108" t="n">
        <x:v>-5</x:v>
      </x:c>
      <x:c r="I86" s="108" t="n">
        <x:v>150</x:v>
      </x:c>
      <x:c r="J86" s="80" t="str">
        <x:v>none</x:v>
      </x:c>
      <x:c r="K86" s="89" t="b">
        <x:v>1</x:v>
      </x:c>
      <x:c r="L86" s="80" t="str">
        <x:v>assumed</x:v>
      </x:c>
      <x:c r="M86" s="84" t="str">
        <x:v>E</x:v>
      </x:c>
      <x:c r="N86" s="80"/>
      <x:c r="O86" s="86" t="str">
        <x:v>Acid-only structural scenario override.</x:v>
      </x:c>
      <x:c r="P86" s="86"/>
      <x:c r="Q86" s="86" t="str">
        <x:v>assumed</x:v>
      </x:c>
      <x:c r="R86" s="110" t="n">
        <x:v>10</x:v>
      </x:c>
      <x:c r="S86" s="89" t="b">
        <x:v>1</x:v>
      </x:c>
      <x:c r="T86" s="80" t="n">
        <x:v>4</x:v>
      </x:c>
    </x:row>
    <x:row r="87" ht="30" customHeight="1">
      <x:c r="A87" s="80" t="str">
        <x:v>heat_coagulation</x:v>
      </x:c>
      <x:c r="B87" s="80" t="str">
        <x:v>PR2 heat-coagulation efficiency</x:v>
      </x:c>
      <x:c r="C87" s="80" t="str">
        <x:v>heat_coagulation_efficiency</x:v>
      </x:c>
      <x:c r="D87" s="95" t="n">
        <x:v>0.65</x:v>
      </x:c>
      <x:c r="E87" s="80" t="str">
        <x:v>fraction of soluble protein</x:v>
      </x:c>
      <x:c r="F87" s="80" t="str">
        <x:v>PR2</x:v>
      </x:c>
      <x:c r="G87" s="80" t="str">
        <x:v>All</x:v>
      </x:c>
      <x:c r="H87" s="108" t="n">
        <x:v>0</x:v>
      </x:c>
      <x:c r="I87" s="108" t="n">
        <x:v>1</x:v>
      </x:c>
      <x:c r="J87" s="80" t="str">
        <x:v>none</x:v>
      </x:c>
      <x:c r="K87" s="89" t="b">
        <x:v>1</x:v>
      </x:c>
      <x:c r="L87" s="80" t="str">
        <x:v>assumed</x:v>
      </x:c>
      <x:c r="M87" s="84" t="str">
        <x:v>E</x:v>
      </x:c>
      <x:c r="N87" s="80"/>
      <x:c r="O87" s="86" t="str">
        <x:v>Heat-only structural scenario override.</x:v>
      </x:c>
      <x:c r="P87" s="86"/>
      <x:c r="Q87" s="86" t="str">
        <x:v>assumed</x:v>
      </x:c>
      <x:c r="R87" s="110" t="n">
        <x:v>10</x:v>
      </x:c>
      <x:c r="S87" s="89" t="b">
        <x:v>1</x:v>
      </x:c>
      <x:c r="T87" s="80" t="n">
        <x:v>4</x:v>
      </x:c>
    </x:row>
    <x:row r="88" ht="30" customHeight="1">
      <x:c r="A88" s="80" t="str">
        <x:v>protein_precipitation</x:v>
      </x:c>
      <x:c r="B88" s="80" t="str">
        <x:v>PR2 precipitation temperature</x:v>
      </x:c>
      <x:c r="C88" s="80" t="str">
        <x:v>precipitation_temperature_C</x:v>
      </x:c>
      <x:c r="D88" s="95" t="n">
        <x:v>75</x:v>
      </x:c>
      <x:c r="E88" s="80" t="str">
        <x:v>degC</x:v>
      </x:c>
      <x:c r="F88" s="80" t="str">
        <x:v>PR2</x:v>
      </x:c>
      <x:c r="G88" s="80" t="str">
        <x:v>All</x:v>
      </x:c>
      <x:c r="H88" s="108" t="n">
        <x:v>-5</x:v>
      </x:c>
      <x:c r="I88" s="108" t="n">
        <x:v>150</x:v>
      </x:c>
      <x:c r="J88" s="80" t="str">
        <x:v>none</x:v>
      </x:c>
      <x:c r="K88" s="89" t="b">
        <x:v>1</x:v>
      </x:c>
      <x:c r="L88" s="80" t="str">
        <x:v>assumed</x:v>
      </x:c>
      <x:c r="M88" s="84" t="str">
        <x:v>E</x:v>
      </x:c>
      <x:c r="N88" s="80"/>
      <x:c r="O88" s="86" t="str">
        <x:v>Heat-only structural scenario override.</x:v>
      </x:c>
      <x:c r="P88" s="86"/>
      <x:c r="Q88" s="86" t="str">
        <x:v>assumed</x:v>
      </x:c>
      <x:c r="R88" s="110" t="n">
        <x:v>10</x:v>
      </x:c>
      <x:c r="S88" s="89" t="b">
        <x:v>1</x:v>
      </x:c>
      <x:c r="T88" s="80" t="n">
        <x:v>4</x:v>
      </x:c>
    </x:row>
    <x:row r="89" ht="30" customHeight="1">
      <x:c r="A89" s="80" t="str">
        <x:v>neutralization</x:v>
      </x:c>
      <x:c r="B89" s="80" t="str">
        <x:v>PR2 conditioned pH</x:v>
      </x:c>
      <x:c r="C89" s="80" t="str">
        <x:v>target_digester_feed_pH</x:v>
      </x:c>
      <x:c r="D89" s="95" t="n">
        <x:v>6.5</x:v>
      </x:c>
      <x:c r="E89" s="80" t="str">
        <x:v>pH</x:v>
      </x:c>
      <x:c r="F89" s="80" t="str">
        <x:v>PR2</x:v>
      </x:c>
      <x:c r="G89" s="80" t="str">
        <x:v>All</x:v>
      </x:c>
      <x:c r="H89" s="108" t="n">
        <x:v>0</x:v>
      </x:c>
      <x:c r="I89" s="108" t="n">
        <x:v>14</x:v>
      </x:c>
      <x:c r="J89" s="80" t="str">
        <x:v>none</x:v>
      </x:c>
      <x:c r="K89" s="89" t="b">
        <x:v>1</x:v>
      </x:c>
      <x:c r="L89" s="80" t="str">
        <x:v>assumed</x:v>
      </x:c>
      <x:c r="M89" s="84" t="str">
        <x:v>E</x:v>
      </x:c>
      <x:c r="N89" s="80"/>
      <x:c r="O89" s="86" t="str">
        <x:v>No acid/base is added in PR2; preserve feed-pH metadata.</x:v>
      </x:c>
      <x:c r="P89" s="86"/>
      <x:c r="Q89" s="86" t="str">
        <x:v>assumed</x:v>
      </x:c>
      <x:c r="R89" s="110" t="n">
        <x:v>10</x:v>
      </x:c>
      <x:c r="S89" s="89" t="b">
        <x:v>1</x:v>
      </x:c>
      <x:c r="T89" s="80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9de9dda90bf84a5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43" hidden="0" customWidth="1"/>
    <x:col min="11" max="11" width="43" hidden="0" customWidth="1"/>
    <x:col min="12" max="12" width="12" hidden="0" customWidth="1"/>
  </x:cols>
  <x:sheetData>
    <x:row r="1" ht="31" customHeight="1">
      <x:c r="A1" s="106" t="str">
        <x:v>curve_id</x:v>
      </x:c>
      <x:c r="B1" s="106" t="str">
        <x:v>acid_type</x:v>
      </x:c>
      <x:c r="C1" s="106" t="str">
        <x:v>sample_id</x:v>
      </x:c>
      <x:c r="D1" s="106" t="str">
        <x:v>scenario</x:v>
      </x:c>
      <x:c r="E1" s="106" t="str">
        <x:v>month</x:v>
      </x:c>
      <x:c r="F1" s="106" t="str">
        <x:v>acid_dose_kg_m3</x:v>
      </x:c>
      <x:c r="G1" s="106" t="str">
        <x:v>resulting_pH</x:v>
      </x:c>
      <x:c r="H1" s="106" t="str">
        <x:v>measurement_status</x:v>
      </x:c>
      <x:c r="I1" s="106" t="str">
        <x:v>source_class</x:v>
      </x:c>
      <x:c r="J1" s="106" t="str">
        <x:v>reference</x:v>
      </x:c>
      <x:c r="K1" s="106" t="str">
        <x:v>comment</x:v>
      </x:c>
      <x:c r="L1" s="106" t="str">
        <x:v>active</x:v>
      </x:c>
    </x:row>
    <x:row r="2">
      <x:c r="A2" s="79" t="str">
        <x:v>example_curve</x:v>
      </x:c>
      <x:c r="B2" s="79" t="str">
        <x:v>HydrochloricAcid</x:v>
      </x:c>
      <x:c r="C2" s="79" t="str">
        <x:v>baseline</x:v>
      </x:c>
      <x:c r="D2" s="79" t="str">
        <x:v>PR1</x:v>
      </x:c>
      <x:c r="E2" s="79" t="str">
        <x:v>All</x:v>
      </x:c>
      <x:c r="F2" s="90"/>
      <x:c r="G2" s="90"/>
      <x:c r="H2" s="79" t="str">
        <x:v>not_measured</x:v>
      </x:c>
      <x:c r="I2" s="79" t="str">
        <x:v>E</x:v>
      </x:c>
      <x:c r="J2" s="85"/>
      <x:c r="K2" s="85" t="str">
        <x:v>Inactive template. Enter at least two measured dose-pH points before selecting titration_curve.</x:v>
      </x:c>
      <x:c r="L2" s="97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0cbf83522b342a7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16" hidden="0" customWidth="1"/>
    <x:col min="8" max="8" width="43" hidden="0" customWidth="1"/>
    <x:col min="9" max="9" width="43" hidden="0" customWidth="1"/>
    <x:col min="10" max="10" width="12" hidden="0" customWidth="1"/>
  </x:cols>
  <x:sheetData>
    <x:row r="1" ht="31" customHeight="1">
      <x:c r="A1" s="106" t="str">
        <x:v>dataset_id</x:v>
      </x:c>
      <x:c r="B1" s="106" t="str">
        <x:v>scenario</x:v>
      </x:c>
      <x:c r="C1" s="106" t="str">
        <x:v>pH</x:v>
      </x:c>
      <x:c r="D1" s="106" t="str">
        <x:v>temperature_C</x:v>
      </x:c>
      <x:c r="E1" s="106" t="str">
        <x:v>residence_time_min</x:v>
      </x:c>
      <x:c r="F1" s="106" t="str">
        <x:v>recovery_fraction</x:v>
      </x:c>
      <x:c r="G1" s="106" t="str">
        <x:v>source_class</x:v>
      </x:c>
      <x:c r="H1" s="106" t="str">
        <x:v>reference</x:v>
      </x:c>
      <x:c r="I1" s="106" t="str">
        <x:v>comment</x:v>
      </x:c>
      <x:c r="J1" s="106" t="str">
        <x:v>active</x:v>
      </x:c>
    </x:row>
    <x:row r="2">
      <x:c r="A2" s="79" t="str">
        <x:v>example_dataset</x:v>
      </x:c>
      <x:c r="B2" s="79" t="str">
        <x:v>PR3</x:v>
      </x:c>
      <x:c r="C2" s="90"/>
      <x:c r="D2" s="90"/>
      <x:c r="E2" s="90"/>
      <x:c r="F2" s="90"/>
      <x:c r="G2" s="79" t="str">
        <x:v>E</x:v>
      </x:c>
      <x:c r="H2" s="85"/>
      <x:c r="I2" s="85" t="str">
        <x:v>Inactive raw-data template. Enter laboratory observations without overwriting the original measurements.</x:v>
      </x:c>
      <x:c r="J2" s="97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7c7f760e886401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39" hidden="0" customWidth="1"/>
    <x:col min="4" max="4" width="16" hidden="0" customWidth="1"/>
    <x:col min="5" max="5" width="24" hidden="0" customWidth="1"/>
    <x:col min="6" max="6" width="13" hidden="0" customWidth="1"/>
    <x:col min="7" max="7" width="13" hidden="0" customWidth="1"/>
    <x:col min="8" max="8" width="15" hidden="0" customWidth="1"/>
    <x:col min="9" max="9" width="15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24" hidden="0" customWidth="1"/>
    <x:col min="15" max="15" width="55" hidden="0" customWidth="1"/>
    <x:col min="16" max="16" width="24" hidden="0" customWidth="1"/>
    <x:col min="17" max="17" width="24" hidden="0" customWidth="1"/>
    <x:col min="18" max="18" width="15" hidden="0" customWidth="1"/>
    <x:col min="19" max="19" width="15" hidden="0" customWidth="1"/>
    <x:col min="20" max="20" width="15" hidden="0" customWidth="1"/>
    <x:col min="21" max="21" width="16" hidden="0" customWidth="1"/>
  </x:cols>
  <x:sheetData>
    <x:row r="1" ht="34" customHeight="1">
      <x:c r="A1" s="122" t="str">
        <x:v>category</x:v>
      </x:c>
      <x:c r="B1" s="122" t="str">
        <x:v>name</x:v>
      </x:c>
      <x:c r="C1" s="122" t="str">
        <x:v>python_name</x:v>
      </x:c>
      <x:c r="D1" s="122" t="str">
        <x:v>value</x:v>
      </x:c>
      <x:c r="E1" s="122" t="str">
        <x:v>unit</x:v>
      </x:c>
      <x:c r="F1" s="122" t="str">
        <x:v>scenario</x:v>
      </x:c>
      <x:c r="G1" s="122" t="str">
        <x:v>month</x:v>
      </x:c>
      <x:c r="H1" s="122" t="str">
        <x:v>minimum</x:v>
      </x:c>
      <x:c r="I1" s="122" t="str">
        <x:v>maximum</x:v>
      </x:c>
      <x:c r="J1" s="122" t="str">
        <x:v>distribution</x:v>
      </x:c>
      <x:c r="K1" s="122" t="str">
        <x:v>required</x:v>
      </x:c>
      <x:c r="L1" s="122" t="str">
        <x:v>measurement_status</x:v>
      </x:c>
      <x:c r="M1" s="122" t="str">
        <x:v>source_class</x:v>
      </x:c>
      <x:c r="N1" s="122" t="str">
        <x:v>reference</x:v>
      </x:c>
      <x:c r="O1" s="122" t="str">
        <x:v>comment</x:v>
      </x:c>
      <x:c r="P1" s="122" t="str">
        <x:v>calculation_method</x:v>
      </x:c>
      <x:c r="Q1" s="122" t="str">
        <x:v>measured_or_assumed</x:v>
      </x:c>
      <x:c r="R1" s="122" t="str">
        <x:v>priority</x:v>
      </x:c>
      <x:c r="S1" s="122" t="str">
        <x:v>active</x:v>
      </x:c>
      <x:c r="T1" s="122" t="str">
        <x:v>phase_introduced</x:v>
      </x:c>
      <x:c r="U1" s="122" t="str">
        <x:v>limitation_id</x:v>
      </x:c>
    </x:row>
    <x:row r="2" ht="32" customHeight="1">
      <x:c r="A2" s="133" t="str">
        <x:v>feed</x:v>
      </x:c>
      <x:c r="B2" s="133" t="str">
        <x:v>Phase 5 liquid density</x:v>
      </x:c>
      <x:c r="C2" s="133" t="str">
        <x:v>phase5_feed_density_kg_m3</x:v>
      </x:c>
      <x:c r="D2" s="134" t="n">
        <x:v>1000</x:v>
      </x:c>
      <x:c r="E2" s="133" t="str">
        <x:v>kg/m3</x:v>
      </x:c>
      <x:c r="F2" s="133" t="str">
        <x:v>All</x:v>
      </x:c>
      <x:c r="G2" s="133" t="str">
        <x:v>All</x:v>
      </x:c>
      <x:c r="H2" s="135" t="n">
        <x:v>1</x:v>
      </x:c>
      <x:c r="I2" s="135" t="n">
        <x:v>2000</x:v>
      </x:c>
      <x:c r="J2" s="133" t="str">
        <x:v>none</x:v>
      </x:c>
      <x:c r="K2" s="136" t="b">
        <x:v>1</x:v>
      </x:c>
      <x:c r="L2" s="137" t="str">
        <x:v>assumed</x:v>
      </x:c>
      <x:c r="M2" s="137" t="str">
        <x:v>E</x:v>
      </x:c>
      <x:c r="N2" s="133"/>
      <x:c r="O2" s="133" t="str">
        <x:v>Structural placeholder; replace with measured, experimental, literature, or vendor data before interpretation.</x:v>
      </x:c>
      <x:c r="P2" s="133"/>
      <x:c r="Q2" s="133" t="str">
        <x:v>assumed</x:v>
      </x:c>
      <x:c r="R2" s="133" t="n">
        <x:v>100</x:v>
      </x:c>
      <x:c r="S2" s="138" t="b">
        <x:v>1</x:v>
      </x:c>
      <x:c r="T2" s="139" t="n">
        <x:v>5</x:v>
      </x:c>
      <x:c r="U2" s="139" t="str">
        <x:v>LIM-P1-001</x:v>
      </x:c>
    </x:row>
    <x:row r="3" ht="32" customHeight="1">
      <x:c r="A3" s="133" t="str">
        <x:v>feed</x:v>
      </x:c>
      <x:c r="B3" s="133" t="str">
        <x:v>Digester-feed pH</x:v>
      </x:c>
      <x:c r="C3" s="133" t="str">
        <x:v>digester_feed_pH</x:v>
      </x:c>
      <x:c r="D3" s="134" t="n">
        <x:v>7</x:v>
      </x:c>
      <x:c r="E3" s="133" t="str">
        <x:v>pH</x:v>
      </x:c>
      <x:c r="F3" s="133" t="str">
        <x:v>All</x:v>
      </x:c>
      <x:c r="G3" s="133" t="str">
        <x:v>All</x:v>
      </x:c>
      <x:c r="H3" s="135" t="n">
        <x:v>0</x:v>
      </x:c>
      <x:c r="I3" s="135" t="n">
        <x:v>14</x:v>
      </x:c>
      <x:c r="J3" s="133" t="str">
        <x:v>none</x:v>
      </x:c>
      <x:c r="K3" s="136" t="b">
        <x:v>1</x:v>
      </x:c>
      <x:c r="L3" s="137" t="str">
        <x:v>assumed</x:v>
      </x:c>
      <x:c r="M3" s="137" t="str">
        <x:v>E</x:v>
      </x:c>
      <x:c r="N3" s="133"/>
      <x:c r="O3" s="133" t="str">
        <x:v>Structural placeholder; replace with measured, experimental, literature, or vendor data before interpretation.</x:v>
      </x:c>
      <x:c r="P3" s="133" t="str">
        <x:v>metadata</x:v>
      </x:c>
      <x:c r="Q3" s="133" t="str">
        <x:v>assumed</x:v>
      </x:c>
      <x:c r="R3" s="133" t="n">
        <x:v>100</x:v>
      </x:c>
      <x:c r="S3" s="138" t="b">
        <x:v>1</x:v>
      </x:c>
      <x:c r="T3" s="139" t="n">
        <x:v>5</x:v>
      </x:c>
      <x:c r="U3" s="139" t="str">
        <x:v>LIM-P2-002</x:v>
      </x:c>
    </x:row>
    <x:row r="4" ht="32" customHeight="1">
      <x:c r="A4" s="133" t="str">
        <x:v>conditioning</x:v>
      </x:c>
      <x:c r="B4" s="133" t="str">
        <x:v>Conditioning enabled</x:v>
      </x:c>
      <x:c r="C4" s="133" t="str">
        <x:v>conditioning_enabled</x:v>
      </x:c>
      <x:c r="D4" s="140" t="b">
        <x:v>1</x:v>
      </x:c>
      <x:c r="E4" s="133" t="str">
        <x:v>boolean</x:v>
      </x:c>
      <x:c r="F4" s="133" t="str">
        <x:v>All</x:v>
      </x:c>
      <x:c r="G4" s="133" t="str">
        <x:v>All</x:v>
      </x:c>
      <x:c r="H4" s="135"/>
      <x:c r="I4" s="135"/>
      <x:c r="J4" s="133" t="str">
        <x:v>none</x:v>
      </x:c>
      <x:c r="K4" s="136" t="b">
        <x:v>1</x:v>
      </x:c>
      <x:c r="L4" s="137" t="str">
        <x:v>assumed</x:v>
      </x:c>
      <x:c r="M4" s="137" t="str">
        <x:v>E</x:v>
      </x:c>
      <x:c r="N4" s="133"/>
      <x:c r="O4" s="133" t="str">
        <x:v>Structural placeholder; replace with measured, experimental, literature, or vendor data before interpretation.</x:v>
      </x:c>
      <x:c r="P4" s="133"/>
      <x:c r="Q4" s="133" t="str">
        <x:v>assumed</x:v>
      </x:c>
      <x:c r="R4" s="133" t="n">
        <x:v>100</x:v>
      </x:c>
      <x:c r="S4" s="138" t="b">
        <x:v>1</x:v>
      </x:c>
      <x:c r="T4" s="139" t="n">
        <x:v>5</x:v>
      </x:c>
      <x:c r="U4" s="139" t="str">
        <x:v>LIM-P5-001</x:v>
      </x:c>
    </x:row>
    <x:row r="5" ht="32" customHeight="1">
      <x:c r="A5" s="133" t="str">
        <x:v>conditioning</x:v>
      </x:c>
      <x:c r="B5" s="133" t="str">
        <x:v>Conditioning method</x:v>
      </x:c>
      <x:c r="C5" s="133" t="str">
        <x:v>conditioning_method</x:v>
      </x:c>
      <x:c r="D5" s="134" t="str">
        <x:v>empirical_dose</x:v>
      </x:c>
      <x:c r="E5" s="133" t="str">
        <x:v>method</x:v>
      </x:c>
      <x:c r="F5" s="133" t="str">
        <x:v>All</x:v>
      </x:c>
      <x:c r="G5" s="133" t="str">
        <x:v>All</x:v>
      </x:c>
      <x:c r="H5" s="135"/>
      <x:c r="I5" s="135"/>
      <x:c r="J5" s="133" t="str">
        <x:v>none</x:v>
      </x:c>
      <x:c r="K5" s="136" t="b">
        <x:v>1</x:v>
      </x:c>
      <x:c r="L5" s="137" t="str">
        <x:v>assumed</x:v>
      </x:c>
      <x:c r="M5" s="137" t="str">
        <x:v>E</x:v>
      </x:c>
      <x:c r="N5" s="133"/>
      <x:c r="O5" s="133" t="str">
        <x:v>Structural placeholder; replace with measured, experimental, literature, or vendor data before interpretation.</x:v>
      </x:c>
      <x:c r="P5" s="133"/>
      <x:c r="Q5" s="133" t="str">
        <x:v>assumed</x:v>
      </x:c>
      <x:c r="R5" s="133" t="n">
        <x:v>100</x:v>
      </x:c>
      <x:c r="S5" s="138" t="b">
        <x:v>1</x:v>
      </x:c>
      <x:c r="T5" s="139" t="n">
        <x:v>5</x:v>
      </x:c>
      <x:c r="U5" s="139" t="str">
        <x:v>LIM-P5-001</x:v>
      </x:c>
    </x:row>
    <x:row r="6" ht="32" customHeight="1">
      <x:c r="A6" s="133" t="str">
        <x:v>conditioning</x:v>
      </x:c>
      <x:c r="B6" s="133" t="str">
        <x:v>Base component</x:v>
      </x:c>
      <x:c r="C6" s="133" t="str">
        <x:v>conditioning_base_type</x:v>
      </x:c>
      <x:c r="D6" s="134" t="str">
        <x:v>SodiumHydroxide</x:v>
      </x:c>
      <x:c r="E6" s="133" t="str">
        <x:v>component ID</x:v>
      </x:c>
      <x:c r="F6" s="133" t="str">
        <x:v>All</x:v>
      </x:c>
      <x:c r="G6" s="133" t="str">
        <x:v>All</x:v>
      </x:c>
      <x:c r="H6" s="135"/>
      <x:c r="I6" s="135"/>
      <x:c r="J6" s="133" t="str">
        <x:v>none</x:v>
      </x:c>
      <x:c r="K6" s="136" t="b">
        <x:v>1</x:v>
      </x:c>
      <x:c r="L6" s="137" t="str">
        <x:v>assumed</x:v>
      </x:c>
      <x:c r="M6" s="137" t="str">
        <x:v>E</x:v>
      </x:c>
      <x:c r="N6" s="133"/>
      <x:c r="O6" s="133" t="str">
        <x:v>Structural placeholder; replace with measured, experimental, literature, or vendor data before interpretation.</x:v>
      </x:c>
      <x:c r="P6" s="133"/>
      <x:c r="Q6" s="133" t="str">
        <x:v>assumed</x:v>
      </x:c>
      <x:c r="R6" s="133" t="n">
        <x:v>100</x:v>
      </x:c>
      <x:c r="S6" s="138" t="b">
        <x:v>1</x:v>
      </x:c>
      <x:c r="T6" s="139" t="n">
        <x:v>5</x:v>
      </x:c>
      <x:c r="U6" s="139" t="str">
        <x:v>LIM-P5-001</x:v>
      </x:c>
    </x:row>
    <x:row r="7" ht="32" customHeight="1">
      <x:c r="A7" s="133" t="str">
        <x:v>conditioning</x:v>
      </x:c>
      <x:c r="B7" s="133" t="str">
        <x:v>Base solution mass fraction</x:v>
      </x:c>
      <x:c r="C7" s="133" t="str">
        <x:v>conditioning_base_solution_mass_fraction</x:v>
      </x:c>
      <x:c r="D7" s="134" t="n">
        <x:v>0.5</x:v>
      </x:c>
      <x:c r="E7" s="133" t="str">
        <x:v>kg active/kg solution</x:v>
      </x:c>
      <x:c r="F7" s="133" t="str">
        <x:v>All</x:v>
      </x:c>
      <x:c r="G7" s="133" t="str">
        <x:v>All</x:v>
      </x:c>
      <x:c r="H7" s="135" t="n">
        <x:v>0.000001</x:v>
      </x:c>
      <x:c r="I7" s="135" t="n">
        <x:v>1</x:v>
      </x:c>
      <x:c r="J7" s="133" t="str">
        <x:v>none</x:v>
      </x:c>
      <x:c r="K7" s="136" t="b">
        <x:v>1</x:v>
      </x:c>
      <x:c r="L7" s="137" t="str">
        <x:v>assumed</x:v>
      </x:c>
      <x:c r="M7" s="137" t="str">
        <x:v>E</x:v>
      </x:c>
      <x:c r="N7" s="133"/>
      <x:c r="O7" s="133" t="str">
        <x:v>Structural placeholder; replace with measured, experimental, literature, or vendor data before interpretation.</x:v>
      </x:c>
      <x:c r="P7" s="133"/>
      <x:c r="Q7" s="133" t="str">
        <x:v>assumed</x:v>
      </x:c>
      <x:c r="R7" s="133" t="n">
        <x:v>100</x:v>
      </x:c>
      <x:c r="S7" s="138" t="b">
        <x:v>1</x:v>
      </x:c>
      <x:c r="T7" s="139" t="n">
        <x:v>5</x:v>
      </x:c>
      <x:c r="U7" s="139" t="str">
        <x:v>LIM-P5-001</x:v>
      </x:c>
    </x:row>
    <x:row r="8" ht="32" customHeight="1">
      <x:c r="A8" s="133" t="str">
        <x:v>conditioning</x:v>
      </x:c>
      <x:c r="B8" s="133" t="str">
        <x:v>Base purity</x:v>
      </x:c>
      <x:c r="C8" s="133" t="str">
        <x:v>conditioning_base_purity</x:v>
      </x:c>
      <x:c r="D8" s="134" t="n">
        <x:v>1</x:v>
      </x:c>
      <x:c r="E8" s="133" t="str">
        <x:v>fraction</x:v>
      </x:c>
      <x:c r="F8" s="133" t="str">
        <x:v>All</x:v>
      </x:c>
      <x:c r="G8" s="133" t="str">
        <x:v>All</x:v>
      </x:c>
      <x:c r="H8" s="135" t="n">
        <x:v>0.000001</x:v>
      </x:c>
      <x:c r="I8" s="135" t="n">
        <x:v>1</x:v>
      </x:c>
      <x:c r="J8" s="133" t="str">
        <x:v>none</x:v>
      </x:c>
      <x:c r="K8" s="136" t="b">
        <x:v>1</x:v>
      </x:c>
      <x:c r="L8" s="137" t="str">
        <x:v>assumed</x:v>
      </x:c>
      <x:c r="M8" s="137" t="str">
        <x:v>E</x:v>
      </x:c>
      <x:c r="N8" s="133"/>
      <x:c r="O8" s="133" t="str">
        <x:v>Structural placeholder; replace with measured, experimental, literature, or vendor data before interpretation.</x:v>
      </x:c>
      <x:c r="P8" s="133"/>
      <x:c r="Q8" s="133" t="str">
        <x:v>assumed</x:v>
      </x:c>
      <x:c r="R8" s="133" t="n">
        <x:v>100</x:v>
      </x:c>
      <x:c r="S8" s="138" t="b">
        <x:v>1</x:v>
      </x:c>
      <x:c r="T8" s="139" t="n">
        <x:v>5</x:v>
      </x:c>
      <x:c r="U8" s="139" t="str">
        <x:v>LIM-P5-001</x:v>
      </x:c>
    </x:row>
    <x:row r="9" ht="32" customHeight="1">
      <x:c r="A9" s="133" t="str">
        <x:v>conditioning</x:v>
      </x:c>
      <x:c r="B9" s="133" t="str">
        <x:v>Pure base dose</x:v>
      </x:c>
      <x:c r="C9" s="133" t="str">
        <x:v>conditioning_base_dose_kg_m3</x:v>
      </x:c>
      <x:c r="D9" s="134" t="n">
        <x:v>0.05</x:v>
      </x:c>
      <x:c r="E9" s="133" t="str">
        <x:v>kg/m3 feed</x:v>
      </x:c>
      <x:c r="F9" s="133" t="str">
        <x:v>All</x:v>
      </x:c>
      <x:c r="G9" s="133" t="str">
        <x:v>All</x:v>
      </x:c>
      <x:c r="H9" s="135" t="n">
        <x:v>0</x:v>
      </x:c>
      <x:c r="I9" s="135" t="n">
        <x:v>100</x:v>
      </x:c>
      <x:c r="J9" s="133" t="str">
        <x:v>none</x:v>
      </x:c>
      <x:c r="K9" s="136" t="b">
        <x:v>1</x:v>
      </x:c>
      <x:c r="L9" s="137" t="str">
        <x:v>assumed</x:v>
      </x:c>
      <x:c r="M9" s="137" t="str">
        <x:v>E</x:v>
      </x:c>
      <x:c r="N9" s="133"/>
      <x:c r="O9" s="133" t="str">
        <x:v>Structural placeholder; replace with measured, experimental, literature, or vendor data before interpretation.</x:v>
      </x:c>
      <x:c r="P9" s="133" t="str">
        <x:v>empirical dose</x:v>
      </x:c>
      <x:c r="Q9" s="133" t="str">
        <x:v>assumed</x:v>
      </x:c>
      <x:c r="R9" s="133" t="n">
        <x:v>100</x:v>
      </x:c>
      <x:c r="S9" s="138" t="b">
        <x:v>1</x:v>
      </x:c>
      <x:c r="T9" s="139" t="n">
        <x:v>5</x:v>
      </x:c>
      <x:c r="U9" s="139" t="str">
        <x:v>LIM-P5-001</x:v>
      </x:c>
    </x:row>
    <x:row r="10" ht="32" customHeight="1">
      <x:c r="A10" s="133" t="str">
        <x:v>conditioning</x:v>
      </x:c>
      <x:c r="B10" s="133" t="str">
        <x:v>Dilution-water ratio</x:v>
      </x:c>
      <x:c r="C10" s="133" t="str">
        <x:v>dilution_water_kg_per_kg_feed</x:v>
      </x:c>
      <x:c r="D10" s="134" t="n">
        <x:v>0</x:v>
      </x:c>
      <x:c r="E10" s="133" t="str">
        <x:v>kg/kg feed</x:v>
      </x:c>
      <x:c r="F10" s="133" t="str">
        <x:v>All</x:v>
      </x:c>
      <x:c r="G10" s="133" t="str">
        <x:v>All</x:v>
      </x:c>
      <x:c r="H10" s="135" t="n">
        <x:v>0</x:v>
      </x:c>
      <x:c r="I10" s="135" t="n">
        <x:v>10</x:v>
      </x:c>
      <x:c r="J10" s="133" t="str">
        <x:v>none</x:v>
      </x:c>
      <x:c r="K10" s="136" t="b">
        <x:v>1</x:v>
      </x:c>
      <x:c r="L10" s="137" t="str">
        <x:v>assumed</x:v>
      </x:c>
      <x:c r="M10" s="137" t="str">
        <x:v>E</x:v>
      </x:c>
      <x:c r="N10" s="133"/>
      <x:c r="O10" s="133" t="str">
        <x:v>Structural placeholder; replace with measured, experimental, literature, or vendor data before interpretation.</x:v>
      </x:c>
      <x:c r="P10" s="133"/>
      <x:c r="Q10" s="133" t="str">
        <x:v>assumed</x:v>
      </x:c>
      <x:c r="R10" s="133" t="n">
        <x:v>100</x:v>
      </x:c>
      <x:c r="S10" s="138" t="b">
        <x:v>1</x:v>
      </x:c>
      <x:c r="T10" s="139" t="n">
        <x:v>5</x:v>
      </x:c>
      <x:c r="U10" s="139" t="str">
        <x:v>LIM-P5-001</x:v>
      </x:c>
    </x:row>
    <x:row r="11" ht="32" customHeight="1">
      <x:c r="A11" s="133" t="str">
        <x:v>conditioning</x:v>
      </x:c>
      <x:c r="B11" s="133" t="str">
        <x:v>Target digester-feed pH</x:v>
      </x:c>
      <x:c r="C11" s="133" t="str">
        <x:v>target_digester_feed_pH</x:v>
      </x:c>
      <x:c r="D11" s="134" t="n">
        <x:v>7.2</x:v>
      </x:c>
      <x:c r="E11" s="133" t="str">
        <x:v>pH</x:v>
      </x:c>
      <x:c r="F11" s="133" t="str">
        <x:v>All</x:v>
      </x:c>
      <x:c r="G11" s="133" t="str">
        <x:v>All</x:v>
      </x:c>
      <x:c r="H11" s="135" t="n">
        <x:v>0</x:v>
      </x:c>
      <x:c r="I11" s="135" t="n">
        <x:v>14</x:v>
      </x:c>
      <x:c r="J11" s="133" t="str">
        <x:v>none</x:v>
      </x:c>
      <x:c r="K11" s="136" t="b">
        <x:v>1</x:v>
      </x:c>
      <x:c r="L11" s="137" t="str">
        <x:v>assumed</x:v>
      </x:c>
      <x:c r="M11" s="137" t="str">
        <x:v>E</x:v>
      </x:c>
      <x:c r="N11" s="133"/>
      <x:c r="O11" s="133" t="str">
        <x:v>Structural placeholder; replace with measured, experimental, literature, or vendor data before interpretation.</x:v>
      </x:c>
      <x:c r="P11" s="133" t="str">
        <x:v>metadata</x:v>
      </x:c>
      <x:c r="Q11" s="133" t="str">
        <x:v>assumed</x:v>
      </x:c>
      <x:c r="R11" s="133" t="n">
        <x:v>100</x:v>
      </x:c>
      <x:c r="S11" s="138" t="b">
        <x:v>1</x:v>
      </x:c>
      <x:c r="T11" s="139" t="n">
        <x:v>5</x:v>
      </x:c>
      <x:c r="U11" s="139" t="str">
        <x:v>LIM-P5-001</x:v>
      </x:c>
    </x:row>
    <x:row r="12" ht="32" customHeight="1">
      <x:c r="A12" s="133" t="str">
        <x:v>conditioning</x:v>
      </x:c>
      <x:c r="B12" s="133" t="str">
        <x:v>Reagent temperature</x:v>
      </x:c>
      <x:c r="C12" s="133" t="str">
        <x:v>conditioning_reagent_temperature_c</x:v>
      </x:c>
      <x:c r="D12" s="134" t="n">
        <x:v>25</x:v>
      </x:c>
      <x:c r="E12" s="133" t="str">
        <x:v>degC</x:v>
      </x:c>
      <x:c r="F12" s="133" t="str">
        <x:v>All</x:v>
      </x:c>
      <x:c r="G12" s="133" t="str">
        <x:v>All</x:v>
      </x:c>
      <x:c r="H12" s="135" t="n">
        <x:v>0</x:v>
      </x:c>
      <x:c r="I12" s="135" t="n">
        <x:v>100</x:v>
      </x:c>
      <x:c r="J12" s="133" t="str">
        <x:v>none</x:v>
      </x:c>
      <x:c r="K12" s="136" t="b">
        <x:v>1</x:v>
      </x:c>
      <x:c r="L12" s="137" t="str">
        <x:v>assumed</x:v>
      </x:c>
      <x:c r="M12" s="137" t="str">
        <x:v>E</x:v>
      </x:c>
      <x:c r="N12" s="133"/>
      <x:c r="O12" s="133" t="str">
        <x:v>Structural placeholder; replace with measured, experimental, literature, or vendor data before interpretation.</x:v>
      </x:c>
      <x:c r="P12" s="133"/>
      <x:c r="Q12" s="133" t="str">
        <x:v>assumed</x:v>
      </x:c>
      <x:c r="R12" s="133" t="n">
        <x:v>100</x:v>
      </x:c>
      <x:c r="S12" s="138" t="b">
        <x:v>1</x:v>
      </x:c>
      <x:c r="T12" s="139" t="n">
        <x:v>5</x:v>
      </x:c>
      <x:c r="U12" s="139" t="str">
        <x:v>LIM-P5-001</x:v>
      </x:c>
    </x:row>
    <x:row r="13" ht="32" customHeight="1">
      <x:c r="A13" s="133" t="str">
        <x:v>conditioning</x:v>
      </x:c>
      <x:c r="B13" s="133" t="str">
        <x:v>Mixing time</x:v>
      </x:c>
      <x:c r="C13" s="133" t="str">
        <x:v>conditioning_mixing_time_min</x:v>
      </x:c>
      <x:c r="D13" s="134" t="n">
        <x:v>5</x:v>
      </x:c>
      <x:c r="E13" s="133" t="str">
        <x:v>min</x:v>
      </x:c>
      <x:c r="F13" s="133" t="str">
        <x:v>All</x:v>
      </x:c>
      <x:c r="G13" s="133" t="str">
        <x:v>All</x:v>
      </x:c>
      <x:c r="H13" s="135" t="n">
        <x:v>0</x:v>
      </x:c>
      <x:c r="I13" s="135" t="n">
        <x:v>1440</x:v>
      </x:c>
      <x:c r="J13" s="133" t="str">
        <x:v>none</x:v>
      </x:c>
      <x:c r="K13" s="136" t="b">
        <x:v>1</x:v>
      </x:c>
      <x:c r="L13" s="137" t="str">
        <x:v>assumed</x:v>
      </x:c>
      <x:c r="M13" s="137" t="str">
        <x:v>E</x:v>
      </x:c>
      <x:c r="N13" s="133"/>
      <x:c r="O13" s="133" t="str">
        <x:v>Structural placeholder; replace with measured, experimental, literature, or vendor data before interpretation.</x:v>
      </x:c>
      <x:c r="P13" s="133"/>
      <x:c r="Q13" s="133" t="str">
        <x:v>assumed</x:v>
      </x:c>
      <x:c r="R13" s="133" t="n">
        <x:v>100</x:v>
      </x:c>
      <x:c r="S13" s="138" t="b">
        <x:v>1</x:v>
      </x:c>
      <x:c r="T13" s="139" t="n">
        <x:v>5</x:v>
      </x:c>
      <x:c r="U13" s="139" t="str">
        <x:v>LIM-P5-001</x:v>
      </x:c>
    </x:row>
    <x:row r="14" ht="32" customHeight="1">
      <x:c r="A14" s="133" t="str">
        <x:v>conditioning</x:v>
      </x:c>
      <x:c r="B14" s="133" t="str">
        <x:v>Specific conditioning-mixing power</x:v>
      </x:c>
      <x:c r="C14" s="133" t="str">
        <x:v>conditioning_mixing_power_kw_m3</x:v>
      </x:c>
      <x:c r="D14" s="134" t="n">
        <x:v>0.05</x:v>
      </x:c>
      <x:c r="E14" s="133" t="str">
        <x:v>kW/m3</x:v>
      </x:c>
      <x:c r="F14" s="133" t="str">
        <x:v>All</x:v>
      </x:c>
      <x:c r="G14" s="133" t="str">
        <x:v>All</x:v>
      </x:c>
      <x:c r="H14" s="135" t="n">
        <x:v>0</x:v>
      </x:c>
      <x:c r="I14" s="135" t="n">
        <x:v>10</x:v>
      </x:c>
      <x:c r="J14" s="133" t="str">
        <x:v>none</x:v>
      </x:c>
      <x:c r="K14" s="136" t="b">
        <x:v>1</x:v>
      </x:c>
      <x:c r="L14" s="137" t="str">
        <x:v>assumed</x:v>
      </x:c>
      <x:c r="M14" s="137" t="str">
        <x:v>E</x:v>
      </x:c>
      <x:c r="N14" s="133"/>
      <x:c r="O14" s="133" t="str">
        <x:v>Structural placeholder; replace with measured, experimental, literature, or vendor data before interpretation.</x:v>
      </x:c>
      <x:c r="P14" s="133"/>
      <x:c r="Q14" s="133" t="str">
        <x:v>assumed</x:v>
      </x:c>
      <x:c r="R14" s="133" t="n">
        <x:v>100</x:v>
      </x:c>
      <x:c r="S14" s="138" t="b">
        <x:v>1</x:v>
      </x:c>
      <x:c r="T14" s="139" t="n">
        <x:v>5</x:v>
      </x:c>
      <x:c r="U14" s="139" t="str">
        <x:v>LIM-P5-011</x:v>
      </x:c>
    </x:row>
    <x:row r="15" ht="32" customHeight="1">
      <x:c r="A15" s="133" t="str">
        <x:v>reactor</x:v>
      </x:c>
      <x:c r="B15" s="133" t="str">
        <x:v>Digestion calculation mode</x:v>
      </x:c>
      <x:c r="C15" s="133" t="str">
        <x:v>digestion_calculation_mode</x:v>
      </x:c>
      <x:c r="D15" s="134" t="str">
        <x:v>hybrid</x:v>
      </x:c>
      <x:c r="E15" s="133" t="str">
        <x:v>mode</x:v>
      </x:c>
      <x:c r="F15" s="133" t="str">
        <x:v>All</x:v>
      </x:c>
      <x:c r="G15" s="133" t="str">
        <x:v>All</x:v>
      </x:c>
      <x:c r="H15" s="135"/>
      <x:c r="I15" s="135"/>
      <x:c r="J15" s="133" t="str">
        <x:v>none</x:v>
      </x:c>
      <x:c r="K15" s="136" t="b">
        <x:v>1</x:v>
      </x:c>
      <x:c r="L15" s="137" t="str">
        <x:v>assumed</x:v>
      </x:c>
      <x:c r="M15" s="137" t="str">
        <x:v>E</x:v>
      </x:c>
      <x:c r="N15" s="133"/>
      <x:c r="O15" s="133" t="str">
        <x:v>Structural placeholder; replace with measured, experimental, literature, or vendor data before interpretation.</x:v>
      </x:c>
      <x:c r="P15" s="133"/>
      <x:c r="Q15" s="133" t="str">
        <x:v>assumed</x:v>
      </x:c>
      <x:c r="R15" s="133" t="n">
        <x:v>100</x:v>
      </x:c>
      <x:c r="S15" s="138" t="b">
        <x:v>1</x:v>
      </x:c>
      <x:c r="T15" s="139" t="n">
        <x:v>5</x:v>
      </x:c>
      <x:c r="U15" s="139" t="str">
        <x:v>LIM-P5-003</x:v>
      </x:c>
    </x:row>
    <x:row r="16" ht="32" customHeight="1">
      <x:c r="A16" s="133" t="str">
        <x:v>reactor</x:v>
      </x:c>
      <x:c r="B16" s="133" t="str">
        <x:v>Digester temperature</x:v>
      </x:c>
      <x:c r="C16" s="133" t="str">
        <x:v>digester_temperature_c</x:v>
      </x:c>
      <x:c r="D16" s="134" t="n">
        <x:v>35</x:v>
      </x:c>
      <x:c r="E16" s="133" t="str">
        <x:v>degC</x:v>
      </x:c>
      <x:c r="F16" s="133" t="str">
        <x:v>All</x:v>
      </x:c>
      <x:c r="G16" s="133" t="str">
        <x:v>All</x:v>
      </x:c>
      <x:c r="H16" s="135" t="n">
        <x:v>0</x:v>
      </x:c>
      <x:c r="I16" s="135" t="n">
        <x:v>80</x:v>
      </x:c>
      <x:c r="J16" s="133" t="str">
        <x:v>none</x:v>
      </x:c>
      <x:c r="K16" s="136" t="b">
        <x:v>1</x:v>
      </x:c>
      <x:c r="L16" s="137" t="str">
        <x:v>assumed</x:v>
      </x:c>
      <x:c r="M16" s="137" t="str">
        <x:v>E</x:v>
      </x:c>
      <x:c r="N16" s="133"/>
      <x:c r="O16" s="133" t="str">
        <x:v>Structural placeholder; replace with measured, experimental, literature, or vendor data before interpretation.</x:v>
      </x:c>
      <x:c r="P16" s="133"/>
      <x:c r="Q16" s="133" t="str">
        <x:v>assumed</x:v>
      </x:c>
      <x:c r="R16" s="133" t="n">
        <x:v>100</x:v>
      </x:c>
      <x:c r="S16" s="138" t="b">
        <x:v>1</x:v>
      </x:c>
      <x:c r="T16" s="139" t="n">
        <x:v>5</x:v>
      </x:c>
      <x:c r="U16" s="139" t="str">
        <x:v>LIM-P5-003</x:v>
      </x:c>
    </x:row>
    <x:row r="17" ht="32" customHeight="1">
      <x:c r="A17" s="133" t="str">
        <x:v>reactor</x:v>
      </x:c>
      <x:c r="B17" s="133" t="str">
        <x:v>Digester pH</x:v>
      </x:c>
      <x:c r="C17" s="133" t="str">
        <x:v>digester_pH</x:v>
      </x:c>
      <x:c r="D17" s="134" t="n">
        <x:v>7.2</x:v>
      </x:c>
      <x:c r="E17" s="133" t="str">
        <x:v>pH</x:v>
      </x:c>
      <x:c r="F17" s="133" t="str">
        <x:v>All</x:v>
      </x:c>
      <x:c r="G17" s="133" t="str">
        <x:v>All</x:v>
      </x:c>
      <x:c r="H17" s="135" t="n">
        <x:v>0</x:v>
      </x:c>
      <x:c r="I17" s="135" t="n">
        <x:v>14</x:v>
      </x:c>
      <x:c r="J17" s="133" t="str">
        <x:v>none</x:v>
      </x:c>
      <x:c r="K17" s="136" t="b">
        <x:v>1</x:v>
      </x:c>
      <x:c r="L17" s="137" t="str">
        <x:v>assumed</x:v>
      </x:c>
      <x:c r="M17" s="137" t="str">
        <x:v>E</x:v>
      </x:c>
      <x:c r="N17" s="133"/>
      <x:c r="O17" s="133" t="str">
        <x:v>Structural placeholder; replace with measured, experimental, literature, or vendor data before interpretation.</x:v>
      </x:c>
      <x:c r="P17" s="133"/>
      <x:c r="Q17" s="133" t="str">
        <x:v>assumed</x:v>
      </x:c>
      <x:c r="R17" s="133" t="n">
        <x:v>100</x:v>
      </x:c>
      <x:c r="S17" s="138" t="b">
        <x:v>1</x:v>
      </x:c>
      <x:c r="T17" s="139" t="n">
        <x:v>5</x:v>
      </x:c>
      <x:c r="U17" s="139" t="str">
        <x:v>LIM-P5-006</x:v>
      </x:c>
    </x:row>
    <x:row r="18" ht="32" customHeight="1">
      <x:c r="A18" s="133" t="str">
        <x:v>reactor</x:v>
      </x:c>
      <x:c r="B18" s="133" t="str">
        <x:v>Hydraulic retention time</x:v>
      </x:c>
      <x:c r="C18" s="133" t="str">
        <x:v>digester_hrt_days</x:v>
      </x:c>
      <x:c r="D18" s="134" t="n">
        <x:v>25</x:v>
      </x:c>
      <x:c r="E18" s="133" t="str">
        <x:v>d</x:v>
      </x:c>
      <x:c r="F18" s="133" t="str">
        <x:v>All</x:v>
      </x:c>
      <x:c r="G18" s="133" t="str">
        <x:v>All</x:v>
      </x:c>
      <x:c r="H18" s="135" t="n">
        <x:v>0.000001</x:v>
      </x:c>
      <x:c r="I18" s="135" t="n">
        <x:v>365</x:v>
      </x:c>
      <x:c r="J18" s="133" t="str">
        <x:v>none</x:v>
      </x:c>
      <x:c r="K18" s="136" t="b">
        <x:v>1</x:v>
      </x:c>
      <x:c r="L18" s="137" t="str">
        <x:v>assumed</x:v>
      </x:c>
      <x:c r="M18" s="137" t="str">
        <x:v>E</x:v>
      </x:c>
      <x:c r="N18" s="133"/>
      <x:c r="O18" s="133" t="str">
        <x:v>Structural placeholder; replace with measured, experimental, literature, or vendor data before interpretation.</x:v>
      </x:c>
      <x:c r="P18" s="133"/>
      <x:c r="Q18" s="133" t="str">
        <x:v>assumed</x:v>
      </x:c>
      <x:c r="R18" s="133" t="n">
        <x:v>100</x:v>
      </x:c>
      <x:c r="S18" s="138" t="b">
        <x:v>1</x:v>
      </x:c>
      <x:c r="T18" s="139" t="n">
        <x:v>5</x:v>
      </x:c>
      <x:c r="U18" s="139" t="str">
        <x:v>LIM-P5-002</x:v>
      </x:c>
    </x:row>
    <x:row r="19" ht="32" customHeight="1">
      <x:c r="A19" s="133" t="str">
        <x:v>reactor</x:v>
      </x:c>
      <x:c r="B19" s="133" t="str">
        <x:v>Solids retention time</x:v>
      </x:c>
      <x:c r="C19" s="133" t="str">
        <x:v>digester_srt_days</x:v>
      </x:c>
      <x:c r="D19" s="134" t="n">
        <x:v>25</x:v>
      </x:c>
      <x:c r="E19" s="133" t="str">
        <x:v>d</x:v>
      </x:c>
      <x:c r="F19" s="133" t="str">
        <x:v>All</x:v>
      </x:c>
      <x:c r="G19" s="133" t="str">
        <x:v>All</x:v>
      </x:c>
      <x:c r="H19" s="135" t="n">
        <x:v>0.000001</x:v>
      </x:c>
      <x:c r="I19" s="135" t="n">
        <x:v>365</x:v>
      </x:c>
      <x:c r="J19" s="133" t="str">
        <x:v>none</x:v>
      </x:c>
      <x:c r="K19" s="136" t="b">
        <x:v>1</x:v>
      </x:c>
      <x:c r="L19" s="137" t="str">
        <x:v>assumed</x:v>
      </x:c>
      <x:c r="M19" s="137" t="str">
        <x:v>E</x:v>
      </x:c>
      <x:c r="N19" s="133"/>
      <x:c r="O19" s="133" t="str">
        <x:v>Set equal to HRT because no biomass-retention mechanism is active.</x:v>
      </x:c>
      <x:c r="P19" s="133"/>
      <x:c r="Q19" s="133" t="str">
        <x:v>assumed</x:v>
      </x:c>
      <x:c r="R19" s="133" t="n">
        <x:v>100</x:v>
      </x:c>
      <x:c r="S19" s="138" t="b">
        <x:v>1</x:v>
      </x:c>
      <x:c r="T19" s="139" t="n">
        <x:v>5</x:v>
      </x:c>
      <x:c r="U19" s="139" t="str">
        <x:v>LIM-P5-012</x:v>
      </x:c>
    </x:row>
    <x:row r="20" ht="32" customHeight="1">
      <x:c r="A20" s="133" t="str">
        <x:v>reactor</x:v>
      </x:c>
      <x:c r="B20" s="133" t="str">
        <x:v>Target COD organic loading</x:v>
      </x:c>
      <x:c r="C20" s="133" t="str">
        <x:v>target_cod_olr_kg_m3_day</x:v>
      </x:c>
      <x:c r="D20" s="134" t="n">
        <x:v>2.5</x:v>
      </x:c>
      <x:c r="E20" s="133" t="str">
        <x:v>kg COD/m3/d</x:v>
      </x:c>
      <x:c r="F20" s="133" t="str">
        <x:v>All</x:v>
      </x:c>
      <x:c r="G20" s="133" t="str">
        <x:v>All</x:v>
      </x:c>
      <x:c r="H20" s="135" t="n">
        <x:v>0.000001</x:v>
      </x:c>
      <x:c r="I20" s="135" t="n">
        <x:v>100</x:v>
      </x:c>
      <x:c r="J20" s="133" t="str">
        <x:v>none</x:v>
      </x:c>
      <x:c r="K20" s="136" t="b">
        <x:v>1</x:v>
      </x:c>
      <x:c r="L20" s="137" t="str">
        <x:v>assumed</x:v>
      </x:c>
      <x:c r="M20" s="137" t="str">
        <x:v>E</x:v>
      </x:c>
      <x:c r="N20" s="133"/>
      <x:c r="O20" s="133" t="str">
        <x:v>Structural placeholder; replace with measured, experimental, literature, or vendor data before interpretation.</x:v>
      </x:c>
      <x:c r="P20" s="133"/>
      <x:c r="Q20" s="133" t="str">
        <x:v>assumed</x:v>
      </x:c>
      <x:c r="R20" s="133" t="n">
        <x:v>100</x:v>
      </x:c>
      <x:c r="S20" s="138" t="b">
        <x:v>1</x:v>
      </x:c>
      <x:c r="T20" s="139" t="n">
        <x:v>5</x:v>
      </x:c>
      <x:c r="U20" s="139" t="str">
        <x:v>LIM-P5-002</x:v>
      </x:c>
    </x:row>
    <x:row r="21" ht="32" customHeight="1">
      <x:c r="A21" s="133" t="str">
        <x:v>reactor</x:v>
      </x:c>
      <x:c r="B21" s="133" t="str">
        <x:v>Target VS organic loading</x:v>
      </x:c>
      <x:c r="C21" s="133" t="str">
        <x:v>target_vs_olr_kg_m3_day</x:v>
      </x:c>
      <x:c r="D21" s="134" t="n">
        <x:v>1.5</x:v>
      </x:c>
      <x:c r="E21" s="133" t="str">
        <x:v>kg VS/m3/d</x:v>
      </x:c>
      <x:c r="F21" s="133" t="str">
        <x:v>All</x:v>
      </x:c>
      <x:c r="G21" s="133" t="str">
        <x:v>All</x:v>
      </x:c>
      <x:c r="H21" s="135" t="n">
        <x:v>0.000001</x:v>
      </x:c>
      <x:c r="I21" s="135" t="n">
        <x:v>100</x:v>
      </x:c>
      <x:c r="J21" s="133" t="str">
        <x:v>none</x:v>
      </x:c>
      <x:c r="K21" s="136" t="b">
        <x:v>1</x:v>
      </x:c>
      <x:c r="L21" s="137" t="str">
        <x:v>assumed</x:v>
      </x:c>
      <x:c r="M21" s="137" t="str">
        <x:v>E</x:v>
      </x:c>
      <x:c r="N21" s="133"/>
      <x:c r="O21" s="133" t="str">
        <x:v>Structural placeholder; replace with measured, experimental, literature, or vendor data before interpretation.</x:v>
      </x:c>
      <x:c r="P21" s="133"/>
      <x:c r="Q21" s="133" t="str">
        <x:v>assumed</x:v>
      </x:c>
      <x:c r="R21" s="133" t="n">
        <x:v>100</x:v>
      </x:c>
      <x:c r="S21" s="138" t="b">
        <x:v>1</x:v>
      </x:c>
      <x:c r="T21" s="139" t="n">
        <x:v>5</x:v>
      </x:c>
      <x:c r="U21" s="139" t="str">
        <x:v>LIM-P5-002</x:v>
      </x:c>
    </x:row>
    <x:row r="22" ht="32" customHeight="1">
      <x:c r="A22" s="133" t="str">
        <x:v>reactor</x:v>
      </x:c>
      <x:c r="B22" s="133" t="str">
        <x:v>Sizing reconciliation mode</x:v>
      </x:c>
      <x:c r="C22" s="133" t="str">
        <x:v>digester_sizing_mode</x:v>
      </x:c>
      <x:c r="D22" s="134" t="str">
        <x:v>maximum_required_volume</x:v>
      </x:c>
      <x:c r="E22" s="133" t="str">
        <x:v>mode</x:v>
      </x:c>
      <x:c r="F22" s="133" t="str">
        <x:v>All</x:v>
      </x:c>
      <x:c r="G22" s="133" t="str">
        <x:v>All</x:v>
      </x:c>
      <x:c r="H22" s="135"/>
      <x:c r="I22" s="135"/>
      <x:c r="J22" s="133" t="str">
        <x:v>none</x:v>
      </x:c>
      <x:c r="K22" s="136" t="b">
        <x:v>1</x:v>
      </x:c>
      <x:c r="L22" s="137" t="str">
        <x:v>assumed</x:v>
      </x:c>
      <x:c r="M22" s="137" t="str">
        <x:v>E</x:v>
      </x:c>
      <x:c r="N22" s="133"/>
      <x:c r="O22" s="133" t="str">
        <x:v>Structural placeholder; replace with measured, experimental, literature, or vendor data before interpretation.</x:v>
      </x:c>
      <x:c r="P22" s="133"/>
      <x:c r="Q22" s="133" t="str">
        <x:v>assumed</x:v>
      </x:c>
      <x:c r="R22" s="133" t="n">
        <x:v>100</x:v>
      </x:c>
      <x:c r="S22" s="138" t="b">
        <x:v>1</x:v>
      </x:c>
      <x:c r="T22" s="139" t="n">
        <x:v>5</x:v>
      </x:c>
      <x:c r="U22" s="139" t="str">
        <x:v>LIM-P5-010</x:v>
      </x:c>
    </x:row>
    <x:row r="23" ht="32" customHeight="1">
      <x:c r="A23" s="133" t="str">
        <x:v>reactor</x:v>
      </x:c>
      <x:c r="B23" s="133" t="str">
        <x:v>Working-volume fraction</x:v>
      </x:c>
      <x:c r="C23" s="133" t="str">
        <x:v>digester_working_volume_fraction</x:v>
      </x:c>
      <x:c r="D23" s="134" t="n">
        <x:v>0.85</x:v>
      </x:c>
      <x:c r="E23" s="133" t="str">
        <x:v>fraction</x:v>
      </x:c>
      <x:c r="F23" s="133" t="str">
        <x:v>All</x:v>
      </x:c>
      <x:c r="G23" s="133" t="str">
        <x:v>All</x:v>
      </x:c>
      <x:c r="H23" s="135" t="n">
        <x:v>0.000001</x:v>
      </x:c>
      <x:c r="I23" s="135" t="n">
        <x:v>1</x:v>
      </x:c>
      <x:c r="J23" s="133" t="str">
        <x:v>none</x:v>
      </x:c>
      <x:c r="K23" s="136" t="b">
        <x:v>1</x:v>
      </x:c>
      <x:c r="L23" s="137" t="str">
        <x:v>assumed</x:v>
      </x:c>
      <x:c r="M23" s="137" t="str">
        <x:v>E</x:v>
      </x:c>
      <x:c r="N23" s="133"/>
      <x:c r="O23" s="133" t="str">
        <x:v>Structural placeholder; replace with measured, experimental, literature, or vendor data before interpretation.</x:v>
      </x:c>
      <x:c r="P23" s="133"/>
      <x:c r="Q23" s="133" t="str">
        <x:v>assumed</x:v>
      </x:c>
      <x:c r="R23" s="133" t="n">
        <x:v>100</x:v>
      </x:c>
      <x:c r="S23" s="138" t="b">
        <x:v>1</x:v>
      </x:c>
      <x:c r="T23" s="139" t="n">
        <x:v>5</x:v>
      </x:c>
      <x:c r="U23" s="139" t="str">
        <x:v>LIM-P5-010</x:v>
      </x:c>
    </x:row>
    <x:row r="24" ht="32" customHeight="1">
      <x:c r="A24" s="133" t="str">
        <x:v>reactor</x:v>
      </x:c>
      <x:c r="B24" s="133" t="str">
        <x:v>Headspace fraction</x:v>
      </x:c>
      <x:c r="C24" s="133" t="str">
        <x:v>digester_headspace_fraction</x:v>
      </x:c>
      <x:c r="D24" s="134" t="n">
        <x:v>0.15</x:v>
      </x:c>
      <x:c r="E24" s="133" t="str">
        <x:v>fraction</x:v>
      </x:c>
      <x:c r="F24" s="133" t="str">
        <x:v>All</x:v>
      </x:c>
      <x:c r="G24" s="133" t="str">
        <x:v>All</x:v>
      </x:c>
      <x:c r="H24" s="135" t="n">
        <x:v>0</x:v>
      </x:c>
      <x:c r="I24" s="135" t="n">
        <x:v>0.999999</x:v>
      </x:c>
      <x:c r="J24" s="133" t="str">
        <x:v>none</x:v>
      </x:c>
      <x:c r="K24" s="136" t="b">
        <x:v>1</x:v>
      </x:c>
      <x:c r="L24" s="137" t="str">
        <x:v>assumed</x:v>
      </x:c>
      <x:c r="M24" s="137" t="str">
        <x:v>E</x:v>
      </x:c>
      <x:c r="N24" s="133"/>
      <x:c r="O24" s="133" t="str">
        <x:v>Structural placeholder; replace with measured, experimental, literature, or vendor data before interpretation.</x:v>
      </x:c>
      <x:c r="P24" s="133"/>
      <x:c r="Q24" s="133" t="str">
        <x:v>assumed</x:v>
      </x:c>
      <x:c r="R24" s="133" t="n">
        <x:v>100</x:v>
      </x:c>
      <x:c r="S24" s="138" t="b">
        <x:v>1</x:v>
      </x:c>
      <x:c r="T24" s="139" t="n">
        <x:v>5</x:v>
      </x:c>
      <x:c r="U24" s="139" t="str">
        <x:v>LIM-P5-010</x:v>
      </x:c>
    </x:row>
    <x:row r="25" ht="32" customHeight="1">
      <x:c r="A25" s="133" t="str">
        <x:v>reactor</x:v>
      </x:c>
      <x:c r="B25" s="133" t="str">
        <x:v>Maximum single-digester total volume</x:v>
      </x:c>
      <x:c r="C25" s="133" t="str">
        <x:v>maximum_single_digester_volume_m3</x:v>
      </x:c>
      <x:c r="D25" s="134" t="n">
        <x:v>3000</x:v>
      </x:c>
      <x:c r="E25" s="133" t="str">
        <x:v>m3</x:v>
      </x:c>
      <x:c r="F25" s="133" t="str">
        <x:v>All</x:v>
      </x:c>
      <x:c r="G25" s="133" t="str">
        <x:v>All</x:v>
      </x:c>
      <x:c r="H25" s="135" t="n">
        <x:v>0.000001</x:v>
      </x:c>
      <x:c r="I25" s="135" t="n">
        <x:v>100000</x:v>
      </x:c>
      <x:c r="J25" s="133" t="str">
        <x:v>none</x:v>
      </x:c>
      <x:c r="K25" s="136" t="b">
        <x:v>1</x:v>
      </x:c>
      <x:c r="L25" s="137" t="str">
        <x:v>assumed</x:v>
      </x:c>
      <x:c r="M25" s="137" t="str">
        <x:v>E</x:v>
      </x:c>
      <x:c r="N25" s="133"/>
      <x:c r="O25" s="133" t="str">
        <x:v>Structural placeholder; replace with measured, experimental, literature, or vendor data before interpretation.</x:v>
      </x:c>
      <x:c r="P25" s="133"/>
      <x:c r="Q25" s="133" t="str">
        <x:v>assumed</x:v>
      </x:c>
      <x:c r="R25" s="133" t="n">
        <x:v>100</x:v>
      </x:c>
      <x:c r="S25" s="138" t="b">
        <x:v>1</x:v>
      </x:c>
      <x:c r="T25" s="139" t="n">
        <x:v>5</x:v>
      </x:c>
      <x:c r="U25" s="139" t="str">
        <x:v>LIM-P5-010</x:v>
      </x:c>
    </x:row>
    <x:row r="26" ht="32" customHeight="1">
      <x:c r="A26" s="133" t="str">
        <x:v>reactor</x:v>
      </x:c>
      <x:c r="B26" s="133" t="str">
        <x:v>Liquid height-to-diameter ratio</x:v>
      </x:c>
      <x:c r="C26" s="133" t="str">
        <x:v>digester_height_to_diameter_ratio</x:v>
      </x:c>
      <x:c r="D26" s="134" t="n">
        <x:v>1</x:v>
      </x:c>
      <x:c r="E26" s="133" t="str">
        <x:v>m/m</x:v>
      </x:c>
      <x:c r="F26" s="133" t="str">
        <x:v>All</x:v>
      </x:c>
      <x:c r="G26" s="133" t="str">
        <x:v>All</x:v>
      </x:c>
      <x:c r="H26" s="135" t="n">
        <x:v>0.000001</x:v>
      </x:c>
      <x:c r="I26" s="135" t="n">
        <x:v>10</x:v>
      </x:c>
      <x:c r="J26" s="133" t="str">
        <x:v>none</x:v>
      </x:c>
      <x:c r="K26" s="136" t="b">
        <x:v>1</x:v>
      </x:c>
      <x:c r="L26" s="137" t="str">
        <x:v>assumed</x:v>
      </x:c>
      <x:c r="M26" s="137" t="str">
        <x:v>E</x:v>
      </x:c>
      <x:c r="N26" s="133"/>
      <x:c r="O26" s="133" t="str">
        <x:v>Structural placeholder; replace with measured, experimental, literature, or vendor data before interpretation.</x:v>
      </x:c>
      <x:c r="P26" s="133"/>
      <x:c r="Q26" s="133" t="str">
        <x:v>assumed</x:v>
      </x:c>
      <x:c r="R26" s="133" t="n">
        <x:v>100</x:v>
      </x:c>
      <x:c r="S26" s="138" t="b">
        <x:v>1</x:v>
      </x:c>
      <x:c r="T26" s="139" t="n">
        <x:v>5</x:v>
      </x:c>
      <x:c r="U26" s="139" t="str">
        <x:v>LIM-P5-010</x:v>
      </x:c>
    </x:row>
    <x:row r="27" ht="32" customHeight="1">
      <x:c r="A27" s="133" t="str">
        <x:v>reactor</x:v>
      </x:c>
      <x:c r="B27" s="133" t="str">
        <x:v>Freeboard</x:v>
      </x:c>
      <x:c r="C27" s="133" t="str">
        <x:v>digester_freeboard_m</x:v>
      </x:c>
      <x:c r="D27" s="134" t="n">
        <x:v>0.5</x:v>
      </x:c>
      <x:c r="E27" s="133" t="str">
        <x:v>m</x:v>
      </x:c>
      <x:c r="F27" s="133" t="str">
        <x:v>All</x:v>
      </x:c>
      <x:c r="G27" s="133" t="str">
        <x:v>All</x:v>
      </x:c>
      <x:c r="H27" s="135" t="n">
        <x:v>0</x:v>
      </x:c>
      <x:c r="I27" s="135" t="n">
        <x:v>20</x:v>
      </x:c>
      <x:c r="J27" s="133" t="str">
        <x:v>none</x:v>
      </x:c>
      <x:c r="K27" s="136" t="b">
        <x:v>1</x:v>
      </x:c>
      <x:c r="L27" s="137" t="str">
        <x:v>assumed</x:v>
      </x:c>
      <x:c r="M27" s="137" t="str">
        <x:v>E</x:v>
      </x:c>
      <x:c r="N27" s="133"/>
      <x:c r="O27" s="133" t="str">
        <x:v>Structural placeholder; replace with measured, experimental, literature, or vendor data before interpretation.</x:v>
      </x:c>
      <x:c r="P27" s="133"/>
      <x:c r="Q27" s="133" t="str">
        <x:v>assumed</x:v>
      </x:c>
      <x:c r="R27" s="133" t="n">
        <x:v>100</x:v>
      </x:c>
      <x:c r="S27" s="138" t="b">
        <x:v>1</x:v>
      </x:c>
      <x:c r="T27" s="139" t="n">
        <x:v>5</x:v>
      </x:c>
      <x:c r="U27" s="139" t="str">
        <x:v>LIM-P5-010</x:v>
      </x:c>
    </x:row>
    <x:row r="28" ht="32" customHeight="1">
      <x:c r="A28" s="133" t="str">
        <x:v>biodegradability</x:v>
      </x:c>
      <x:c r="B28" s="133" t="str">
        <x:v>Carbohydrate biodegradable fraction</x:v>
      </x:c>
      <x:c r="C28" s="133" t="str">
        <x:v>carbohydrate_biodegradable_fraction</x:v>
      </x:c>
      <x:c r="D28" s="134" t="n">
        <x:v>0.85</x:v>
      </x:c>
      <x:c r="E28" s="133" t="str">
        <x:v>fraction</x:v>
      </x:c>
      <x:c r="F28" s="133" t="str">
        <x:v>All</x:v>
      </x:c>
      <x:c r="G28" s="133" t="str">
        <x:v>All</x:v>
      </x:c>
      <x:c r="H28" s="135" t="n">
        <x:v>0</x:v>
      </x:c>
      <x:c r="I28" s="135" t="n">
        <x:v>1</x:v>
      </x:c>
      <x:c r="J28" s="133" t="str">
        <x:v>none</x:v>
      </x:c>
      <x:c r="K28" s="136" t="b">
        <x:v>1</x:v>
      </x:c>
      <x:c r="L28" s="137" t="str">
        <x:v>assumed</x:v>
      </x:c>
      <x:c r="M28" s="137" t="str">
        <x:v>E</x:v>
      </x:c>
      <x:c r="N28" s="133"/>
      <x:c r="O28" s="133" t="str">
        <x:v>Structural placeholder; replace with measured, experimental, literature, or vendor data before interpretation.</x:v>
      </x:c>
      <x:c r="P28" s="133"/>
      <x:c r="Q28" s="133" t="str">
        <x:v>assumed</x:v>
      </x:c>
      <x:c r="R28" s="133" t="n">
        <x:v>100</x:v>
      </x:c>
      <x:c r="S28" s="138" t="b">
        <x:v>1</x:v>
      </x:c>
      <x:c r="T28" s="139" t="n">
        <x:v>5</x:v>
      </x:c>
      <x:c r="U28" s="139" t="str">
        <x:v>LIM-P5-002</x:v>
      </x:c>
    </x:row>
    <x:row r="29" ht="32" customHeight="1">
      <x:c r="A29" s="133" t="str">
        <x:v>biodegradability</x:v>
      </x:c>
      <x:c r="B29" s="133" t="str">
        <x:v>Protein biodegradable fraction</x:v>
      </x:c>
      <x:c r="C29" s="133" t="str">
        <x:v>protein_biodegradable_fraction</x:v>
      </x:c>
      <x:c r="D29" s="134" t="n">
        <x:v>0.75</x:v>
      </x:c>
      <x:c r="E29" s="133" t="str">
        <x:v>fraction</x:v>
      </x:c>
      <x:c r="F29" s="133" t="str">
        <x:v>All</x:v>
      </x:c>
      <x:c r="G29" s="133" t="str">
        <x:v>All</x:v>
      </x:c>
      <x:c r="H29" s="135" t="n">
        <x:v>0</x:v>
      </x:c>
      <x:c r="I29" s="135" t="n">
        <x:v>1</x:v>
      </x:c>
      <x:c r="J29" s="133" t="str">
        <x:v>none</x:v>
      </x:c>
      <x:c r="K29" s="136" t="b">
        <x:v>1</x:v>
      </x:c>
      <x:c r="L29" s="137" t="str">
        <x:v>assumed</x:v>
      </x:c>
      <x:c r="M29" s="137" t="str">
        <x:v>E</x:v>
      </x:c>
      <x:c r="N29" s="133"/>
      <x:c r="O29" s="133" t="str">
        <x:v>Structural placeholder; replace with measured, experimental, literature, or vendor data before interpretation.</x:v>
      </x:c>
      <x:c r="P29" s="133"/>
      <x:c r="Q29" s="133" t="str">
        <x:v>assumed</x:v>
      </x:c>
      <x:c r="R29" s="133" t="n">
        <x:v>100</x:v>
      </x:c>
      <x:c r="S29" s="138" t="b">
        <x:v>1</x:v>
      </x:c>
      <x:c r="T29" s="139" t="n">
        <x:v>5</x:v>
      </x:c>
      <x:c r="U29" s="139" t="str">
        <x:v>LIM-P5-002</x:v>
      </x:c>
    </x:row>
    <x:row r="30" ht="32" customHeight="1">
      <x:c r="A30" s="133" t="str">
        <x:v>biodegradability</x:v>
      </x:c>
      <x:c r="B30" s="133" t="str">
        <x:v>Lipid biodegradable fraction</x:v>
      </x:c>
      <x:c r="C30" s="133" t="str">
        <x:v>lipid_biodegradable_fraction</x:v>
      </x:c>
      <x:c r="D30" s="134" t="n">
        <x:v>0.8</x:v>
      </x:c>
      <x:c r="E30" s="133" t="str">
        <x:v>fraction</x:v>
      </x:c>
      <x:c r="F30" s="133" t="str">
        <x:v>All</x:v>
      </x:c>
      <x:c r="G30" s="133" t="str">
        <x:v>All</x:v>
      </x:c>
      <x:c r="H30" s="135" t="n">
        <x:v>0</x:v>
      </x:c>
      <x:c r="I30" s="135" t="n">
        <x:v>1</x:v>
      </x:c>
      <x:c r="J30" s="133" t="str">
        <x:v>none</x:v>
      </x:c>
      <x:c r="K30" s="136" t="b">
        <x:v>1</x:v>
      </x:c>
      <x:c r="L30" s="137" t="str">
        <x:v>assumed</x:v>
      </x:c>
      <x:c r="M30" s="137" t="str">
        <x:v>E</x:v>
      </x:c>
      <x:c r="N30" s="133"/>
      <x:c r="O30" s="133" t="str">
        <x:v>Structural placeholder; replace with measured, experimental, literature, or vendor data before interpretation.</x:v>
      </x:c>
      <x:c r="P30" s="133"/>
      <x:c r="Q30" s="133" t="str">
        <x:v>assumed</x:v>
      </x:c>
      <x:c r="R30" s="133" t="n">
        <x:v>100</x:v>
      </x:c>
      <x:c r="S30" s="138" t="b">
        <x:v>1</x:v>
      </x:c>
      <x:c r="T30" s="139" t="n">
        <x:v>5</x:v>
      </x:c>
      <x:c r="U30" s="139" t="str">
        <x:v>LIM-P5-002</x:v>
      </x:c>
    </x:row>
    <x:row r="31" ht="32" customHeight="1">
      <x:c r="A31" s="133" t="str">
        <x:v>biodegradability</x:v>
      </x:c>
      <x:c r="B31" s="133" t="str">
        <x:v>Other-COD biodegradable fraction</x:v>
      </x:c>
      <x:c r="C31" s="133" t="str">
        <x:v>other_cod_biodegradable_fraction</x:v>
      </x:c>
      <x:c r="D31" s="134" t="n">
        <x:v>0.65</x:v>
      </x:c>
      <x:c r="E31" s="133" t="str">
        <x:v>fraction</x:v>
      </x:c>
      <x:c r="F31" s="133" t="str">
        <x:v>All</x:v>
      </x:c>
      <x:c r="G31" s="133" t="str">
        <x:v>All</x:v>
      </x:c>
      <x:c r="H31" s="135" t="n">
        <x:v>0</x:v>
      </x:c>
      <x:c r="I31" s="135" t="n">
        <x:v>1</x:v>
      </x:c>
      <x:c r="J31" s="133" t="str">
        <x:v>none</x:v>
      </x:c>
      <x:c r="K31" s="136" t="b">
        <x:v>1</x:v>
      </x:c>
      <x:c r="L31" s="137" t="str">
        <x:v>assumed</x:v>
      </x:c>
      <x:c r="M31" s="137" t="str">
        <x:v>E</x:v>
      </x:c>
      <x:c r="N31" s="133"/>
      <x:c r="O31" s="133" t="str">
        <x:v>Structural placeholder; replace with measured, experimental, literature, or vendor data before interpretation.</x:v>
      </x:c>
      <x:c r="P31" s="133"/>
      <x:c r="Q31" s="133" t="str">
        <x:v>assumed</x:v>
      </x:c>
      <x:c r="R31" s="133" t="n">
        <x:v>100</x:v>
      </x:c>
      <x:c r="S31" s="138" t="b">
        <x:v>1</x:v>
      </x:c>
      <x:c r="T31" s="139" t="n">
        <x:v>5</x:v>
      </x:c>
      <x:c r="U31" s="139" t="str">
        <x:v>LIM-P5-002</x:v>
      </x:c>
    </x:row>
    <x:row r="32" ht="32" customHeight="1">
      <x:c r="A32" s="133" t="str">
        <x:v>hydrolysis</x:v>
      </x:c>
      <x:c r="B32" s="133" t="str">
        <x:v>Cellulose hydrolysis</x:v>
      </x:c>
      <x:c r="C32" s="133" t="str">
        <x:v>cellulose_hydrolysis_fraction</x:v>
      </x:c>
      <x:c r="D32" s="134" t="n">
        <x:v>0.35</x:v>
      </x:c>
      <x:c r="E32" s="133" t="str">
        <x:v>fraction</x:v>
      </x:c>
      <x:c r="F32" s="133" t="str">
        <x:v>All</x:v>
      </x:c>
      <x:c r="G32" s="133" t="str">
        <x:v>All</x:v>
      </x:c>
      <x:c r="H32" s="135" t="n">
        <x:v>0</x:v>
      </x:c>
      <x:c r="I32" s="135" t="n">
        <x:v>1</x:v>
      </x:c>
      <x:c r="J32" s="133" t="str">
        <x:v>none</x:v>
      </x:c>
      <x:c r="K32" s="136" t="b">
        <x:v>1</x:v>
      </x:c>
      <x:c r="L32" s="137" t="str">
        <x:v>assumed</x:v>
      </x:c>
      <x:c r="M32" s="137" t="str">
        <x:v>E</x:v>
      </x:c>
      <x:c r="N32" s="133"/>
      <x:c r="O32" s="133" t="str">
        <x:v>Structural placeholder; replace with measured, experimental, literature, or vendor data before interpretation.</x:v>
      </x:c>
      <x:c r="P32" s="133"/>
      <x:c r="Q32" s="133" t="str">
        <x:v>assumed</x:v>
      </x:c>
      <x:c r="R32" s="133" t="n">
        <x:v>100</x:v>
      </x:c>
      <x:c r="S32" s="138" t="b">
        <x:v>1</x:v>
      </x:c>
      <x:c r="T32" s="139" t="n">
        <x:v>5</x:v>
      </x:c>
      <x:c r="U32" s="139" t="str">
        <x:v>LIM-P5-002</x:v>
      </x:c>
    </x:row>
    <x:row r="33" ht="32" customHeight="1">
      <x:c r="A33" s="133" t="str">
        <x:v>hydrolysis</x:v>
      </x:c>
      <x:c r="B33" s="133" t="str">
        <x:v>Hemicellulose hydrolysis</x:v>
      </x:c>
      <x:c r="C33" s="133" t="str">
        <x:v>hemicellulose_hydrolysis_fraction</x:v>
      </x:c>
      <x:c r="D33" s="134" t="n">
        <x:v>0.45</x:v>
      </x:c>
      <x:c r="E33" s="133" t="str">
        <x:v>fraction</x:v>
      </x:c>
      <x:c r="F33" s="133" t="str">
        <x:v>All</x:v>
      </x:c>
      <x:c r="G33" s="133" t="str">
        <x:v>All</x:v>
      </x:c>
      <x:c r="H33" s="135" t="n">
        <x:v>0</x:v>
      </x:c>
      <x:c r="I33" s="135" t="n">
        <x:v>1</x:v>
      </x:c>
      <x:c r="J33" s="133" t="str">
        <x:v>none</x:v>
      </x:c>
      <x:c r="K33" s="136" t="b">
        <x:v>1</x:v>
      </x:c>
      <x:c r="L33" s="137" t="str">
        <x:v>assumed</x:v>
      </x:c>
      <x:c r="M33" s="137" t="str">
        <x:v>E</x:v>
      </x:c>
      <x:c r="N33" s="133"/>
      <x:c r="O33" s="133" t="str">
        <x:v>Structural placeholder; replace with measured, experimental, literature, or vendor data before interpretation.</x:v>
      </x:c>
      <x:c r="P33" s="133"/>
      <x:c r="Q33" s="133" t="str">
        <x:v>assumed</x:v>
      </x:c>
      <x:c r="R33" s="133" t="n">
        <x:v>100</x:v>
      </x:c>
      <x:c r="S33" s="138" t="b">
        <x:v>1</x:v>
      </x:c>
      <x:c r="T33" s="139" t="n">
        <x:v>5</x:v>
      </x:c>
      <x:c r="U33" s="139" t="str">
        <x:v>LIM-P5-002</x:v>
      </x:c>
    </x:row>
    <x:row r="34" ht="32" customHeight="1">
      <x:c r="A34" s="133" t="str">
        <x:v>hydrolysis</x:v>
      </x:c>
      <x:c r="B34" s="133" t="str">
        <x:v>Starch hydrolysis</x:v>
      </x:c>
      <x:c r="C34" s="133" t="str">
        <x:v>starch_hydrolysis_fraction</x:v>
      </x:c>
      <x:c r="D34" s="134" t="n">
        <x:v>0.8</x:v>
      </x:c>
      <x:c r="E34" s="133" t="str">
        <x:v>fraction</x:v>
      </x:c>
      <x:c r="F34" s="133" t="str">
        <x:v>All</x:v>
      </x:c>
      <x:c r="G34" s="133" t="str">
        <x:v>All</x:v>
      </x:c>
      <x:c r="H34" s="135" t="n">
        <x:v>0</x:v>
      </x:c>
      <x:c r="I34" s="135" t="n">
        <x:v>1</x:v>
      </x:c>
      <x:c r="J34" s="133" t="str">
        <x:v>none</x:v>
      </x:c>
      <x:c r="K34" s="136" t="b">
        <x:v>1</x:v>
      </x:c>
      <x:c r="L34" s="137" t="str">
        <x:v>assumed</x:v>
      </x:c>
      <x:c r="M34" s="137" t="str">
        <x:v>E</x:v>
      </x:c>
      <x:c r="N34" s="133"/>
      <x:c r="O34" s="133" t="str">
        <x:v>Structural placeholder; replace with measured, experimental, literature, or vendor data before interpretation.</x:v>
      </x:c>
      <x:c r="P34" s="133"/>
      <x:c r="Q34" s="133" t="str">
        <x:v>assumed</x:v>
      </x:c>
      <x:c r="R34" s="133" t="n">
        <x:v>100</x:v>
      </x:c>
      <x:c r="S34" s="138" t="b">
        <x:v>1</x:v>
      </x:c>
      <x:c r="T34" s="139" t="n">
        <x:v>5</x:v>
      </x:c>
      <x:c r="U34" s="139" t="str">
        <x:v>LIM-P5-002</x:v>
      </x:c>
    </x:row>
    <x:row r="35" ht="32" customHeight="1">
      <x:c r="A35" s="133" t="str">
        <x:v>hydrolysis</x:v>
      </x:c>
      <x:c r="B35" s="133" t="str">
        <x:v>Pectin hydrolysis</x:v>
      </x:c>
      <x:c r="C35" s="133" t="str">
        <x:v>pectin_hydrolysis_fraction</x:v>
      </x:c>
      <x:c r="D35" s="134" t="n">
        <x:v>0.65</x:v>
      </x:c>
      <x:c r="E35" s="133" t="str">
        <x:v>fraction</x:v>
      </x:c>
      <x:c r="F35" s="133" t="str">
        <x:v>All</x:v>
      </x:c>
      <x:c r="G35" s="133" t="str">
        <x:v>All</x:v>
      </x:c>
      <x:c r="H35" s="135" t="n">
        <x:v>0</x:v>
      </x:c>
      <x:c r="I35" s="135" t="n">
        <x:v>1</x:v>
      </x:c>
      <x:c r="J35" s="133" t="str">
        <x:v>none</x:v>
      </x:c>
      <x:c r="K35" s="136" t="b">
        <x:v>1</x:v>
      </x:c>
      <x:c r="L35" s="137" t="str">
        <x:v>assumed</x:v>
      </x:c>
      <x:c r="M35" s="137" t="str">
        <x:v>E</x:v>
      </x:c>
      <x:c r="N35" s="133"/>
      <x:c r="O35" s="133" t="str">
        <x:v>Structural placeholder; replace with measured, experimental, literature, or vendor data before interpretation.</x:v>
      </x:c>
      <x:c r="P35" s="133"/>
      <x:c r="Q35" s="133" t="str">
        <x:v>assumed</x:v>
      </x:c>
      <x:c r="R35" s="133" t="n">
        <x:v>100</x:v>
      </x:c>
      <x:c r="S35" s="138" t="b">
        <x:v>1</x:v>
      </x:c>
      <x:c r="T35" s="139" t="n">
        <x:v>5</x:v>
      </x:c>
      <x:c r="U35" s="139" t="str">
        <x:v>LIM-P5-002</x:v>
      </x:c>
    </x:row>
    <x:row r="36" ht="32" customHeight="1">
      <x:c r="A36" s="133" t="str">
        <x:v>hydrolysis</x:v>
      </x:c>
      <x:c r="B36" s="133" t="str">
        <x:v>Suspended-solids hydrolysis</x:v>
      </x:c>
      <x:c r="C36" s="133" t="str">
        <x:v>suspended_solids_hydrolysis_fraction</x:v>
      </x:c>
      <x:c r="D36" s="134" t="n">
        <x:v>0.4</x:v>
      </x:c>
      <x:c r="E36" s="133" t="str">
        <x:v>fraction</x:v>
      </x:c>
      <x:c r="F36" s="133" t="str">
        <x:v>All</x:v>
      </x:c>
      <x:c r="G36" s="133" t="str">
        <x:v>All</x:v>
      </x:c>
      <x:c r="H36" s="135" t="n">
        <x:v>0</x:v>
      </x:c>
      <x:c r="I36" s="135" t="n">
        <x:v>1</x:v>
      </x:c>
      <x:c r="J36" s="133" t="str">
        <x:v>none</x:v>
      </x:c>
      <x:c r="K36" s="136" t="b">
        <x:v>1</x:v>
      </x:c>
      <x:c r="L36" s="137" t="str">
        <x:v>assumed</x:v>
      </x:c>
      <x:c r="M36" s="137" t="str">
        <x:v>E</x:v>
      </x:c>
      <x:c r="N36" s="133"/>
      <x:c r="O36" s="133" t="str">
        <x:v>Structural placeholder; replace with measured, experimental, literature, or vendor data before interpretation.</x:v>
      </x:c>
      <x:c r="P36" s="133"/>
      <x:c r="Q36" s="133" t="str">
        <x:v>assumed</x:v>
      </x:c>
      <x:c r="R36" s="133" t="n">
        <x:v>100</x:v>
      </x:c>
      <x:c r="S36" s="138" t="b">
        <x:v>1</x:v>
      </x:c>
      <x:c r="T36" s="139" t="n">
        <x:v>5</x:v>
      </x:c>
      <x:c r="U36" s="139" t="str">
        <x:v>LIM-P5-002</x:v>
      </x:c>
    </x:row>
    <x:row r="37" ht="32" customHeight="1">
      <x:c r="A37" s="133" t="str">
        <x:v>hydrolysis</x:v>
      </x:c>
      <x:c r="B37" s="133" t="str">
        <x:v>Protein hydrolysis</x:v>
      </x:c>
      <x:c r="C37" s="133" t="str">
        <x:v>protein_hydrolysis_fraction</x:v>
      </x:c>
      <x:c r="D37" s="134" t="n">
        <x:v>0.75</x:v>
      </x:c>
      <x:c r="E37" s="133" t="str">
        <x:v>fraction</x:v>
      </x:c>
      <x:c r="F37" s="133" t="str">
        <x:v>All</x:v>
      </x:c>
      <x:c r="G37" s="133" t="str">
        <x:v>All</x:v>
      </x:c>
      <x:c r="H37" s="135" t="n">
        <x:v>0</x:v>
      </x:c>
      <x:c r="I37" s="135" t="n">
        <x:v>1</x:v>
      </x:c>
      <x:c r="J37" s="133" t="str">
        <x:v>none</x:v>
      </x:c>
      <x:c r="K37" s="136" t="b">
        <x:v>1</x:v>
      </x:c>
      <x:c r="L37" s="137" t="str">
        <x:v>assumed</x:v>
      </x:c>
      <x:c r="M37" s="137" t="str">
        <x:v>E</x:v>
      </x:c>
      <x:c r="N37" s="133"/>
      <x:c r="O37" s="133" t="str">
        <x:v>Structural placeholder; replace with measured, experimental, literature, or vendor data before interpretation.</x:v>
      </x:c>
      <x:c r="P37" s="133"/>
      <x:c r="Q37" s="133" t="str">
        <x:v>assumed</x:v>
      </x:c>
      <x:c r="R37" s="133" t="n">
        <x:v>100</x:v>
      </x:c>
      <x:c r="S37" s="138" t="b">
        <x:v>1</x:v>
      </x:c>
      <x:c r="T37" s="139" t="n">
        <x:v>5</x:v>
      </x:c>
      <x:c r="U37" s="139" t="str">
        <x:v>LIM-P5-002</x:v>
      </x:c>
    </x:row>
    <x:row r="38" ht="32" customHeight="1">
      <x:c r="A38" s="133" t="str">
        <x:v>hydrolysis</x:v>
      </x:c>
      <x:c r="B38" s="133" t="str">
        <x:v>Peptide conversion</x:v>
      </x:c>
      <x:c r="C38" s="133" t="str">
        <x:v>peptide_conversion_fraction</x:v>
      </x:c>
      <x:c r="D38" s="134" t="n">
        <x:v>0.85</x:v>
      </x:c>
      <x:c r="E38" s="133" t="str">
        <x:v>fraction</x:v>
      </x:c>
      <x:c r="F38" s="133" t="str">
        <x:v>All</x:v>
      </x:c>
      <x:c r="G38" s="133" t="str">
        <x:v>All</x:v>
      </x:c>
      <x:c r="H38" s="135" t="n">
        <x:v>0</x:v>
      </x:c>
      <x:c r="I38" s="135" t="n">
        <x:v>1</x:v>
      </x:c>
      <x:c r="J38" s="133" t="str">
        <x:v>none</x:v>
      </x:c>
      <x:c r="K38" s="136" t="b">
        <x:v>1</x:v>
      </x:c>
      <x:c r="L38" s="137" t="str">
        <x:v>assumed</x:v>
      </x:c>
      <x:c r="M38" s="137" t="str">
        <x:v>E</x:v>
      </x:c>
      <x:c r="N38" s="133"/>
      <x:c r="O38" s="133" t="str">
        <x:v>Structural placeholder; replace with measured, experimental, literature, or vendor data before interpretation.</x:v>
      </x:c>
      <x:c r="P38" s="133"/>
      <x:c r="Q38" s="133" t="str">
        <x:v>assumed</x:v>
      </x:c>
      <x:c r="R38" s="133" t="n">
        <x:v>100</x:v>
      </x:c>
      <x:c r="S38" s="138" t="b">
        <x:v>1</x:v>
      </x:c>
      <x:c r="T38" s="139" t="n">
        <x:v>5</x:v>
      </x:c>
      <x:c r="U38" s="139" t="str">
        <x:v>LIM-P5-002</x:v>
      </x:c>
    </x:row>
    <x:row r="39" ht="32" customHeight="1">
      <x:c r="A39" s="133" t="str">
        <x:v>hydrolysis</x:v>
      </x:c>
      <x:c r="B39" s="133" t="str">
        <x:v>Amino-acid conversion</x:v>
      </x:c>
      <x:c r="C39" s="133" t="str">
        <x:v>amino_acid_conversion_fraction</x:v>
      </x:c>
      <x:c r="D39" s="134" t="n">
        <x:v>0.9</x:v>
      </x:c>
      <x:c r="E39" s="133" t="str">
        <x:v>fraction</x:v>
      </x:c>
      <x:c r="F39" s="133" t="str">
        <x:v>All</x:v>
      </x:c>
      <x:c r="G39" s="133" t="str">
        <x:v>All</x:v>
      </x:c>
      <x:c r="H39" s="135" t="n">
        <x:v>0</x:v>
      </x:c>
      <x:c r="I39" s="135" t="n">
        <x:v>1</x:v>
      </x:c>
      <x:c r="J39" s="133" t="str">
        <x:v>none</x:v>
      </x:c>
      <x:c r="K39" s="136" t="b">
        <x:v>1</x:v>
      </x:c>
      <x:c r="L39" s="137" t="str">
        <x:v>assumed</x:v>
      </x:c>
      <x:c r="M39" s="137" t="str">
        <x:v>E</x:v>
      </x:c>
      <x:c r="N39" s="133"/>
      <x:c r="O39" s="133" t="str">
        <x:v>Structural placeholder; replace with measured, experimental, literature, or vendor data before interpretation.</x:v>
      </x:c>
      <x:c r="P39" s="133"/>
      <x:c r="Q39" s="133" t="str">
        <x:v>assumed</x:v>
      </x:c>
      <x:c r="R39" s="133" t="n">
        <x:v>100</x:v>
      </x:c>
      <x:c r="S39" s="138" t="b">
        <x:v>1</x:v>
      </x:c>
      <x:c r="T39" s="139" t="n">
        <x:v>5</x:v>
      </x:c>
      <x:c r="U39" s="139" t="str">
        <x:v>LIM-P5-002</x:v>
      </x:c>
    </x:row>
    <x:row r="40" ht="32" customHeight="1">
      <x:c r="A40" s="133" t="str">
        <x:v>hydrolysis</x:v>
      </x:c>
      <x:c r="B40" s="133" t="str">
        <x:v>Lipid hydrolysis</x:v>
      </x:c>
      <x:c r="C40" s="133" t="str">
        <x:v>lipid_hydrolysis_fraction</x:v>
      </x:c>
      <x:c r="D40" s="134" t="n">
        <x:v>0.65</x:v>
      </x:c>
      <x:c r="E40" s="133" t="str">
        <x:v>fraction</x:v>
      </x:c>
      <x:c r="F40" s="133" t="str">
        <x:v>All</x:v>
      </x:c>
      <x:c r="G40" s="133" t="str">
        <x:v>All</x:v>
      </x:c>
      <x:c r="H40" s="135" t="n">
        <x:v>0</x:v>
      </x:c>
      <x:c r="I40" s="135" t="n">
        <x:v>1</x:v>
      </x:c>
      <x:c r="J40" s="133" t="str">
        <x:v>none</x:v>
      </x:c>
      <x:c r="K40" s="136" t="b">
        <x:v>1</x:v>
      </x:c>
      <x:c r="L40" s="137" t="str">
        <x:v>assumed</x:v>
      </x:c>
      <x:c r="M40" s="137" t="str">
        <x:v>E</x:v>
      </x:c>
      <x:c r="N40" s="133"/>
      <x:c r="O40" s="133" t="str">
        <x:v>Structural placeholder; replace with measured, experimental, literature, or vendor data before interpretation.</x:v>
      </x:c>
      <x:c r="P40" s="133"/>
      <x:c r="Q40" s="133" t="str">
        <x:v>assumed</x:v>
      </x:c>
      <x:c r="R40" s="133" t="n">
        <x:v>100</x:v>
      </x:c>
      <x:c r="S40" s="138" t="b">
        <x:v>1</x:v>
      </x:c>
      <x:c r="T40" s="139" t="n">
        <x:v>5</x:v>
      </x:c>
      <x:c r="U40" s="139" t="str">
        <x:v>LIM-P5-002</x:v>
      </x:c>
    </x:row>
    <x:row r="41" ht="32" customHeight="1">
      <x:c r="A41" s="133" t="str">
        <x:v>acidogenesis</x:v>
      </x:c>
      <x:c r="B41" s="133" t="str">
        <x:v>Sugar acidogenesis conversion</x:v>
      </x:c>
      <x:c r="C41" s="133" t="str">
        <x:v>sugar_acidogenesis_conversion</x:v>
      </x:c>
      <x:c r="D41" s="134" t="n">
        <x:v>0.9</x:v>
      </x:c>
      <x:c r="E41" s="133" t="str">
        <x:v>fraction</x:v>
      </x:c>
      <x:c r="F41" s="133" t="str">
        <x:v>All</x:v>
      </x:c>
      <x:c r="G41" s="133" t="str">
        <x:v>All</x:v>
      </x:c>
      <x:c r="H41" s="135" t="n">
        <x:v>0</x:v>
      </x:c>
      <x:c r="I41" s="135" t="n">
        <x:v>1</x:v>
      </x:c>
      <x:c r="J41" s="133" t="str">
        <x:v>none</x:v>
      </x:c>
      <x:c r="K41" s="136" t="b">
        <x:v>1</x:v>
      </x:c>
      <x:c r="L41" s="137" t="str">
        <x:v>assumed</x:v>
      </x:c>
      <x:c r="M41" s="137" t="str">
        <x:v>E</x:v>
      </x:c>
      <x:c r="N41" s="133"/>
      <x:c r="O41" s="133" t="str">
        <x:v>Structural placeholder; replace with measured, experimental, literature, or vendor data before interpretation.</x:v>
      </x:c>
      <x:c r="P41" s="133"/>
      <x:c r="Q41" s="133" t="str">
        <x:v>assumed</x:v>
      </x:c>
      <x:c r="R41" s="133" t="n">
        <x:v>100</x:v>
      </x:c>
      <x:c r="S41" s="138" t="b">
        <x:v>1</x:v>
      </x:c>
      <x:c r="T41" s="139" t="n">
        <x:v>5</x:v>
      </x:c>
      <x:c r="U41" s="139" t="str">
        <x:v>LIM-P5-003</x:v>
      </x:c>
    </x:row>
    <x:row r="42" ht="32" customHeight="1">
      <x:c r="A42" s="133" t="str">
        <x:v>acidogenesis</x:v>
      </x:c>
      <x:c r="B42" s="133" t="str">
        <x:v>Protein acidogenesis conversion</x:v>
      </x:c>
      <x:c r="C42" s="133" t="str">
        <x:v>protein_acidogenesis_conversion</x:v>
      </x:c>
      <x:c r="D42" s="134" t="n">
        <x:v>0.8</x:v>
      </x:c>
      <x:c r="E42" s="133" t="str">
        <x:v>fraction</x:v>
      </x:c>
      <x:c r="F42" s="133" t="str">
        <x:v>All</x:v>
      </x:c>
      <x:c r="G42" s="133" t="str">
        <x:v>All</x:v>
      </x:c>
      <x:c r="H42" s="135" t="n">
        <x:v>0</x:v>
      </x:c>
      <x:c r="I42" s="135" t="n">
        <x:v>1</x:v>
      </x:c>
      <x:c r="J42" s="133" t="str">
        <x:v>none</x:v>
      </x:c>
      <x:c r="K42" s="136" t="b">
        <x:v>1</x:v>
      </x:c>
      <x:c r="L42" s="137" t="str">
        <x:v>assumed</x:v>
      </x:c>
      <x:c r="M42" s="137" t="str">
        <x:v>E</x:v>
      </x:c>
      <x:c r="N42" s="133"/>
      <x:c r="O42" s="133" t="str">
        <x:v>Structural placeholder; replace with measured, experimental, literature, or vendor data before interpretation.</x:v>
      </x:c>
      <x:c r="P42" s="133"/>
      <x:c r="Q42" s="133" t="str">
        <x:v>assumed</x:v>
      </x:c>
      <x:c r="R42" s="133" t="n">
        <x:v>100</x:v>
      </x:c>
      <x:c r="S42" s="138" t="b">
        <x:v>1</x:v>
      </x:c>
      <x:c r="T42" s="139" t="n">
        <x:v>5</x:v>
      </x:c>
      <x:c r="U42" s="139" t="str">
        <x:v>LIM-P5-003</x:v>
      </x:c>
    </x:row>
    <x:row r="43" ht="32" customHeight="1">
      <x:c r="A43" s="133" t="str">
        <x:v>acidogenesis</x:v>
      </x:c>
      <x:c r="B43" s="133" t="str">
        <x:v>Lipid acidogenesis conversion</x:v>
      </x:c>
      <x:c r="C43" s="133" t="str">
        <x:v>lipid_acidogenesis_conversion</x:v>
      </x:c>
      <x:c r="D43" s="134" t="n">
        <x:v>0.75</x:v>
      </x:c>
      <x:c r="E43" s="133" t="str">
        <x:v>fraction</x:v>
      </x:c>
      <x:c r="F43" s="133" t="str">
        <x:v>All</x:v>
      </x:c>
      <x:c r="G43" s="133" t="str">
        <x:v>All</x:v>
      </x:c>
      <x:c r="H43" s="135" t="n">
        <x:v>0</x:v>
      </x:c>
      <x:c r="I43" s="135" t="n">
        <x:v>1</x:v>
      </x:c>
      <x:c r="J43" s="133" t="str">
        <x:v>none</x:v>
      </x:c>
      <x:c r="K43" s="136" t="b">
        <x:v>1</x:v>
      </x:c>
      <x:c r="L43" s="137" t="str">
        <x:v>assumed</x:v>
      </x:c>
      <x:c r="M43" s="137" t="str">
        <x:v>E</x:v>
      </x:c>
      <x:c r="N43" s="133"/>
      <x:c r="O43" s="133" t="str">
        <x:v>Structural placeholder; replace with measured, experimental, literature, or vendor data before interpretation.</x:v>
      </x:c>
      <x:c r="P43" s="133"/>
      <x:c r="Q43" s="133" t="str">
        <x:v>assumed</x:v>
      </x:c>
      <x:c r="R43" s="133" t="n">
        <x:v>100</x:v>
      </x:c>
      <x:c r="S43" s="138" t="b">
        <x:v>1</x:v>
      </x:c>
      <x:c r="T43" s="139" t="n">
        <x:v>5</x:v>
      </x:c>
      <x:c r="U43" s="139" t="str">
        <x:v>LIM-P5-003</x:v>
      </x:c>
    </x:row>
    <x:row r="44" ht="32" customHeight="1">
      <x:c r="A44" s="133" t="str">
        <x:v>acidogenesis</x:v>
      </x:c>
      <x:c r="B44" s="133" t="str">
        <x:v>Other-COD conversion</x:v>
      </x:c>
      <x:c r="C44" s="133" t="str">
        <x:v>other_cod_conversion</x:v>
      </x:c>
      <x:c r="D44" s="134" t="n">
        <x:v>0.7</x:v>
      </x:c>
      <x:c r="E44" s="133" t="str">
        <x:v>fraction</x:v>
      </x:c>
      <x:c r="F44" s="133" t="str">
        <x:v>All</x:v>
      </x:c>
      <x:c r="G44" s="133" t="str">
        <x:v>All</x:v>
      </x:c>
      <x:c r="H44" s="135" t="n">
        <x:v>0</x:v>
      </x:c>
      <x:c r="I44" s="135" t="n">
        <x:v>1</x:v>
      </x:c>
      <x:c r="J44" s="133" t="str">
        <x:v>none</x:v>
      </x:c>
      <x:c r="K44" s="136" t="b">
        <x:v>1</x:v>
      </x:c>
      <x:c r="L44" s="137" t="str">
        <x:v>assumed</x:v>
      </x:c>
      <x:c r="M44" s="137" t="str">
        <x:v>E</x:v>
      </x:c>
      <x:c r="N44" s="133"/>
      <x:c r="O44" s="133" t="str">
        <x:v>Structural placeholder; replace with measured, experimental, literature, or vendor data before interpretation.</x:v>
      </x:c>
      <x:c r="P44" s="133"/>
      <x:c r="Q44" s="133" t="str">
        <x:v>assumed</x:v>
      </x:c>
      <x:c r="R44" s="133" t="n">
        <x:v>100</x:v>
      </x:c>
      <x:c r="S44" s="138" t="b">
        <x:v>1</x:v>
      </x:c>
      <x:c r="T44" s="139" t="n">
        <x:v>5</x:v>
      </x:c>
      <x:c r="U44" s="139" t="str">
        <x:v>LIM-P5-003</x:v>
      </x:c>
    </x:row>
    <x:row r="45" ht="32" customHeight="1">
      <x:c r="A45" s="133" t="str">
        <x:v>acetogenesis</x:v>
      </x:c>
      <x:c r="B45" s="133" t="str">
        <x:v>Acetate conversion</x:v>
      </x:c>
      <x:c r="C45" s="133" t="str">
        <x:v>acetate_conversion</x:v>
      </x:c>
      <x:c r="D45" s="134" t="n">
        <x:v>0.9</x:v>
      </x:c>
      <x:c r="E45" s="133" t="str">
        <x:v>fraction</x:v>
      </x:c>
      <x:c r="F45" s="133" t="str">
        <x:v>All</x:v>
      </x:c>
      <x:c r="G45" s="133" t="str">
        <x:v>All</x:v>
      </x:c>
      <x:c r="H45" s="135" t="n">
        <x:v>0</x:v>
      </x:c>
      <x:c r="I45" s="135" t="n">
        <x:v>1</x:v>
      </x:c>
      <x:c r="J45" s="133" t="str">
        <x:v>none</x:v>
      </x:c>
      <x:c r="K45" s="136" t="b">
        <x:v>1</x:v>
      </x:c>
      <x:c r="L45" s="137" t="str">
        <x:v>assumed</x:v>
      </x:c>
      <x:c r="M45" s="137" t="str">
        <x:v>E</x:v>
      </x:c>
      <x:c r="N45" s="133"/>
      <x:c r="O45" s="133" t="str">
        <x:v>Structural placeholder; replace with measured, experimental, literature, or vendor data before interpretation.</x:v>
      </x:c>
      <x:c r="P45" s="133"/>
      <x:c r="Q45" s="133" t="str">
        <x:v>assumed</x:v>
      </x:c>
      <x:c r="R45" s="133" t="n">
        <x:v>100</x:v>
      </x:c>
      <x:c r="S45" s="138" t="b">
        <x:v>1</x:v>
      </x:c>
      <x:c r="T45" s="139" t="n">
        <x:v>5</x:v>
      </x:c>
      <x:c r="U45" s="139" t="str">
        <x:v>LIM-P5-003</x:v>
      </x:c>
    </x:row>
    <x:row r="46" ht="32" customHeight="1">
      <x:c r="A46" s="133" t="str">
        <x:v>acetogenesis</x:v>
      </x:c>
      <x:c r="B46" s="133" t="str">
        <x:v>Propionate conversion</x:v>
      </x:c>
      <x:c r="C46" s="133" t="str">
        <x:v>propionate_conversion</x:v>
      </x:c>
      <x:c r="D46" s="134" t="n">
        <x:v>0.8</x:v>
      </x:c>
      <x:c r="E46" s="133" t="str">
        <x:v>fraction</x:v>
      </x:c>
      <x:c r="F46" s="133" t="str">
        <x:v>All</x:v>
      </x:c>
      <x:c r="G46" s="133" t="str">
        <x:v>All</x:v>
      </x:c>
      <x:c r="H46" s="135" t="n">
        <x:v>0</x:v>
      </x:c>
      <x:c r="I46" s="135" t="n">
        <x:v>1</x:v>
      </x:c>
      <x:c r="J46" s="133" t="str">
        <x:v>none</x:v>
      </x:c>
      <x:c r="K46" s="136" t="b">
        <x:v>1</x:v>
      </x:c>
      <x:c r="L46" s="137" t="str">
        <x:v>assumed</x:v>
      </x:c>
      <x:c r="M46" s="137" t="str">
        <x:v>E</x:v>
      </x:c>
      <x:c r="N46" s="133"/>
      <x:c r="O46" s="133" t="str">
        <x:v>Structural placeholder; replace with measured, experimental, literature, or vendor data before interpretation.</x:v>
      </x:c>
      <x:c r="P46" s="133"/>
      <x:c r="Q46" s="133" t="str">
        <x:v>assumed</x:v>
      </x:c>
      <x:c r="R46" s="133" t="n">
        <x:v>100</x:v>
      </x:c>
      <x:c r="S46" s="138" t="b">
        <x:v>1</x:v>
      </x:c>
      <x:c r="T46" s="139" t="n">
        <x:v>5</x:v>
      </x:c>
      <x:c r="U46" s="139" t="str">
        <x:v>LIM-P5-003</x:v>
      </x:c>
    </x:row>
    <x:row r="47" ht="32" customHeight="1">
      <x:c r="A47" s="133" t="str">
        <x:v>acetogenesis</x:v>
      </x:c>
      <x:c r="B47" s="133" t="str">
        <x:v>Butyrate conversion</x:v>
      </x:c>
      <x:c r="C47" s="133" t="str">
        <x:v>butyrate_conversion</x:v>
      </x:c>
      <x:c r="D47" s="134" t="n">
        <x:v>0.85</x:v>
      </x:c>
      <x:c r="E47" s="133" t="str">
        <x:v>fraction</x:v>
      </x:c>
      <x:c r="F47" s="133" t="str">
        <x:v>All</x:v>
      </x:c>
      <x:c r="G47" s="133" t="str">
        <x:v>All</x:v>
      </x:c>
      <x:c r="H47" s="135" t="n">
        <x:v>0</x:v>
      </x:c>
      <x:c r="I47" s="135" t="n">
        <x:v>1</x:v>
      </x:c>
      <x:c r="J47" s="133" t="str">
        <x:v>none</x:v>
      </x:c>
      <x:c r="K47" s="136" t="b">
        <x:v>1</x:v>
      </x:c>
      <x:c r="L47" s="137" t="str">
        <x:v>assumed</x:v>
      </x:c>
      <x:c r="M47" s="137" t="str">
        <x:v>E</x:v>
      </x:c>
      <x:c r="N47" s="133"/>
      <x:c r="O47" s="133" t="str">
        <x:v>Structural placeholder; replace with measured, experimental, literature, or vendor data before interpretation.</x:v>
      </x:c>
      <x:c r="P47" s="133"/>
      <x:c r="Q47" s="133" t="str">
        <x:v>assumed</x:v>
      </x:c>
      <x:c r="R47" s="133" t="n">
        <x:v>100</x:v>
      </x:c>
      <x:c r="S47" s="138" t="b">
        <x:v>1</x:v>
      </x:c>
      <x:c r="T47" s="139" t="n">
        <x:v>5</x:v>
      </x:c>
      <x:c r="U47" s="139" t="str">
        <x:v>LIM-P5-003</x:v>
      </x:c>
    </x:row>
    <x:row r="48" ht="32" customHeight="1">
      <x:c r="A48" s="133" t="str">
        <x:v>acetogenesis</x:v>
      </x:c>
      <x:c r="B48" s="133" t="str">
        <x:v>Lactate conversion</x:v>
      </x:c>
      <x:c r="C48" s="133" t="str">
        <x:v>lactate_conversion</x:v>
      </x:c>
      <x:c r="D48" s="134" t="n">
        <x:v>0.85</x:v>
      </x:c>
      <x:c r="E48" s="133" t="str">
        <x:v>fraction</x:v>
      </x:c>
      <x:c r="F48" s="133" t="str">
        <x:v>All</x:v>
      </x:c>
      <x:c r="G48" s="133" t="str">
        <x:v>All</x:v>
      </x:c>
      <x:c r="H48" s="135" t="n">
        <x:v>0</x:v>
      </x:c>
      <x:c r="I48" s="135" t="n">
        <x:v>1</x:v>
      </x:c>
      <x:c r="J48" s="133" t="str">
        <x:v>none</x:v>
      </x:c>
      <x:c r="K48" s="136" t="b">
        <x:v>1</x:v>
      </x:c>
      <x:c r="L48" s="137" t="str">
        <x:v>assumed</x:v>
      </x:c>
      <x:c r="M48" s="137" t="str">
        <x:v>E</x:v>
      </x:c>
      <x:c r="N48" s="133"/>
      <x:c r="O48" s="133" t="str">
        <x:v>Structural placeholder; replace with measured, experimental, literature, or vendor data before interpretation.</x:v>
      </x:c>
      <x:c r="P48" s="133"/>
      <x:c r="Q48" s="133" t="str">
        <x:v>assumed</x:v>
      </x:c>
      <x:c r="R48" s="133" t="n">
        <x:v>100</x:v>
      </x:c>
      <x:c r="S48" s="138" t="b">
        <x:v>1</x:v>
      </x:c>
      <x:c r="T48" s="139" t="n">
        <x:v>5</x:v>
      </x:c>
      <x:c r="U48" s="139" t="str">
        <x:v>LIM-P5-003</x:v>
      </x:c>
    </x:row>
    <x:row r="49" ht="32" customHeight="1">
      <x:c r="A49" s="133" t="str">
        <x:v>methanogenesis</x:v>
      </x:c>
      <x:c r="B49" s="133" t="str">
        <x:v>Methanogenesis conversion</x:v>
      </x:c>
      <x:c r="C49" s="133" t="str">
        <x:v>methanogenesis_conversion</x:v>
      </x:c>
      <x:c r="D49" s="134" t="n">
        <x:v>0.85</x:v>
      </x:c>
      <x:c r="E49" s="133" t="str">
        <x:v>fraction</x:v>
      </x:c>
      <x:c r="F49" s="133" t="str">
        <x:v>All</x:v>
      </x:c>
      <x:c r="G49" s="133" t="str">
        <x:v>All</x:v>
      </x:c>
      <x:c r="H49" s="135" t="n">
        <x:v>0</x:v>
      </x:c>
      <x:c r="I49" s="135" t="n">
        <x:v>1</x:v>
      </x:c>
      <x:c r="J49" s="133" t="str">
        <x:v>none</x:v>
      </x:c>
      <x:c r="K49" s="136" t="b">
        <x:v>1</x:v>
      </x:c>
      <x:c r="L49" s="137" t="str">
        <x:v>assumed</x:v>
      </x:c>
      <x:c r="M49" s="137" t="str">
        <x:v>E</x:v>
      </x:c>
      <x:c r="N49" s="133"/>
      <x:c r="O49" s="133" t="str">
        <x:v>Structural placeholder; replace with measured, experimental, literature, or vendor data before interpretation.</x:v>
      </x:c>
      <x:c r="P49" s="133"/>
      <x:c r="Q49" s="133" t="str">
        <x:v>assumed</x:v>
      </x:c>
      <x:c r="R49" s="133" t="n">
        <x:v>100</x:v>
      </x:c>
      <x:c r="S49" s="138" t="b">
        <x:v>1</x:v>
      </x:c>
      <x:c r="T49" s="139" t="n">
        <x:v>5</x:v>
      </x:c>
      <x:c r="U49" s="139" t="str">
        <x:v>LIM-P5-003</x:v>
      </x:c>
    </x:row>
    <x:row r="50" ht="32" customHeight="1">
      <x:c r="A50" s="133" t="str">
        <x:v>cod_mode</x:v>
      </x:c>
      <x:c r="B50" s="133" t="str">
        <x:v>Biodegradable COD fraction</x:v>
      </x:c>
      <x:c r="C50" s="133" t="str">
        <x:v>biodegradable_cod_fraction</x:v>
      </x:c>
      <x:c r="D50" s="134" t="n">
        <x:v>0.7</x:v>
      </x:c>
      <x:c r="E50" s="133" t="str">
        <x:v>fraction</x:v>
      </x:c>
      <x:c r="F50" s="133" t="str">
        <x:v>All</x:v>
      </x:c>
      <x:c r="G50" s="133" t="str">
        <x:v>All</x:v>
      </x:c>
      <x:c r="H50" s="135" t="n">
        <x:v>0</x:v>
      </x:c>
      <x:c r="I50" s="135" t="n">
        <x:v>1</x:v>
      </x:c>
      <x:c r="J50" s="133" t="str">
        <x:v>none</x:v>
      </x:c>
      <x:c r="K50" s="136" t="b">
        <x:v>1</x:v>
      </x:c>
      <x:c r="L50" s="137" t="str">
        <x:v>assumed</x:v>
      </x:c>
      <x:c r="M50" s="137" t="str">
        <x:v>E</x:v>
      </x:c>
      <x:c r="N50" s="133"/>
      <x:c r="O50" s="133" t="str">
        <x:v>Structural placeholder; replace with measured, experimental, literature, or vendor data before interpretation.</x:v>
      </x:c>
      <x:c r="P50" s="133"/>
      <x:c r="Q50" s="133" t="str">
        <x:v>assumed</x:v>
      </x:c>
      <x:c r="R50" s="133" t="n">
        <x:v>100</x:v>
      </x:c>
      <x:c r="S50" s="138" t="b">
        <x:v>1</x:v>
      </x:c>
      <x:c r="T50" s="139" t="n">
        <x:v>5</x:v>
      </x:c>
      <x:c r="U50" s="139" t="str">
        <x:v>LIM-P5-003</x:v>
      </x:c>
    </x:row>
    <x:row r="51" ht="32" customHeight="1">
      <x:c r="A51" s="133" t="str">
        <x:v>cod_mode</x:v>
      </x:c>
      <x:c r="B51" s="133" t="str">
        <x:v>COD conversion fraction</x:v>
      </x:c>
      <x:c r="C51" s="133" t="str">
        <x:v>cod_conversion_fraction</x:v>
      </x:c>
      <x:c r="D51" s="134" t="n">
        <x:v>0.75</x:v>
      </x:c>
      <x:c r="E51" s="133" t="str">
        <x:v>fraction</x:v>
      </x:c>
      <x:c r="F51" s="133" t="str">
        <x:v>All</x:v>
      </x:c>
      <x:c r="G51" s="133" t="str">
        <x:v>All</x:v>
      </x:c>
      <x:c r="H51" s="135" t="n">
        <x:v>0</x:v>
      </x:c>
      <x:c r="I51" s="135" t="n">
        <x:v>1</x:v>
      </x:c>
      <x:c r="J51" s="133" t="str">
        <x:v>none</x:v>
      </x:c>
      <x:c r="K51" s="136" t="b">
        <x:v>1</x:v>
      </x:c>
      <x:c r="L51" s="137" t="str">
        <x:v>assumed</x:v>
      </x:c>
      <x:c r="M51" s="137" t="str">
        <x:v>E</x:v>
      </x:c>
      <x:c r="N51" s="133"/>
      <x:c r="O51" s="133" t="str">
        <x:v>Structural placeholder; replace with measured, experimental, literature, or vendor data before interpretation.</x:v>
      </x:c>
      <x:c r="P51" s="133"/>
      <x:c r="Q51" s="133" t="str">
        <x:v>assumed</x:v>
      </x:c>
      <x:c r="R51" s="133" t="n">
        <x:v>100</x:v>
      </x:c>
      <x:c r="S51" s="138" t="b">
        <x:v>1</x:v>
      </x:c>
      <x:c r="T51" s="139" t="n">
        <x:v>5</x:v>
      </x:c>
      <x:c r="U51" s="139" t="str">
        <x:v>LIM-P5-003</x:v>
      </x:c>
    </x:row>
    <x:row r="52" ht="32" customHeight="1">
      <x:c r="A52" s="133" t="str">
        <x:v>cod_mode</x:v>
      </x:c>
      <x:c r="B52" s="133" t="str">
        <x:v>Methane yield on converted COD</x:v>
      </x:c>
      <x:c r="C52" s="133" t="str">
        <x:v>methane_yield_nm3_kg_cod_converted</x:v>
      </x:c>
      <x:c r="D52" s="134" t="n">
        <x:v>0.3</x:v>
      </x:c>
      <x:c r="E52" s="133" t="str">
        <x:v>Nm3/kg COD converted</x:v>
      </x:c>
      <x:c r="F52" s="133" t="str">
        <x:v>All</x:v>
      </x:c>
      <x:c r="G52" s="133" t="str">
        <x:v>All</x:v>
      </x:c>
      <x:c r="H52" s="135" t="n">
        <x:v>0</x:v>
      </x:c>
      <x:c r="I52" s="135" t="n">
        <x:v>0.4</x:v>
      </x:c>
      <x:c r="J52" s="133" t="str">
        <x:v>none</x:v>
      </x:c>
      <x:c r="K52" s="136" t="b">
        <x:v>1</x:v>
      </x:c>
      <x:c r="L52" s="137" t="str">
        <x:v>assumed</x:v>
      </x:c>
      <x:c r="M52" s="137" t="str">
        <x:v>E</x:v>
      </x:c>
      <x:c r="N52" s="133"/>
      <x:c r="O52" s="133" t="str">
        <x:v>Structural placeholder; replace with measured, experimental, literature, or vendor data before interpretation.</x:v>
      </x:c>
      <x:c r="P52" s="133"/>
      <x:c r="Q52" s="133" t="str">
        <x:v>assumed</x:v>
      </x:c>
      <x:c r="R52" s="133" t="n">
        <x:v>100</x:v>
      </x:c>
      <x:c r="S52" s="138" t="b">
        <x:v>1</x:v>
      </x:c>
      <x:c r="T52" s="139" t="n">
        <x:v>5</x:v>
      </x:c>
      <x:c r="U52" s="139" t="str">
        <x:v>LIM-P5-003</x:v>
      </x:c>
    </x:row>
    <x:row r="53" ht="32" customHeight="1">
      <x:c r="A53" s="133" t="str">
        <x:v>biomass</x:v>
      </x:c>
      <x:c r="B53" s="133" t="str">
        <x:v>Biomass COD yield</x:v>
      </x:c>
      <x:c r="C53" s="133" t="str">
        <x:v>biomass_cod_yield_fraction</x:v>
      </x:c>
      <x:c r="D53" s="134" t="n">
        <x:v>0.08</x:v>
      </x:c>
      <x:c r="E53" s="133" t="str">
        <x:v>kg biomass COD/kg converted COD</x:v>
      </x:c>
      <x:c r="F53" s="133" t="str">
        <x:v>All</x:v>
      </x:c>
      <x:c r="G53" s="133" t="str">
        <x:v>All</x:v>
      </x:c>
      <x:c r="H53" s="135" t="n">
        <x:v>0</x:v>
      </x:c>
      <x:c r="I53" s="135" t="n">
        <x:v>1</x:v>
      </x:c>
      <x:c r="J53" s="133" t="str">
        <x:v>none</x:v>
      </x:c>
      <x:c r="K53" s="136" t="b">
        <x:v>1</x:v>
      </x:c>
      <x:c r="L53" s="137" t="str">
        <x:v>assumed</x:v>
      </x:c>
      <x:c r="M53" s="137" t="str">
        <x:v>E</x:v>
      </x:c>
      <x:c r="N53" s="133"/>
      <x:c r="O53" s="133" t="str">
        <x:v>Structural placeholder; replace with measured, experimental, literature, or vendor data before interpretation.</x:v>
      </x:c>
      <x:c r="P53" s="133"/>
      <x:c r="Q53" s="133" t="str">
        <x:v>assumed</x:v>
      </x:c>
      <x:c r="R53" s="133" t="n">
        <x:v>100</x:v>
      </x:c>
      <x:c r="S53" s="138" t="b">
        <x:v>1</x:v>
      </x:c>
      <x:c r="T53" s="139" t="n">
        <x:v>5</x:v>
      </x:c>
      <x:c r="U53" s="139" t="str">
        <x:v>LIM-P5-005</x:v>
      </x:c>
    </x:row>
    <x:row r="54" ht="32" customHeight="1">
      <x:c r="A54" s="133" t="str">
        <x:v>nutrients</x:v>
      </x:c>
      <x:c r="B54" s="133" t="str">
        <x:v>Organic-N mineralization</x:v>
      </x:c>
      <x:c r="C54" s="133" t="str">
        <x:v>organic_n_mineralization_fraction</x:v>
      </x:c>
      <x:c r="D54" s="134" t="n">
        <x:v>0.7</x:v>
      </x:c>
      <x:c r="E54" s="133" t="str">
        <x:v>fraction</x:v>
      </x:c>
      <x:c r="F54" s="133" t="str">
        <x:v>All</x:v>
      </x:c>
      <x:c r="G54" s="133" t="str">
        <x:v>All</x:v>
      </x:c>
      <x:c r="H54" s="135" t="n">
        <x:v>0</x:v>
      </x:c>
      <x:c r="I54" s="135" t="n">
        <x:v>1</x:v>
      </x:c>
      <x:c r="J54" s="133" t="str">
        <x:v>none</x:v>
      </x:c>
      <x:c r="K54" s="136" t="b">
        <x:v>1</x:v>
      </x:c>
      <x:c r="L54" s="137" t="str">
        <x:v>assumed</x:v>
      </x:c>
      <x:c r="M54" s="137" t="str">
        <x:v>E</x:v>
      </x:c>
      <x:c r="N54" s="133"/>
      <x:c r="O54" s="133" t="str">
        <x:v>Structural placeholder; replace with measured, experimental, literature, or vendor data before interpretation.</x:v>
      </x:c>
      <x:c r="P54" s="133"/>
      <x:c r="Q54" s="133" t="str">
        <x:v>assumed</x:v>
      </x:c>
      <x:c r="R54" s="133" t="n">
        <x:v>100</x:v>
      </x:c>
      <x:c r="S54" s="138" t="b">
        <x:v>1</x:v>
      </x:c>
      <x:c r="T54" s="139" t="n">
        <x:v>5</x:v>
      </x:c>
      <x:c r="U54" s="139" t="str">
        <x:v>LIM-P5-003</x:v>
      </x:c>
    </x:row>
    <x:row r="55" ht="32" customHeight="1">
      <x:c r="A55" s="133" t="str">
        <x:v>nutrients</x:v>
      </x:c>
      <x:c r="B55" s="133" t="str">
        <x:v>Organic-P mineralization</x:v>
      </x:c>
      <x:c r="C55" s="133" t="str">
        <x:v>organic_p_mineralization_fraction</x:v>
      </x:c>
      <x:c r="D55" s="134" t="n">
        <x:v>0.65</x:v>
      </x:c>
      <x:c r="E55" s="133" t="str">
        <x:v>fraction</x:v>
      </x:c>
      <x:c r="F55" s="133" t="str">
        <x:v>All</x:v>
      </x:c>
      <x:c r="G55" s="133" t="str">
        <x:v>All</x:v>
      </x:c>
      <x:c r="H55" s="135" t="n">
        <x:v>0</x:v>
      </x:c>
      <x:c r="I55" s="135" t="n">
        <x:v>1</x:v>
      </x:c>
      <x:c r="J55" s="133" t="str">
        <x:v>none</x:v>
      </x:c>
      <x:c r="K55" s="136" t="b">
        <x:v>1</x:v>
      </x:c>
      <x:c r="L55" s="137" t="str">
        <x:v>assumed</x:v>
      </x:c>
      <x:c r="M55" s="137" t="str">
        <x:v>E</x:v>
      </x:c>
      <x:c r="N55" s="133"/>
      <x:c r="O55" s="133" t="str">
        <x:v>Structural placeholder; replace with measured, experimental, literature, or vendor data before interpretation.</x:v>
      </x:c>
      <x:c r="P55" s="133"/>
      <x:c r="Q55" s="133" t="str">
        <x:v>assumed</x:v>
      </x:c>
      <x:c r="R55" s="133" t="n">
        <x:v>100</x:v>
      </x:c>
      <x:c r="S55" s="138" t="b">
        <x:v>1</x:v>
      </x:c>
      <x:c r="T55" s="139" t="n">
        <x:v>5</x:v>
      </x:c>
      <x:c r="U55" s="139" t="str">
        <x:v>LIM-P5-003</x:v>
      </x:c>
    </x:row>
    <x:row r="56" ht="32" customHeight="1">
      <x:c r="A56" s="133" t="str">
        <x:v>nutrients</x:v>
      </x:c>
      <x:c r="B56" s="133" t="str">
        <x:v>Particulate-P release</x:v>
      </x:c>
      <x:c r="C56" s="133" t="str">
        <x:v>particulate_p_release_fraction</x:v>
      </x:c>
      <x:c r="D56" s="134" t="n">
        <x:v>0.3</x:v>
      </x:c>
      <x:c r="E56" s="133" t="str">
        <x:v>fraction</x:v>
      </x:c>
      <x:c r="F56" s="133" t="str">
        <x:v>All</x:v>
      </x:c>
      <x:c r="G56" s="133" t="str">
        <x:v>All</x:v>
      </x:c>
      <x:c r="H56" s="135" t="n">
        <x:v>0</x:v>
      </x:c>
      <x:c r="I56" s="135" t="n">
        <x:v>1</x:v>
      </x:c>
      <x:c r="J56" s="133" t="str">
        <x:v>none</x:v>
      </x:c>
      <x:c r="K56" s="136" t="b">
        <x:v>1</x:v>
      </x:c>
      <x:c r="L56" s="137" t="str">
        <x:v>assumed</x:v>
      </x:c>
      <x:c r="M56" s="137" t="str">
        <x:v>E</x:v>
      </x:c>
      <x:c r="N56" s="133"/>
      <x:c r="O56" s="133" t="str">
        <x:v>Structural placeholder; replace with measured, experimental, literature, or vendor data before interpretation.</x:v>
      </x:c>
      <x:c r="P56" s="133"/>
      <x:c r="Q56" s="133" t="str">
        <x:v>assumed</x:v>
      </x:c>
      <x:c r="R56" s="133" t="n">
        <x:v>100</x:v>
      </x:c>
      <x:c r="S56" s="138" t="b">
        <x:v>1</x:v>
      </x:c>
      <x:c r="T56" s="139" t="n">
        <x:v>5</x:v>
      </x:c>
      <x:c r="U56" s="139" t="str">
        <x:v>LIM-P5-003</x:v>
      </x:c>
    </x:row>
    <x:row r="57" ht="32" customHeight="1">
      <x:c r="A57" s="133" t="str">
        <x:v>sulphur</x:v>
      </x:c>
      <x:c r="B57" s="133" t="str">
        <x:v>Sulphate reduction enabled</x:v>
      </x:c>
      <x:c r="C57" s="133" t="str">
        <x:v>sulfate_reduction_enabled</x:v>
      </x:c>
      <x:c r="D57" s="140" t="b">
        <x:v>0</x:v>
      </x:c>
      <x:c r="E57" s="133" t="str">
        <x:v>boolean</x:v>
      </x:c>
      <x:c r="F57" s="133" t="str">
        <x:v>All</x:v>
      </x:c>
      <x:c r="G57" s="133" t="str">
        <x:v>All</x:v>
      </x:c>
      <x:c r="H57" s="135"/>
      <x:c r="I57" s="135"/>
      <x:c r="J57" s="133" t="str">
        <x:v>none</x:v>
      </x:c>
      <x:c r="K57" s="136" t="b">
        <x:v>1</x:v>
      </x:c>
      <x:c r="L57" s="137" t="str">
        <x:v>assumed</x:v>
      </x:c>
      <x:c r="M57" s="137" t="str">
        <x:v>E</x:v>
      </x:c>
      <x:c r="N57" s="133"/>
      <x:c r="O57" s="133" t="str">
        <x:v>Structural placeholder; replace with measured, experimental, literature, or vendor data before interpretation.</x:v>
      </x:c>
      <x:c r="P57" s="133"/>
      <x:c r="Q57" s="133" t="str">
        <x:v>assumed</x:v>
      </x:c>
      <x:c r="R57" s="133" t="n">
        <x:v>100</x:v>
      </x:c>
      <x:c r="S57" s="138" t="b">
        <x:v>1</x:v>
      </x:c>
      <x:c r="T57" s="139" t="n">
        <x:v>5</x:v>
      </x:c>
      <x:c r="U57" s="139" t="str">
        <x:v>LIM-P5-006</x:v>
      </x:c>
    </x:row>
    <x:row r="58" ht="32" customHeight="1">
      <x:c r="A58" s="133" t="str">
        <x:v>sulphur</x:v>
      </x:c>
      <x:c r="B58" s="133" t="str">
        <x:v>Sulphate reduction fraction</x:v>
      </x:c>
      <x:c r="C58" s="133" t="str">
        <x:v>sulfate_reduction_fraction</x:v>
      </x:c>
      <x:c r="D58" s="134" t="n">
        <x:v>0.2</x:v>
      </x:c>
      <x:c r="E58" s="133" t="str">
        <x:v>fraction</x:v>
      </x:c>
      <x:c r="F58" s="133" t="str">
        <x:v>All</x:v>
      </x:c>
      <x:c r="G58" s="133" t="str">
        <x:v>All</x:v>
      </x:c>
      <x:c r="H58" s="135" t="n">
        <x:v>0</x:v>
      </x:c>
      <x:c r="I58" s="135" t="n">
        <x:v>1</x:v>
      </x:c>
      <x:c r="J58" s="133" t="str">
        <x:v>none</x:v>
      </x:c>
      <x:c r="K58" s="136" t="b">
        <x:v>1</x:v>
      </x:c>
      <x:c r="L58" s="137" t="str">
        <x:v>assumed</x:v>
      </x:c>
      <x:c r="M58" s="137" t="str">
        <x:v>E</x:v>
      </x:c>
      <x:c r="N58" s="133"/>
      <x:c r="O58" s="133" t="str">
        <x:v>Structural placeholder; replace with measured, experimental, literature, or vendor data before interpretation.</x:v>
      </x:c>
      <x:c r="P58" s="133"/>
      <x:c r="Q58" s="133" t="str">
        <x:v>assumed</x:v>
      </x:c>
      <x:c r="R58" s="133" t="n">
        <x:v>100</x:v>
      </x:c>
      <x:c r="S58" s="138" t="b">
        <x:v>1</x:v>
      </x:c>
      <x:c r="T58" s="139" t="n">
        <x:v>5</x:v>
      </x:c>
      <x:c r="U58" s="139" t="str">
        <x:v>LIM-P5-006</x:v>
      </x:c>
    </x:row>
    <x:row r="59" ht="32" customHeight="1">
      <x:c r="A59" s="133" t="str">
        <x:v>inhibition</x:v>
      </x:c>
      <x:c r="B59" s="133" t="str">
        <x:v>pH inhibition enabled</x:v>
      </x:c>
      <x:c r="C59" s="133" t="str">
        <x:v>pH_inhibition_enabled</x:v>
      </x:c>
      <x:c r="D59" s="140" t="b">
        <x:v>1</x:v>
      </x:c>
      <x:c r="E59" s="133" t="str">
        <x:v>boolean</x:v>
      </x:c>
      <x:c r="F59" s="133" t="str">
        <x:v>All</x:v>
      </x:c>
      <x:c r="G59" s="133" t="str">
        <x:v>All</x:v>
      </x:c>
      <x:c r="H59" s="135"/>
      <x:c r="I59" s="135"/>
      <x:c r="J59" s="133" t="str">
        <x:v>none</x:v>
      </x:c>
      <x:c r="K59" s="136" t="b">
        <x:v>1</x:v>
      </x:c>
      <x:c r="L59" s="137" t="str">
        <x:v>assumed</x:v>
      </x:c>
      <x:c r="M59" s="137" t="str">
        <x:v>E</x:v>
      </x:c>
      <x:c r="N59" s="133"/>
      <x:c r="O59" s="133" t="str">
        <x:v>Structural placeholder; replace with measured, experimental, literature, or vendor data before interpretation.</x:v>
      </x:c>
      <x:c r="P59" s="133"/>
      <x:c r="Q59" s="133" t="str">
        <x:v>assumed</x:v>
      </x:c>
      <x:c r="R59" s="133" t="n">
        <x:v>100</x:v>
      </x:c>
      <x:c r="S59" s="138" t="b">
        <x:v>1</x:v>
      </x:c>
      <x:c r="T59" s="139" t="n">
        <x:v>5</x:v>
      </x:c>
      <x:c r="U59" s="139" t="str">
        <x:v>LIM-P5-006</x:v>
      </x:c>
    </x:row>
    <x:row r="60" ht="32" customHeight="1">
      <x:c r="A60" s="133" t="str">
        <x:v>inhibition</x:v>
      </x:c>
      <x:c r="B60" s="133" t="str">
        <x:v>Minimum active pH</x:v>
      </x:c>
      <x:c r="C60" s="133" t="str">
        <x:v>digester_minimum_pH</x:v>
      </x:c>
      <x:c r="D60" s="134" t="n">
        <x:v>6</x:v>
      </x:c>
      <x:c r="E60" s="133" t="str">
        <x:v>pH</x:v>
      </x:c>
      <x:c r="F60" s="133" t="str">
        <x:v>All</x:v>
      </x:c>
      <x:c r="G60" s="133" t="str">
        <x:v>All</x:v>
      </x:c>
      <x:c r="H60" s="135" t="n">
        <x:v>0</x:v>
      </x:c>
      <x:c r="I60" s="135" t="n">
        <x:v>14</x:v>
      </x:c>
      <x:c r="J60" s="133" t="str">
        <x:v>none</x:v>
      </x:c>
      <x:c r="K60" s="136" t="b">
        <x:v>1</x:v>
      </x:c>
      <x:c r="L60" s="137" t="str">
        <x:v>assumed</x:v>
      </x:c>
      <x:c r="M60" s="137" t="str">
        <x:v>E</x:v>
      </x:c>
      <x:c r="N60" s="133"/>
      <x:c r="O60" s="133" t="str">
        <x:v>Structural placeholder; replace with measured, experimental, literature, or vendor data before interpretation.</x:v>
      </x:c>
      <x:c r="P60" s="133"/>
      <x:c r="Q60" s="133" t="str">
        <x:v>assumed</x:v>
      </x:c>
      <x:c r="R60" s="133" t="n">
        <x:v>100</x:v>
      </x:c>
      <x:c r="S60" s="138" t="b">
        <x:v>1</x:v>
      </x:c>
      <x:c r="T60" s="139" t="n">
        <x:v>5</x:v>
      </x:c>
      <x:c r="U60" s="139" t="str">
        <x:v>LIM-P5-006</x:v>
      </x:c>
    </x:row>
    <x:row r="61" ht="32" customHeight="1">
      <x:c r="A61" s="133" t="str">
        <x:v>inhibition</x:v>
      </x:c>
      <x:c r="B61" s="133" t="str">
        <x:v>Lower optimum pH</x:v>
      </x:c>
      <x:c r="C61" s="133" t="str">
        <x:v>digester_optimum_pH_low</x:v>
      </x:c>
      <x:c r="D61" s="134" t="n">
        <x:v>6.8</x:v>
      </x:c>
      <x:c r="E61" s="133" t="str">
        <x:v>pH</x:v>
      </x:c>
      <x:c r="F61" s="133" t="str">
        <x:v>All</x:v>
      </x:c>
      <x:c r="G61" s="133" t="str">
        <x:v>All</x:v>
      </x:c>
      <x:c r="H61" s="135" t="n">
        <x:v>0</x:v>
      </x:c>
      <x:c r="I61" s="135" t="n">
        <x:v>14</x:v>
      </x:c>
      <x:c r="J61" s="133" t="str">
        <x:v>none</x:v>
      </x:c>
      <x:c r="K61" s="136" t="b">
        <x:v>1</x:v>
      </x:c>
      <x:c r="L61" s="137" t="str">
        <x:v>assumed</x:v>
      </x:c>
      <x:c r="M61" s="137" t="str">
        <x:v>E</x:v>
      </x:c>
      <x:c r="N61" s="133"/>
      <x:c r="O61" s="133" t="str">
        <x:v>Structural placeholder; replace with measured, experimental, literature, or vendor data before interpretation.</x:v>
      </x:c>
      <x:c r="P61" s="133"/>
      <x:c r="Q61" s="133" t="str">
        <x:v>assumed</x:v>
      </x:c>
      <x:c r="R61" s="133" t="n">
        <x:v>100</x:v>
      </x:c>
      <x:c r="S61" s="138" t="b">
        <x:v>1</x:v>
      </x:c>
      <x:c r="T61" s="139" t="n">
        <x:v>5</x:v>
      </x:c>
      <x:c r="U61" s="139" t="str">
        <x:v>LIM-P5-006</x:v>
      </x:c>
    </x:row>
    <x:row r="62" ht="32" customHeight="1">
      <x:c r="A62" s="133" t="str">
        <x:v>inhibition</x:v>
      </x:c>
      <x:c r="B62" s="133" t="str">
        <x:v>Upper optimum pH</x:v>
      </x:c>
      <x:c r="C62" s="133" t="str">
        <x:v>digester_optimum_pH_high</x:v>
      </x:c>
      <x:c r="D62" s="134" t="n">
        <x:v>7.5</x:v>
      </x:c>
      <x:c r="E62" s="133" t="str">
        <x:v>pH</x:v>
      </x:c>
      <x:c r="F62" s="133" t="str">
        <x:v>All</x:v>
      </x:c>
      <x:c r="G62" s="133" t="str">
        <x:v>All</x:v>
      </x:c>
      <x:c r="H62" s="135" t="n">
        <x:v>0</x:v>
      </x:c>
      <x:c r="I62" s="135" t="n">
        <x:v>14</x:v>
      </x:c>
      <x:c r="J62" s="133" t="str">
        <x:v>none</x:v>
      </x:c>
      <x:c r="K62" s="136" t="b">
        <x:v>1</x:v>
      </x:c>
      <x:c r="L62" s="137" t="str">
        <x:v>assumed</x:v>
      </x:c>
      <x:c r="M62" s="137" t="str">
        <x:v>E</x:v>
      </x:c>
      <x:c r="N62" s="133"/>
      <x:c r="O62" s="133" t="str">
        <x:v>Structural placeholder; replace with measured, experimental, literature, or vendor data before interpretation.</x:v>
      </x:c>
      <x:c r="P62" s="133"/>
      <x:c r="Q62" s="133" t="str">
        <x:v>assumed</x:v>
      </x:c>
      <x:c r="R62" s="133" t="n">
        <x:v>100</x:v>
      </x:c>
      <x:c r="S62" s="138" t="b">
        <x:v>1</x:v>
      </x:c>
      <x:c r="T62" s="139" t="n">
        <x:v>5</x:v>
      </x:c>
      <x:c r="U62" s="139" t="str">
        <x:v>LIM-P5-006</x:v>
      </x:c>
    </x:row>
    <x:row r="63" ht="32" customHeight="1">
      <x:c r="A63" s="133" t="str">
        <x:v>inhibition</x:v>
      </x:c>
      <x:c r="B63" s="133" t="str">
        <x:v>Maximum active pH</x:v>
      </x:c>
      <x:c r="C63" s="133" t="str">
        <x:v>digester_maximum_pH</x:v>
      </x:c>
      <x:c r="D63" s="134" t="n">
        <x:v>8.5</x:v>
      </x:c>
      <x:c r="E63" s="133" t="str">
        <x:v>pH</x:v>
      </x:c>
      <x:c r="F63" s="133" t="str">
        <x:v>All</x:v>
      </x:c>
      <x:c r="G63" s="133" t="str">
        <x:v>All</x:v>
      </x:c>
      <x:c r="H63" s="135" t="n">
        <x:v>0</x:v>
      </x:c>
      <x:c r="I63" s="135" t="n">
        <x:v>14</x:v>
      </x:c>
      <x:c r="J63" s="133" t="str">
        <x:v>none</x:v>
      </x:c>
      <x:c r="K63" s="136" t="b">
        <x:v>1</x:v>
      </x:c>
      <x:c r="L63" s="137" t="str">
        <x:v>assumed</x:v>
      </x:c>
      <x:c r="M63" s="137" t="str">
        <x:v>E</x:v>
      </x:c>
      <x:c r="N63" s="133"/>
      <x:c r="O63" s="133" t="str">
        <x:v>Structural placeholder; replace with measured, experimental, literature, or vendor data before interpretation.</x:v>
      </x:c>
      <x:c r="P63" s="133"/>
      <x:c r="Q63" s="133" t="str">
        <x:v>assumed</x:v>
      </x:c>
      <x:c r="R63" s="133" t="n">
        <x:v>100</x:v>
      </x:c>
      <x:c r="S63" s="138" t="b">
        <x:v>1</x:v>
      </x:c>
      <x:c r="T63" s="139" t="n">
        <x:v>5</x:v>
      </x:c>
      <x:c r="U63" s="139" t="str">
        <x:v>LIM-P5-006</x:v>
      </x:c>
    </x:row>
    <x:row r="64" ht="32" customHeight="1">
      <x:c r="A64" s="133" t="str">
        <x:v>inhibition</x:v>
      </x:c>
      <x:c r="B64" s="133" t="str">
        <x:v>Free-ammonia inhibition enabled</x:v>
      </x:c>
      <x:c r="C64" s="133" t="str">
        <x:v>free_ammonia_inhibition_enabled</x:v>
      </x:c>
      <x:c r="D64" s="140" t="b">
        <x:v>0</x:v>
      </x:c>
      <x:c r="E64" s="133" t="str">
        <x:v>boolean</x:v>
      </x:c>
      <x:c r="F64" s="133" t="str">
        <x:v>All</x:v>
      </x:c>
      <x:c r="G64" s="133" t="str">
        <x:v>All</x:v>
      </x:c>
      <x:c r="H64" s="135"/>
      <x:c r="I64" s="135"/>
      <x:c r="J64" s="133" t="str">
        <x:v>none</x:v>
      </x:c>
      <x:c r="K64" s="136" t="b">
        <x:v>1</x:v>
      </x:c>
      <x:c r="L64" s="137" t="str">
        <x:v>assumed</x:v>
      </x:c>
      <x:c r="M64" s="137" t="str">
        <x:v>E</x:v>
      </x:c>
      <x:c r="N64" s="133"/>
      <x:c r="O64" s="133" t="str">
        <x:v>Structural placeholder; replace with measured, experimental, literature, or vendor data before interpretation.</x:v>
      </x:c>
      <x:c r="P64" s="133"/>
      <x:c r="Q64" s="133" t="str">
        <x:v>assumed</x:v>
      </x:c>
      <x:c r="R64" s="133" t="n">
        <x:v>100</x:v>
      </x:c>
      <x:c r="S64" s="138" t="b">
        <x:v>1</x:v>
      </x:c>
      <x:c r="T64" s="139" t="n">
        <x:v>5</x:v>
      </x:c>
      <x:c r="U64" s="139" t="str">
        <x:v>LIM-P5-006</x:v>
      </x:c>
    </x:row>
    <x:row r="65" ht="32" customHeight="1">
      <x:c r="A65" s="133" t="str">
        <x:v>inhibition</x:v>
      </x:c>
      <x:c r="B65" s="133" t="str">
        <x:v>Free-ammonia inhibition constant</x:v>
      </x:c>
      <x:c r="C65" s="133" t="str">
        <x:v>ammonia_inhibition_constant_kg_n_m3</x:v>
      </x:c>
      <x:c r="D65" s="134"/>
      <x:c r="E65" s="133" t="str">
        <x:v>kg N/m3</x:v>
      </x:c>
      <x:c r="F65" s="133" t="str">
        <x:v>All</x:v>
      </x:c>
      <x:c r="G65" s="133" t="str">
        <x:v>All</x:v>
      </x:c>
      <x:c r="H65" s="135" t="n">
        <x:v>0.000001</x:v>
      </x:c>
      <x:c r="I65" s="135"/>
      <x:c r="J65" s="133" t="str">
        <x:v>none</x:v>
      </x:c>
      <x:c r="K65" s="136" t="b">
        <x:v>0</x:v>
      </x:c>
      <x:c r="L65" s="137" t="str">
        <x:v>not_measured</x:v>
      </x:c>
      <x:c r="M65" s="137" t="str">
        <x:v>E</x:v>
      </x:c>
      <x:c r="N65" s="133"/>
      <x:c r="O65" s="133" t="str">
        <x:v>Leave blank while inhibition is disabled; project-specific inhibition data are missing.</x:v>
      </x:c>
      <x:c r="P65" s="133"/>
      <x:c r="Q65" s="133" t="str">
        <x:v>assumed</x:v>
      </x:c>
      <x:c r="R65" s="133" t="n">
        <x:v>100</x:v>
      </x:c>
      <x:c r="S65" s="138" t="b">
        <x:v>1</x:v>
      </x:c>
      <x:c r="T65" s="139" t="n">
        <x:v>5</x:v>
      </x:c>
      <x:c r="U65" s="139" t="str">
        <x:v>LIM-P5-006</x:v>
      </x:c>
    </x:row>
    <x:row r="66" ht="32" customHeight="1">
      <x:c r="A66" s="133" t="str">
        <x:v>utilities</x:v>
      </x:c>
      <x:c r="B66" s="133" t="str">
        <x:v>Feed heat capacity</x:v>
      </x:c>
      <x:c r="C66" s="133" t="str">
        <x:v>digester_feed_heat_capacity_kj_kg_k</x:v>
      </x:c>
      <x:c r="D66" s="134" t="n">
        <x:v>4</x:v>
      </x:c>
      <x:c r="E66" s="133" t="str">
        <x:v>kJ/kg/K</x:v>
      </x:c>
      <x:c r="F66" s="133" t="str">
        <x:v>All</x:v>
      </x:c>
      <x:c r="G66" s="133" t="str">
        <x:v>All</x:v>
      </x:c>
      <x:c r="H66" s="135" t="n">
        <x:v>0.000001</x:v>
      </x:c>
      <x:c r="I66" s="135" t="n">
        <x:v>20</x:v>
      </x:c>
      <x:c r="J66" s="133" t="str">
        <x:v>none</x:v>
      </x:c>
      <x:c r="K66" s="136" t="b">
        <x:v>1</x:v>
      </x:c>
      <x:c r="L66" s="137" t="str">
        <x:v>assumed</x:v>
      </x:c>
      <x:c r="M66" s="137" t="str">
        <x:v>E</x:v>
      </x:c>
      <x:c r="N66" s="133"/>
      <x:c r="O66" s="133" t="str">
        <x:v>Structural placeholder; replace with measured, experimental, literature, or vendor data before interpretation.</x:v>
      </x:c>
      <x:c r="P66" s="133"/>
      <x:c r="Q66" s="133" t="str">
        <x:v>assumed</x:v>
      </x:c>
      <x:c r="R66" s="133" t="n">
        <x:v>100</x:v>
      </x:c>
      <x:c r="S66" s="138" t="b">
        <x:v>1</x:v>
      </x:c>
      <x:c r="T66" s="139" t="n">
        <x:v>5</x:v>
      </x:c>
      <x:c r="U66" s="139" t="str">
        <x:v>LIM-P5-010</x:v>
      </x:c>
    </x:row>
    <x:row r="67" ht="32" customHeight="1">
      <x:c r="A67" s="133" t="str">
        <x:v>utilities</x:v>
      </x:c>
      <x:c r="B67" s="133" t="str">
        <x:v>Feed-heating efficiency</x:v>
      </x:c>
      <x:c r="C67" s="133" t="str">
        <x:v>digester_feed_heating_efficiency</x:v>
      </x:c>
      <x:c r="D67" s="134" t="n">
        <x:v>0.85</x:v>
      </x:c>
      <x:c r="E67" s="133" t="str">
        <x:v>fraction</x:v>
      </x:c>
      <x:c r="F67" s="133" t="str">
        <x:v>All</x:v>
      </x:c>
      <x:c r="G67" s="133" t="str">
        <x:v>All</x:v>
      </x:c>
      <x:c r="H67" s="135" t="n">
        <x:v>0.000001</x:v>
      </x:c>
      <x:c r="I67" s="135" t="n">
        <x:v>1</x:v>
      </x:c>
      <x:c r="J67" s="133" t="str">
        <x:v>none</x:v>
      </x:c>
      <x:c r="K67" s="136" t="b">
        <x:v>1</x:v>
      </x:c>
      <x:c r="L67" s="137" t="str">
        <x:v>assumed</x:v>
      </x:c>
      <x:c r="M67" s="137" t="str">
        <x:v>E</x:v>
      </x:c>
      <x:c r="N67" s="133"/>
      <x:c r="O67" s="133" t="str">
        <x:v>Structural placeholder; replace with measured, experimental, literature, or vendor data before interpretation.</x:v>
      </x:c>
      <x:c r="P67" s="133"/>
      <x:c r="Q67" s="133" t="str">
        <x:v>assumed</x:v>
      </x:c>
      <x:c r="R67" s="133" t="n">
        <x:v>100</x:v>
      </x:c>
      <x:c r="S67" s="138" t="b">
        <x:v>1</x:v>
      </x:c>
      <x:c r="T67" s="139" t="n">
        <x:v>5</x:v>
      </x:c>
      <x:c r="U67" s="139" t="str">
        <x:v>LIM-P5-010</x:v>
      </x:c>
    </x:row>
    <x:row r="68" ht="32" customHeight="1">
      <x:c r="A68" s="133" t="str">
        <x:v>utilities</x:v>
      </x:c>
      <x:c r="B68" s="133" t="str">
        <x:v>Ambient temperature</x:v>
      </x:c>
      <x:c r="C68" s="133" t="str">
        <x:v>ambient_temperature_c</x:v>
      </x:c>
      <x:c r="D68" s="134" t="n">
        <x:v>10</x:v>
      </x:c>
      <x:c r="E68" s="133" t="str">
        <x:v>degC</x:v>
      </x:c>
      <x:c r="F68" s="133" t="str">
        <x:v>All</x:v>
      </x:c>
      <x:c r="G68" s="133" t="str">
        <x:v>All</x:v>
      </x:c>
      <x:c r="H68" s="135" t="n">
        <x:v>-30</x:v>
      </x:c>
      <x:c r="I68" s="135" t="n">
        <x:v>60</x:v>
      </x:c>
      <x:c r="J68" s="133" t="str">
        <x:v>none</x:v>
      </x:c>
      <x:c r="K68" s="136" t="b">
        <x:v>1</x:v>
      </x:c>
      <x:c r="L68" s="137" t="str">
        <x:v>assumed</x:v>
      </x:c>
      <x:c r="M68" s="137" t="str">
        <x:v>E</x:v>
      </x:c>
      <x:c r="N68" s="133"/>
      <x:c r="O68" s="133" t="str">
        <x:v>Structural placeholder; replace with measured, experimental, literature, or vendor data before interpretation.</x:v>
      </x:c>
      <x:c r="P68" s="133"/>
      <x:c r="Q68" s="133" t="str">
        <x:v>assumed</x:v>
      </x:c>
      <x:c r="R68" s="133" t="n">
        <x:v>100</x:v>
      </x:c>
      <x:c r="S68" s="138" t="b">
        <x:v>1</x:v>
      </x:c>
      <x:c r="T68" s="139" t="n">
        <x:v>5</x:v>
      </x:c>
      <x:c r="U68" s="139" t="str">
        <x:v>LIM-P5-010</x:v>
      </x:c>
    </x:row>
    <x:row r="69" ht="32" customHeight="1">
      <x:c r="A69" s="133" t="str">
        <x:v>utilities</x:v>
      </x:c>
      <x:c r="B69" s="133" t="str">
        <x:v>Digester heat-loss U-value</x:v>
      </x:c>
      <x:c r="C69" s="133" t="str">
        <x:v>digester_heat_loss_u_w_m2_k</x:v>
      </x:c>
      <x:c r="D69" s="134" t="n">
        <x:v>0.35</x:v>
      </x:c>
      <x:c r="E69" s="133" t="str">
        <x:v>W/m2/K</x:v>
      </x:c>
      <x:c r="F69" s="133" t="str">
        <x:v>All</x:v>
      </x:c>
      <x:c r="G69" s="133" t="str">
        <x:v>All</x:v>
      </x:c>
      <x:c r="H69" s="135" t="n">
        <x:v>0</x:v>
      </x:c>
      <x:c r="I69" s="135" t="n">
        <x:v>20</x:v>
      </x:c>
      <x:c r="J69" s="133" t="str">
        <x:v>none</x:v>
      </x:c>
      <x:c r="K69" s="136" t="b">
        <x:v>1</x:v>
      </x:c>
      <x:c r="L69" s="137" t="str">
        <x:v>assumed</x:v>
      </x:c>
      <x:c r="M69" s="137" t="str">
        <x:v>E</x:v>
      </x:c>
      <x:c r="N69" s="133"/>
      <x:c r="O69" s="133" t="str">
        <x:v>Structural placeholder; replace with measured, experimental, literature, or vendor data before interpretation.</x:v>
      </x:c>
      <x:c r="P69" s="133"/>
      <x:c r="Q69" s="133" t="str">
        <x:v>assumed</x:v>
      </x:c>
      <x:c r="R69" s="133" t="n">
        <x:v>100</x:v>
      </x:c>
      <x:c r="S69" s="138" t="b">
        <x:v>1</x:v>
      </x:c>
      <x:c r="T69" s="139" t="n">
        <x:v>5</x:v>
      </x:c>
      <x:c r="U69" s="139" t="str">
        <x:v>LIM-P5-010</x:v>
      </x:c>
    </x:row>
    <x:row r="70" ht="32" customHeight="1">
      <x:c r="A70" s="133" t="str">
        <x:v>utilities</x:v>
      </x:c>
      <x:c r="B70" s="133" t="str">
        <x:v>Specific digester-mixing power</x:v>
      </x:c>
      <x:c r="C70" s="133" t="str">
        <x:v>specific_mixing_power_kw_m3</x:v>
      </x:c>
      <x:c r="D70" s="134" t="n">
        <x:v>0.005</x:v>
      </x:c>
      <x:c r="E70" s="133" t="str">
        <x:v>kW/m3</x:v>
      </x:c>
      <x:c r="F70" s="133" t="str">
        <x:v>All</x:v>
      </x:c>
      <x:c r="G70" s="133" t="str">
        <x:v>All</x:v>
      </x:c>
      <x:c r="H70" s="135" t="n">
        <x:v>0</x:v>
      </x:c>
      <x:c r="I70" s="135" t="n">
        <x:v>1</x:v>
      </x:c>
      <x:c r="J70" s="133" t="str">
        <x:v>none</x:v>
      </x:c>
      <x:c r="K70" s="136" t="b">
        <x:v>1</x:v>
      </x:c>
      <x:c r="L70" s="137" t="str">
        <x:v>assumed</x:v>
      </x:c>
      <x:c r="M70" s="137" t="str">
        <x:v>E</x:v>
      </x:c>
      <x:c r="N70" s="133"/>
      <x:c r="O70" s="133" t="str">
        <x:v>Structural placeholder; replace with measured, experimental, literature, or vendor data before interpretation.</x:v>
      </x:c>
      <x:c r="P70" s="133"/>
      <x:c r="Q70" s="133" t="str">
        <x:v>assumed</x:v>
      </x:c>
      <x:c r="R70" s="133" t="n">
        <x:v>100</x:v>
      </x:c>
      <x:c r="S70" s="138" t="b">
        <x:v>1</x:v>
      </x:c>
      <x:c r="T70" s="139" t="n">
        <x:v>5</x:v>
      </x:c>
      <x:c r="U70" s="139" t="str">
        <x:v>LIM-P5-011</x:v>
      </x:c>
    </x:row>
    <x:row r="71" ht="32" customHeight="1">
      <x:c r="A71" s="133" t="str">
        <x:v>utilities</x:v>
      </x:c>
      <x:c r="B71" s="133" t="str">
        <x:v>Mixing schedule fraction</x:v>
      </x:c>
      <x:c r="C71" s="133" t="str">
        <x:v>mixing_schedule_fraction</x:v>
      </x:c>
      <x:c r="D71" s="134" t="n">
        <x:v>0.75</x:v>
      </x:c>
      <x:c r="E71" s="133" t="str">
        <x:v>fraction</x:v>
      </x:c>
      <x:c r="F71" s="133" t="str">
        <x:v>All</x:v>
      </x:c>
      <x:c r="G71" s="133" t="str">
        <x:v>All</x:v>
      </x:c>
      <x:c r="H71" s="135" t="n">
        <x:v>0</x:v>
      </x:c>
      <x:c r="I71" s="135" t="n">
        <x:v>1</x:v>
      </x:c>
      <x:c r="J71" s="133" t="str">
        <x:v>none</x:v>
      </x:c>
      <x:c r="K71" s="136" t="b">
        <x:v>1</x:v>
      </x:c>
      <x:c r="L71" s="137" t="str">
        <x:v>assumed</x:v>
      </x:c>
      <x:c r="M71" s="137" t="str">
        <x:v>E</x:v>
      </x:c>
      <x:c r="N71" s="133"/>
      <x:c r="O71" s="133" t="str">
        <x:v>Structural placeholder; replace with measured, experimental, literature, or vendor data before interpretation.</x:v>
      </x:c>
      <x:c r="P71" s="133"/>
      <x:c r="Q71" s="133" t="str">
        <x:v>assumed</x:v>
      </x:c>
      <x:c r="R71" s="133" t="n">
        <x:v>100</x:v>
      </x:c>
      <x:c r="S71" s="138" t="b">
        <x:v>1</x:v>
      </x:c>
      <x:c r="T71" s="139" t="n">
        <x:v>5</x:v>
      </x:c>
      <x:c r="U71" s="139" t="str">
        <x:v>LIM-P5-011</x:v>
      </x:c>
    </x:row>
    <x:row r="72" ht="32" customHeight="1">
      <x:c r="A72" s="133" t="str">
        <x:v>utilities</x:v>
      </x:c>
      <x:c r="B72" s="133" t="str">
        <x:v>Mixer motor efficiency</x:v>
      </x:c>
      <x:c r="C72" s="133" t="str">
        <x:v>mixing_motor_efficiency</x:v>
      </x:c>
      <x:c r="D72" s="134" t="n">
        <x:v>0.9</x:v>
      </x:c>
      <x:c r="E72" s="133" t="str">
        <x:v>fraction</x:v>
      </x:c>
      <x:c r="F72" s="133" t="str">
        <x:v>All</x:v>
      </x:c>
      <x:c r="G72" s="133" t="str">
        <x:v>All</x:v>
      </x:c>
      <x:c r="H72" s="135" t="n">
        <x:v>0.000001</x:v>
      </x:c>
      <x:c r="I72" s="135" t="n">
        <x:v>1</x:v>
      </x:c>
      <x:c r="J72" s="133" t="str">
        <x:v>none</x:v>
      </x:c>
      <x:c r="K72" s="136" t="b">
        <x:v>1</x:v>
      </x:c>
      <x:c r="L72" s="137" t="str">
        <x:v>assumed</x:v>
      </x:c>
      <x:c r="M72" s="137" t="str">
        <x:v>E</x:v>
      </x:c>
      <x:c r="N72" s="133"/>
      <x:c r="O72" s="133" t="str">
        <x:v>Structural placeholder; replace with measured, experimental, literature, or vendor data before interpretation.</x:v>
      </x:c>
      <x:c r="P72" s="133"/>
      <x:c r="Q72" s="133" t="str">
        <x:v>assumed</x:v>
      </x:c>
      <x:c r="R72" s="133" t="n">
        <x:v>100</x:v>
      </x:c>
      <x:c r="S72" s="138" t="b">
        <x:v>1</x:v>
      </x:c>
      <x:c r="T72" s="139" t="n">
        <x:v>5</x:v>
      </x:c>
      <x:c r="U72" s="139" t="str">
        <x:v>LIM-P5-011</x:v>
      </x:c>
    </x:row>
    <x:row r="73" ht="32" customHeight="1">
      <x:c r="A73" s="133" t="str">
        <x:v>reactor</x:v>
      </x:c>
      <x:c r="B73" s="133" t="str">
        <x:v>Digester operating pressure</x:v>
      </x:c>
      <x:c r="C73" s="133" t="str">
        <x:v>digester_operating_pressure_bar</x:v>
      </x:c>
      <x:c r="D73" s="134" t="n">
        <x:v>1.05</x:v>
      </x:c>
      <x:c r="E73" s="133" t="str">
        <x:v>bar</x:v>
      </x:c>
      <x:c r="F73" s="133" t="str">
        <x:v>All</x:v>
      </x:c>
      <x:c r="G73" s="133" t="str">
        <x:v>All</x:v>
      </x:c>
      <x:c r="H73" s="135" t="n">
        <x:v>0.000001</x:v>
      </x:c>
      <x:c r="I73" s="135" t="n">
        <x:v>10</x:v>
      </x:c>
      <x:c r="J73" s="133" t="str">
        <x:v>none</x:v>
      </x:c>
      <x:c r="K73" s="136" t="b">
        <x:v>1</x:v>
      </x:c>
      <x:c r="L73" s="137" t="str">
        <x:v>assumed</x:v>
      </x:c>
      <x:c r="M73" s="137" t="str">
        <x:v>E</x:v>
      </x:c>
      <x:c r="N73" s="133"/>
      <x:c r="O73" s="133" t="str">
        <x:v>Structural placeholder; replace with measured, experimental, literature, or vendor data before interpretation.</x:v>
      </x:c>
      <x:c r="P73" s="133"/>
      <x:c r="Q73" s="133" t="str">
        <x:v>assumed</x:v>
      </x:c>
      <x:c r="R73" s="133" t="n">
        <x:v>100</x:v>
      </x:c>
      <x:c r="S73" s="138" t="b">
        <x:v>1</x:v>
      </x:c>
      <x:c r="T73" s="139" t="n">
        <x:v>5</x:v>
      </x:c>
      <x:c r="U73" s="139" t="str">
        <x:v>LIM-P5-012</x:v>
      </x:c>
    </x:row>
    <x:row r="74" ht="32" customHeight="1">
      <x:c r="A74" s="133" t="str">
        <x:v>gas_partition</x:v>
      </x:c>
      <x:c r="B74" s="133" t="str">
        <x:v>Gas capture efficiency</x:v>
      </x:c>
      <x:c r="C74" s="133" t="str">
        <x:v>gas_capture_efficiency</x:v>
      </x:c>
      <x:c r="D74" s="134" t="n">
        <x:v>0.98</x:v>
      </x:c>
      <x:c r="E74" s="133" t="str">
        <x:v>fraction</x:v>
      </x:c>
      <x:c r="F74" s="133" t="str">
        <x:v>All</x:v>
      </x:c>
      <x:c r="G74" s="133" t="str">
        <x:v>All</x:v>
      </x:c>
      <x:c r="H74" s="135" t="n">
        <x:v>0</x:v>
      </x:c>
      <x:c r="I74" s="135" t="n">
        <x:v>1</x:v>
      </x:c>
      <x:c r="J74" s="133" t="str">
        <x:v>none</x:v>
      </x:c>
      <x:c r="K74" s="136" t="b">
        <x:v>1</x:v>
      </x:c>
      <x:c r="L74" s="137" t="str">
        <x:v>assumed</x:v>
      </x:c>
      <x:c r="M74" s="137" t="str">
        <x:v>E</x:v>
      </x:c>
      <x:c r="N74" s="133"/>
      <x:c r="O74" s="133" t="str">
        <x:v>Structural placeholder; replace with measured, experimental, literature, or vendor data before interpretation.</x:v>
      </x:c>
      <x:c r="P74" s="133"/>
      <x:c r="Q74" s="133" t="str">
        <x:v>assumed</x:v>
      </x:c>
      <x:c r="R74" s="133" t="n">
        <x:v>100</x:v>
      </x:c>
      <x:c r="S74" s="138" t="b">
        <x:v>1</x:v>
      </x:c>
      <x:c r="T74" s="139" t="n">
        <x:v>5</x:v>
      </x:c>
      <x:c r="U74" s="139" t="str">
        <x:v>LIM-P5-007</x:v>
      </x:c>
    </x:row>
    <x:row r="75" ht="32" customHeight="1">
      <x:c r="A75" s="133" t="str">
        <x:v>gas_partition</x:v>
      </x:c>
      <x:c r="B75" s="133" t="str">
        <x:v>Dissolved methane fraction</x:v>
      </x:c>
      <x:c r="C75" s="133" t="str">
        <x:v>dissolved_methane_fraction</x:v>
      </x:c>
      <x:c r="D75" s="134" t="n">
        <x:v>0.03</x:v>
      </x:c>
      <x:c r="E75" s="133" t="str">
        <x:v>fraction</x:v>
      </x:c>
      <x:c r="F75" s="133" t="str">
        <x:v>All</x:v>
      </x:c>
      <x:c r="G75" s="133" t="str">
        <x:v>All</x:v>
      </x:c>
      <x:c r="H75" s="135" t="n">
        <x:v>0</x:v>
      </x:c>
      <x:c r="I75" s="135" t="n">
        <x:v>1</x:v>
      </x:c>
      <x:c r="J75" s="133" t="str">
        <x:v>none</x:v>
      </x:c>
      <x:c r="K75" s="136" t="b">
        <x:v>1</x:v>
      </x:c>
      <x:c r="L75" s="137" t="str">
        <x:v>assumed</x:v>
      </x:c>
      <x:c r="M75" s="137" t="str">
        <x:v>E</x:v>
      </x:c>
      <x:c r="N75" s="133"/>
      <x:c r="O75" s="133" t="str">
        <x:v>Structural placeholder; replace with measured, experimental, literature, or vendor data before interpretation.</x:v>
      </x:c>
      <x:c r="P75" s="133"/>
      <x:c r="Q75" s="133" t="str">
        <x:v>assumed</x:v>
      </x:c>
      <x:c r="R75" s="133" t="n">
        <x:v>100</x:v>
      </x:c>
      <x:c r="S75" s="138" t="b">
        <x:v>1</x:v>
      </x:c>
      <x:c r="T75" s="139" t="n">
        <x:v>5</x:v>
      </x:c>
      <x:c r="U75" s="139" t="str">
        <x:v>LIM-P5-007</x:v>
      </x:c>
    </x:row>
    <x:row r="76" ht="32" customHeight="1">
      <x:c r="A76" s="133" t="str">
        <x:v>gas_partition</x:v>
      </x:c>
      <x:c r="B76" s="133" t="str">
        <x:v>Dissolved carbon-dioxide fraction</x:v>
      </x:c>
      <x:c r="C76" s="133" t="str">
        <x:v>dissolved_co2_fraction</x:v>
      </x:c>
      <x:c r="D76" s="134" t="n">
        <x:v>0.2</x:v>
      </x:c>
      <x:c r="E76" s="133" t="str">
        <x:v>fraction</x:v>
      </x:c>
      <x:c r="F76" s="133" t="str">
        <x:v>All</x:v>
      </x:c>
      <x:c r="G76" s="133" t="str">
        <x:v>All</x:v>
      </x:c>
      <x:c r="H76" s="135" t="n">
        <x:v>0</x:v>
      </x:c>
      <x:c r="I76" s="135" t="n">
        <x:v>1</x:v>
      </x:c>
      <x:c r="J76" s="133" t="str">
        <x:v>none</x:v>
      </x:c>
      <x:c r="K76" s="136" t="b">
        <x:v>1</x:v>
      </x:c>
      <x:c r="L76" s="137" t="str">
        <x:v>assumed</x:v>
      </x:c>
      <x:c r="M76" s="137" t="str">
        <x:v>E</x:v>
      </x:c>
      <x:c r="N76" s="133"/>
      <x:c r="O76" s="133" t="str">
        <x:v>Structural placeholder; replace with measured, experimental, literature, or vendor data before interpretation.</x:v>
      </x:c>
      <x:c r="P76" s="133"/>
      <x:c r="Q76" s="133" t="str">
        <x:v>assumed</x:v>
      </x:c>
      <x:c r="R76" s="133" t="n">
        <x:v>100</x:v>
      </x:c>
      <x:c r="S76" s="138" t="b">
        <x:v>1</x:v>
      </x:c>
      <x:c r="T76" s="139" t="n">
        <x:v>5</x:v>
      </x:c>
      <x:c r="U76" s="139" t="str">
        <x:v>LIM-P5-007</x:v>
      </x:c>
    </x:row>
    <x:row r="77" ht="32" customHeight="1">
      <x:c r="A77" s="133" t="str">
        <x:v>gas_partition</x:v>
      </x:c>
      <x:c r="B77" s="133" t="str">
        <x:v>Dissolved hydrogen fraction</x:v>
      </x:c>
      <x:c r="C77" s="133" t="str">
        <x:v>dissolved_hydrogen_fraction</x:v>
      </x:c>
      <x:c r="D77" s="134" t="n">
        <x:v>0.05</x:v>
      </x:c>
      <x:c r="E77" s="133" t="str">
        <x:v>fraction</x:v>
      </x:c>
      <x:c r="F77" s="133" t="str">
        <x:v>All</x:v>
      </x:c>
      <x:c r="G77" s="133" t="str">
        <x:v>All</x:v>
      </x:c>
      <x:c r="H77" s="135" t="n">
        <x:v>0</x:v>
      </x:c>
      <x:c r="I77" s="135" t="n">
        <x:v>1</x:v>
      </x:c>
      <x:c r="J77" s="133" t="str">
        <x:v>none</x:v>
      </x:c>
      <x:c r="K77" s="136" t="b">
        <x:v>1</x:v>
      </x:c>
      <x:c r="L77" s="137" t="str">
        <x:v>assumed</x:v>
      </x:c>
      <x:c r="M77" s="137" t="str">
        <x:v>E</x:v>
      </x:c>
      <x:c r="N77" s="133"/>
      <x:c r="O77" s="133" t="str">
        <x:v>Structural placeholder; replace with measured, experimental, literature, or vendor data before interpretation.</x:v>
      </x:c>
      <x:c r="P77" s="133"/>
      <x:c r="Q77" s="133" t="str">
        <x:v>assumed</x:v>
      </x:c>
      <x:c r="R77" s="133" t="n">
        <x:v>100</x:v>
      </x:c>
      <x:c r="S77" s="138" t="b">
        <x:v>1</x:v>
      </x:c>
      <x:c r="T77" s="139" t="n">
        <x:v>5</x:v>
      </x:c>
      <x:c r="U77" s="139" t="str">
        <x:v>LIM-P5-007</x:v>
      </x:c>
    </x:row>
    <x:row r="78" ht="32" customHeight="1">
      <x:c r="A78" s="133" t="str">
        <x:v>gas_partition</x:v>
      </x:c>
      <x:c r="B78" s="133" t="str">
        <x:v>Hydrogen-sulphide gas-transfer fraction</x:v>
      </x:c>
      <x:c r="C78" s="133" t="str">
        <x:v>h2s_gas_transfer_fraction</x:v>
      </x:c>
      <x:c r="D78" s="134" t="n">
        <x:v>0.5</x:v>
      </x:c>
      <x:c r="E78" s="133" t="str">
        <x:v>fraction</x:v>
      </x:c>
      <x:c r="F78" s="133" t="str">
        <x:v>All</x:v>
      </x:c>
      <x:c r="G78" s="133" t="str">
        <x:v>All</x:v>
      </x:c>
      <x:c r="H78" s="135" t="n">
        <x:v>0</x:v>
      </x:c>
      <x:c r="I78" s="135" t="n">
        <x:v>1</x:v>
      </x:c>
      <x:c r="J78" s="133" t="str">
        <x:v>none</x:v>
      </x:c>
      <x:c r="K78" s="136" t="b">
        <x:v>1</x:v>
      </x:c>
      <x:c r="L78" s="137" t="str">
        <x:v>assumed</x:v>
      </x:c>
      <x:c r="M78" s="137" t="str">
        <x:v>E</x:v>
      </x:c>
      <x:c r="N78" s="133"/>
      <x:c r="O78" s="133" t="str">
        <x:v>Structural placeholder; replace with measured, experimental, literature, or vendor data before interpretation.</x:v>
      </x:c>
      <x:c r="P78" s="133"/>
      <x:c r="Q78" s="133" t="str">
        <x:v>assumed</x:v>
      </x:c>
      <x:c r="R78" s="133" t="n">
        <x:v>100</x:v>
      </x:c>
      <x:c r="S78" s="138" t="b">
        <x:v>1</x:v>
      </x:c>
      <x:c r="T78" s="139" t="n">
        <x:v>5</x:v>
      </x:c>
      <x:c r="U78" s="139" t="str">
        <x:v>LIM-P5-008</x:v>
      </x:c>
    </x:row>
    <x:row r="79" ht="32" customHeight="1">
      <x:c r="A79" s="133" t="str">
        <x:v>gas_partition</x:v>
      </x:c>
      <x:c r="B79" s="133" t="str">
        <x:v>Ammonia gas-transfer fraction</x:v>
      </x:c>
      <x:c r="C79" s="133" t="str">
        <x:v>ammonia_gas_transfer_fraction</x:v>
      </x:c>
      <x:c r="D79" s="134" t="n">
        <x:v>0.02</x:v>
      </x:c>
      <x:c r="E79" s="133" t="str">
        <x:v>fraction</x:v>
      </x:c>
      <x:c r="F79" s="133" t="str">
        <x:v>All</x:v>
      </x:c>
      <x:c r="G79" s="133" t="str">
        <x:v>All</x:v>
      </x:c>
      <x:c r="H79" s="135" t="n">
        <x:v>0</x:v>
      </x:c>
      <x:c r="I79" s="135" t="n">
        <x:v>1</x:v>
      </x:c>
      <x:c r="J79" s="133" t="str">
        <x:v>none</x:v>
      </x:c>
      <x:c r="K79" s="136" t="b">
        <x:v>1</x:v>
      </x:c>
      <x:c r="L79" s="137" t="str">
        <x:v>assumed</x:v>
      </x:c>
      <x:c r="M79" s="137" t="str">
        <x:v>E</x:v>
      </x:c>
      <x:c r="N79" s="133"/>
      <x:c r="O79" s="133" t="str">
        <x:v>Structural placeholder; replace with measured, experimental, literature, or vendor data before interpretation.</x:v>
      </x:c>
      <x:c r="P79" s="133"/>
      <x:c r="Q79" s="133" t="str">
        <x:v>assumed</x:v>
      </x:c>
      <x:c r="R79" s="133" t="n">
        <x:v>100</x:v>
      </x:c>
      <x:c r="S79" s="138" t="b">
        <x:v>1</x:v>
      </x:c>
      <x:c r="T79" s="139" t="n">
        <x:v>5</x:v>
      </x:c>
      <x:c r="U79" s="139" t="str">
        <x:v>LIM-P5-007</x:v>
      </x:c>
    </x:row>
    <x:row r="80" ht="32" customHeight="1">
      <x:c r="A80" s="133" t="str">
        <x:v>gas_partition</x:v>
      </x:c>
      <x:c r="B80" s="133" t="str">
        <x:v>Raw-biogas water-vapour wet mol fraction</x:v>
      </x:c>
      <x:c r="C80" s="133" t="str">
        <x:v>raw_biogas_water_vapor_mol_fraction</x:v>
      </x:c>
      <x:c r="D80" s="134" t="n">
        <x:v>0.04</x:v>
      </x:c>
      <x:c r="E80" s="133" t="str">
        <x:v>mol fraction</x:v>
      </x:c>
      <x:c r="F80" s="133" t="str">
        <x:v>All</x:v>
      </x:c>
      <x:c r="G80" s="133" t="str">
        <x:v>All</x:v>
      </x:c>
      <x:c r="H80" s="135" t="n">
        <x:v>0</x:v>
      </x:c>
      <x:c r="I80" s="135" t="n">
        <x:v>0.999999</x:v>
      </x:c>
      <x:c r="J80" s="133" t="str">
        <x:v>none</x:v>
      </x:c>
      <x:c r="K80" s="136" t="b">
        <x:v>1</x:v>
      </x:c>
      <x:c r="L80" s="137" t="str">
        <x:v>assumed</x:v>
      </x:c>
      <x:c r="M80" s="137" t="str">
        <x:v>E</x:v>
      </x:c>
      <x:c r="N80" s="133"/>
      <x:c r="O80" s="133" t="str">
        <x:v>Structural placeholder; replace with measured, experimental, literature, or vendor data before interpretation.</x:v>
      </x:c>
      <x:c r="P80" s="133"/>
      <x:c r="Q80" s="133" t="str">
        <x:v>assumed</x:v>
      </x:c>
      <x:c r="R80" s="133" t="n">
        <x:v>100</x:v>
      </x:c>
      <x:c r="S80" s="138" t="b">
        <x:v>1</x:v>
      </x:c>
      <x:c r="T80" s="139" t="n">
        <x:v>5</x:v>
      </x:c>
      <x:c r="U80" s="139" t="str">
        <x:v>LIM-P5-009</x:v>
      </x:c>
    </x:row>
    <x:row r="81" ht="32" customHeight="1">
      <x:c r="A81" s="133" t="str">
        <x:v>gas_partition</x:v>
      </x:c>
      <x:c r="B81" s="133" t="str">
        <x:v>Raw-biogas temperature</x:v>
      </x:c>
      <x:c r="C81" s="133" t="str">
        <x:v>raw_biogas_temperature_c</x:v>
      </x:c>
      <x:c r="D81" s="134" t="n">
        <x:v>35</x:v>
      </x:c>
      <x:c r="E81" s="133" t="str">
        <x:v>degC</x:v>
      </x:c>
      <x:c r="F81" s="133" t="str">
        <x:v>All</x:v>
      </x:c>
      <x:c r="G81" s="133" t="str">
        <x:v>All</x:v>
      </x:c>
      <x:c r="H81" s="135" t="n">
        <x:v>0</x:v>
      </x:c>
      <x:c r="I81" s="135" t="n">
        <x:v>100</x:v>
      </x:c>
      <x:c r="J81" s="133" t="str">
        <x:v>none</x:v>
      </x:c>
      <x:c r="K81" s="136" t="b">
        <x:v>1</x:v>
      </x:c>
      <x:c r="L81" s="137" t="str">
        <x:v>assumed</x:v>
      </x:c>
      <x:c r="M81" s="137" t="str">
        <x:v>E</x:v>
      </x:c>
      <x:c r="N81" s="133"/>
      <x:c r="O81" s="133" t="str">
        <x:v>Structural placeholder; replace with measured, experimental, literature, or vendor data before interpretation.</x:v>
      </x:c>
      <x:c r="P81" s="133"/>
      <x:c r="Q81" s="133" t="str">
        <x:v>assumed</x:v>
      </x:c>
      <x:c r="R81" s="133" t="n">
        <x:v>100</x:v>
      </x:c>
      <x:c r="S81" s="138" t="b">
        <x:v>1</x:v>
      </x:c>
      <x:c r="T81" s="139" t="n">
        <x:v>5</x:v>
      </x:c>
      <x:c r="U81" s="139" t="str">
        <x:v>LIM-P5-009</x:v>
      </x:c>
    </x:row>
    <x:row r="82" ht="32" customHeight="1">
      <x:c r="A82" s="133" t="str">
        <x:v>gas_partition</x:v>
      </x:c>
      <x:c r="B82" s="133" t="str">
        <x:v>Raw-biogas pressure</x:v>
      </x:c>
      <x:c r="C82" s="133" t="str">
        <x:v>raw_biogas_pressure_pa</x:v>
      </x:c>
      <x:c r="D82" s="134" t="n">
        <x:v>101325</x:v>
      </x:c>
      <x:c r="E82" s="133" t="str">
        <x:v>Pa</x:v>
      </x:c>
      <x:c r="F82" s="133" t="str">
        <x:v>All</x:v>
      </x:c>
      <x:c r="G82" s="133" t="str">
        <x:v>All</x:v>
      </x:c>
      <x:c r="H82" s="135" t="n">
        <x:v>1</x:v>
      </x:c>
      <x:c r="I82" s="135" t="n">
        <x:v>10000000</x:v>
      </x:c>
      <x:c r="J82" s="133" t="str">
        <x:v>none</x:v>
      </x:c>
      <x:c r="K82" s="136" t="b">
        <x:v>1</x:v>
      </x:c>
      <x:c r="L82" s="137" t="str">
        <x:v>assumed</x:v>
      </x:c>
      <x:c r="M82" s="137" t="str">
        <x:v>E</x:v>
      </x:c>
      <x:c r="N82" s="133"/>
      <x:c r="O82" s="133" t="str">
        <x:v>Structural placeholder; replace with measured, experimental, literature, or vendor data before interpretation.</x:v>
      </x:c>
      <x:c r="P82" s="133"/>
      <x:c r="Q82" s="133" t="str">
        <x:v>assumed</x:v>
      </x:c>
      <x:c r="R82" s="133" t="n">
        <x:v>100</x:v>
      </x:c>
      <x:c r="S82" s="138" t="b">
        <x:v>1</x:v>
      </x:c>
      <x:c r="T82" s="139" t="n">
        <x:v>5</x:v>
      </x:c>
      <x:c r="U82" s="139" t="str">
        <x:v>LIM-P5-007</x:v>
      </x:c>
    </x:row>
    <x:row r="83" ht="32" customHeight="1">
      <x:c r="A83" s="133" t="str">
        <x:v>feed</x:v>
      </x:c>
      <x:c r="B83" s="133" t="str">
        <x:v>AD2 direct-feed pH</x:v>
      </x:c>
      <x:c r="C83" s="133" t="str">
        <x:v>digester_feed_pH</x:v>
      </x:c>
      <x:c r="D83" s="134" t="n">
        <x:v>6.5</x:v>
      </x:c>
      <x:c r="E83" s="133" t="str">
        <x:v>pH</x:v>
      </x:c>
      <x:c r="F83" s="133" t="str">
        <x:v>AD2</x:v>
      </x:c>
      <x:c r="G83" s="133" t="str">
        <x:v>All</x:v>
      </x:c>
      <x:c r="H83" s="135" t="n">
        <x:v>0</x:v>
      </x:c>
      <x:c r="I83" s="135" t="n">
        <x:v>14</x:v>
      </x:c>
      <x:c r="J83" s="133" t="str">
        <x:v>none</x:v>
      </x:c>
      <x:c r="K83" s="136" t="b">
        <x:v>1</x:v>
      </x:c>
      <x:c r="L83" s="137" t="str">
        <x:v>assumed</x:v>
      </x:c>
      <x:c r="M83" s="137" t="str">
        <x:v>E</x:v>
      </x:c>
      <x:c r="N83" s="133"/>
      <x:c r="O83" s="133" t="str">
        <x:v>Structural placeholder; replace with measured, experimental, literature, or vendor data before interpretation.</x:v>
      </x:c>
      <x:c r="P83" s="133" t="str">
        <x:v>metadata</x:v>
      </x:c>
      <x:c r="Q83" s="133" t="str">
        <x:v>assumed</x:v>
      </x:c>
      <x:c r="R83" s="133" t="n">
        <x:v>10</x:v>
      </x:c>
      <x:c r="S83" s="138" t="b">
        <x:v>1</x:v>
      </x:c>
      <x:c r="T83" s="139" t="n">
        <x:v>5</x:v>
      </x:c>
      <x:c r="U83" s="139" t="str">
        <x:v>LIM-P2-002</x:v>
      </x:c>
    </x:row>
    <x:row r="84" ht="32" customHeight="1">
      <x:c r="A84" s="133" t="str">
        <x:v>reactor</x:v>
      </x:c>
      <x:c r="B84" s="133" t="str">
        <x:v>AD3 thermophilic temperature</x:v>
      </x:c>
      <x:c r="C84" s="133" t="str">
        <x:v>digester_temperature_c</x:v>
      </x:c>
      <x:c r="D84" s="134" t="n">
        <x:v>55</x:v>
      </x:c>
      <x:c r="E84" s="133" t="str">
        <x:v>degC</x:v>
      </x:c>
      <x:c r="F84" s="133" t="str">
        <x:v>AD3</x:v>
      </x:c>
      <x:c r="G84" s="133" t="str">
        <x:v>All</x:v>
      </x:c>
      <x:c r="H84" s="135" t="n">
        <x:v>0</x:v>
      </x:c>
      <x:c r="I84" s="135" t="n">
        <x:v>80</x:v>
      </x:c>
      <x:c r="J84" s="133" t="str">
        <x:v>none</x:v>
      </x:c>
      <x:c r="K84" s="136" t="b">
        <x:v>1</x:v>
      </x:c>
      <x:c r="L84" s="137" t="str">
        <x:v>assumed</x:v>
      </x:c>
      <x:c r="M84" s="137" t="str">
        <x:v>E</x:v>
      </x:c>
      <x:c r="N84" s="133"/>
      <x:c r="O84" s="133" t="str">
        <x:v>Structural placeholder; replace with measured, experimental, literature, or vendor data before interpretation.</x:v>
      </x:c>
      <x:c r="P84" s="133"/>
      <x:c r="Q84" s="133" t="str">
        <x:v>assumed</x:v>
      </x:c>
      <x:c r="R84" s="133" t="n">
        <x:v>10</x:v>
      </x:c>
      <x:c r="S84" s="138" t="b">
        <x:v>1</x:v>
      </x:c>
      <x:c r="T84" s="139" t="n">
        <x:v>5</x:v>
      </x:c>
      <x:c r="U84" s="139" t="str">
        <x:v>LIM-P5-003</x:v>
      </x:c>
    </x:row>
    <x:row r="85" ht="32" customHeight="1">
      <x:c r="A85" s="133" t="str">
        <x:v>reactor</x:v>
      </x:c>
      <x:c r="B85" s="133" t="str">
        <x:v>AD3 thermophilic HRT</x:v>
      </x:c>
      <x:c r="C85" s="133" t="str">
        <x:v>digester_hrt_days</x:v>
      </x:c>
      <x:c r="D85" s="134" t="n">
        <x:v>20</x:v>
      </x:c>
      <x:c r="E85" s="133" t="str">
        <x:v>d</x:v>
      </x:c>
      <x:c r="F85" s="133" t="str">
        <x:v>AD3</x:v>
      </x:c>
      <x:c r="G85" s="133" t="str">
        <x:v>All</x:v>
      </x:c>
      <x:c r="H85" s="135" t="n">
        <x:v>0.000001</x:v>
      </x:c>
      <x:c r="I85" s="135" t="n">
        <x:v>365</x:v>
      </x:c>
      <x:c r="J85" s="133" t="str">
        <x:v>none</x:v>
      </x:c>
      <x:c r="K85" s="136" t="b">
        <x:v>1</x:v>
      </x:c>
      <x:c r="L85" s="137" t="str">
        <x:v>assumed</x:v>
      </x:c>
      <x:c r="M85" s="137" t="str">
        <x:v>E</x:v>
      </x:c>
      <x:c r="N85" s="133"/>
      <x:c r="O85" s="133" t="str">
        <x:v>Structural placeholder; replace with measured, experimental, literature, or vendor data before interpretation.</x:v>
      </x:c>
      <x:c r="P85" s="133"/>
      <x:c r="Q85" s="133" t="str">
        <x:v>assumed</x:v>
      </x:c>
      <x:c r="R85" s="133" t="n">
        <x:v>10</x:v>
      </x:c>
      <x:c r="S85" s="138" t="b">
        <x:v>1</x:v>
      </x:c>
      <x:c r="T85" s="139" t="n">
        <x:v>5</x:v>
      </x:c>
      <x:c r="U85" s="139" t="str">
        <x:v>LIM-P5-002</x:v>
      </x:c>
    </x:row>
    <x:row r="86" ht="32" customHeight="1">
      <x:c r="A86" s="133" t="str">
        <x:v>reactor</x:v>
      </x:c>
      <x:c r="B86" s="133" t="str">
        <x:v>AD3 thermophilic SRT</x:v>
      </x:c>
      <x:c r="C86" s="133" t="str">
        <x:v>digester_srt_days</x:v>
      </x:c>
      <x:c r="D86" s="134" t="n">
        <x:v>20</x:v>
      </x:c>
      <x:c r="E86" s="133" t="str">
        <x:v>d</x:v>
      </x:c>
      <x:c r="F86" s="133" t="str">
        <x:v>AD3</x:v>
      </x:c>
      <x:c r="G86" s="133" t="str">
        <x:v>All</x:v>
      </x:c>
      <x:c r="H86" s="135" t="n">
        <x:v>0.000001</x:v>
      </x:c>
      <x:c r="I86" s="135" t="n">
        <x:v>365</x:v>
      </x:c>
      <x:c r="J86" s="133" t="str">
        <x:v>none</x:v>
      </x:c>
      <x:c r="K86" s="136" t="b">
        <x:v>1</x:v>
      </x:c>
      <x:c r="L86" s="137" t="str">
        <x:v>assumed</x:v>
      </x:c>
      <x:c r="M86" s="137" t="str">
        <x:v>E</x:v>
      </x:c>
      <x:c r="N86" s="133"/>
      <x:c r="O86" s="133" t="str">
        <x:v>Structural placeholder; replace with measured, experimental, literature, or vendor data before interpretation.</x:v>
      </x:c>
      <x:c r="P86" s="133"/>
      <x:c r="Q86" s="133" t="str">
        <x:v>assumed</x:v>
      </x:c>
      <x:c r="R86" s="133" t="n">
        <x:v>10</x:v>
      </x:c>
      <x:c r="S86" s="138" t="b">
        <x:v>1</x:v>
      </x:c>
      <x:c r="T86" s="139" t="n">
        <x:v>5</x:v>
      </x:c>
      <x:c r="U86" s="139" t="str">
        <x:v>LIM-P5-012</x:v>
      </x:c>
    </x:row>
    <x:row r="87" ht="32" customHeight="1">
      <x:c r="A87" s="133" t="str">
        <x:v>gas_partition</x:v>
      </x:c>
      <x:c r="B87" s="133" t="str">
        <x:v>AD3 raw-biogas temperature</x:v>
      </x:c>
      <x:c r="C87" s="133" t="str">
        <x:v>raw_biogas_temperature_c</x:v>
      </x:c>
      <x:c r="D87" s="134" t="n">
        <x:v>55</x:v>
      </x:c>
      <x:c r="E87" s="133" t="str">
        <x:v>degC</x:v>
      </x:c>
      <x:c r="F87" s="133" t="str">
        <x:v>AD3</x:v>
      </x:c>
      <x:c r="G87" s="133" t="str">
        <x:v>All</x:v>
      </x:c>
      <x:c r="H87" s="135" t="n">
        <x:v>0</x:v>
      </x:c>
      <x:c r="I87" s="135" t="n">
        <x:v>100</x:v>
      </x:c>
      <x:c r="J87" s="133" t="str">
        <x:v>none</x:v>
      </x:c>
      <x:c r="K87" s="136" t="b">
        <x:v>1</x:v>
      </x:c>
      <x:c r="L87" s="137" t="str">
        <x:v>assumed</x:v>
      </x:c>
      <x:c r="M87" s="137" t="str">
        <x:v>E</x:v>
      </x:c>
      <x:c r="N87" s="133"/>
      <x:c r="O87" s="133" t="str">
        <x:v>Structural placeholder; replace with measured, experimental, literature, or vendor data before interpretation.</x:v>
      </x:c>
      <x:c r="P87" s="133"/>
      <x:c r="Q87" s="133" t="str">
        <x:v>assumed</x:v>
      </x:c>
      <x:c r="R87" s="133" t="n">
        <x:v>10</x:v>
      </x:c>
      <x:c r="S87" s="138" t="b">
        <x:v>1</x:v>
      </x:c>
      <x:c r="T87" s="139" t="n">
        <x:v>5</x:v>
      </x:c>
      <x:c r="U87" s="139" t="str">
        <x:v>LIM-P5-009</x:v>
      </x:c>
    </x:row>
  </x:sheetData>
  <x:dataValidations count="3">
    <x:dataValidation type="list" sqref="K2:K87">
      <x:formula1>"true,false"</x:formula1>
    </x:dataValidation>
    <x:dataValidation type="list" sqref="M2:M87">
      <x:formula1>"A,B,C,D,E"</x:formula1>
    </x:dataValidation>
    <x:dataValidation type="list" sqref="S2:S87">
      <x:formula1>"true,false"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1" hidden="0" customWidth="1"/>
    <x:col min="3" max="3" width="39" hidden="0" customWidth="1"/>
    <x:col min="4" max="4" width="17" hidden="0" customWidth="1"/>
    <x:col min="5" max="5" width="19" hidden="0" customWidth="1"/>
    <x:col min="6" max="6" width="12" hidden="0" customWidth="1"/>
    <x:col min="7" max="7" width="12" hidden="0" customWidth="1"/>
    <x:col min="8" max="8" width="13" hidden="0" customWidth="1"/>
    <x:col min="9" max="9" width="13" hidden="0" customWidth="1"/>
    <x:col min="10" max="10" width="13" hidden="0" customWidth="1"/>
    <x:col min="11" max="11" width="16" hidden="0" customWidth="1"/>
    <x:col min="12" max="12" width="16" hidden="0" customWidth="1"/>
    <x:col min="13" max="13" width="16" hidden="0" customWidth="1"/>
    <x:col min="14" max="14" width="22" hidden="0" customWidth="1"/>
    <x:col min="15" max="15" width="55" hidden="0" customWidth="1"/>
    <x:col min="16" max="16" width="26" hidden="0" customWidth="1"/>
    <x:col min="17" max="17" width="19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</x:cols>
  <x:sheetData>
    <x:row r="1" ht="30" customHeight="1">
      <x:c r="A1" s="189" t="str">
        <x:v>category</x:v>
      </x:c>
      <x:c r="B1" s="189" t="str">
        <x:v>name</x:v>
      </x:c>
      <x:c r="C1" s="189" t="str">
        <x:v>python_name</x:v>
      </x:c>
      <x:c r="D1" s="189" t="str">
        <x:v>value</x:v>
      </x:c>
      <x:c r="E1" s="189" t="str">
        <x:v>unit</x:v>
      </x:c>
      <x:c r="F1" s="189" t="str">
        <x:v>scenario</x:v>
      </x:c>
      <x:c r="G1" s="189" t="str">
        <x:v>month</x:v>
      </x:c>
      <x:c r="H1" s="189" t="str">
        <x:v>minimum</x:v>
      </x:c>
      <x:c r="I1" s="189" t="str">
        <x:v>maximum</x:v>
      </x:c>
      <x:c r="J1" s="189" t="str">
        <x:v>distribution</x:v>
      </x:c>
      <x:c r="K1" s="189" t="str">
        <x:v>required</x:v>
      </x:c>
      <x:c r="L1" s="189" t="str">
        <x:v>measurement_status</x:v>
      </x:c>
      <x:c r="M1" s="189" t="str">
        <x:v>source_class</x:v>
      </x:c>
      <x:c r="N1" s="189" t="str">
        <x:v>reference</x:v>
      </x:c>
      <x:c r="O1" s="189" t="str">
        <x:v>comment</x:v>
      </x:c>
      <x:c r="P1" s="189" t="str">
        <x:v>calculation_method</x:v>
      </x:c>
      <x:c r="Q1" s="189" t="str">
        <x:v>measured_or_assumed</x:v>
      </x:c>
      <x:c r="R1" s="189" t="str">
        <x:v>priority</x:v>
      </x:c>
      <x:c r="S1" s="189" t="str">
        <x:v>active</x:v>
      </x:c>
      <x:c r="T1" s="189" t="str">
        <x:v>phase_introduced</x:v>
      </x:c>
      <x:c r="U1" s="189" t="str">
        <x:v>limitation_id</x:v>
      </x:c>
    </x:row>
    <x:row r="2">
      <x:c r="A2" s="197" t="str">
        <x:v>pretreatment</x:v>
      </x:c>
      <x:c r="B2" s="197" t="str">
        <x:v>Pretreatment enabled</x:v>
      </x:c>
      <x:c r="C2" s="197" t="str">
        <x:v>pretreatment_enabled</x:v>
      </x:c>
      <x:c r="D2" s="204" t="b">
        <x:v>1</x:v>
      </x:c>
      <x:c r="E2" s="199" t="str">
        <x:v>boolean</x:v>
      </x:c>
      <x:c r="F2" s="199" t="str">
        <x:v>All</x:v>
      </x:c>
      <x:c r="G2" s="199" t="str">
        <x:v>All</x:v>
      </x:c>
      <x:c r="H2" s="206"/>
      <x:c r="I2" s="206"/>
      <x:c r="J2" s="199" t="str">
        <x:v>none</x:v>
      </x:c>
      <x:c r="K2" s="200" t="b">
        <x:v>1</x:v>
      </x:c>
      <x:c r="L2" s="201" t="str">
        <x:v>assumed</x:v>
      </x:c>
      <x:c r="M2" s="201" t="str">
        <x:v>E</x:v>
      </x:c>
      <x:c r="N2" s="199"/>
      <x:c r="O2" s="199" t="str">
        <x:v>Class-E structural placeholder; replace with measured, experimental, literature, or vendor data before scientific, design, economic, or configuration-selection interpretation.</x:v>
      </x:c>
      <x:c r="P2" s="199"/>
      <x:c r="Q2" s="199" t="str">
        <x:v>assumed</x:v>
      </x:c>
      <x:c r="R2" s="199" t="n">
        <x:v>100</x:v>
      </x:c>
      <x:c r="S2" s="202" t="b">
        <x:v>1</x:v>
      </x:c>
      <x:c r="T2" s="199" t="n">
        <x:v>6</x:v>
      </x:c>
      <x:c r="U2" s="199" t="str">
        <x:v>LIM-P6-015</x:v>
      </x:c>
    </x:row>
    <x:row r="3">
      <x:c r="A3" s="197" t="str">
        <x:v>pretreatment</x:v>
      </x:c>
      <x:c r="B3" s="197" t="str">
        <x:v>Pretreatment disabled for BG0</x:v>
      </x:c>
      <x:c r="C3" s="197" t="str">
        <x:v>pretreatment_enabled</x:v>
      </x:c>
      <x:c r="D3" s="204" t="b">
        <x:v>0</x:v>
      </x:c>
      <x:c r="E3" s="199" t="str">
        <x:v>boolean</x:v>
      </x:c>
      <x:c r="F3" s="199" t="str">
        <x:v>BG0</x:v>
      </x:c>
      <x:c r="G3" s="199" t="str">
        <x:v>All</x:v>
      </x:c>
      <x:c r="H3" s="206"/>
      <x:c r="I3" s="206"/>
      <x:c r="J3" s="199" t="str">
        <x:v>none</x:v>
      </x:c>
      <x:c r="K3" s="200" t="b">
        <x:v>1</x:v>
      </x:c>
      <x:c r="L3" s="201" t="str">
        <x:v>assumed</x:v>
      </x:c>
      <x:c r="M3" s="201" t="str">
        <x:v>E</x:v>
      </x:c>
      <x:c r="N3" s="199"/>
      <x:c r="O3" s="199" t="str">
        <x:v>BG0 exports raw biogas as produced; conditioning units remain explicit bypasses.</x:v>
      </x:c>
      <x:c r="P3" s="199"/>
      <x:c r="Q3" s="199" t="str">
        <x:v>assumed</x:v>
      </x:c>
      <x:c r="R3" s="199" t="n">
        <x:v>10</x:v>
      </x:c>
      <x:c r="S3" s="202" t="b">
        <x:v>1</x:v>
      </x:c>
      <x:c r="T3" s="199" t="n">
        <x:v>6</x:v>
      </x:c>
      <x:c r="U3" s="199" t="str">
        <x:v>LIM-P6-015</x:v>
      </x:c>
    </x:row>
    <x:row r="4">
      <x:c r="A4" s="197" t="str">
        <x:v>cooling</x:v>
      </x:c>
      <x:c r="B4" s="197" t="str">
        <x:v>G601 enabled</x:v>
      </x:c>
      <x:c r="C4" s="197" t="str">
        <x:v>gas_cooler_enabled</x:v>
      </x:c>
      <x:c r="D4" s="204" t="b">
        <x:v>1</x:v>
      </x:c>
      <x:c r="E4" s="199" t="str">
        <x:v>boolean</x:v>
      </x:c>
      <x:c r="F4" s="199" t="str">
        <x:v>All</x:v>
      </x:c>
      <x:c r="G4" s="199" t="str">
        <x:v>All</x:v>
      </x:c>
      <x:c r="H4" s="206"/>
      <x:c r="I4" s="206"/>
      <x:c r="J4" s="199" t="str">
        <x:v>none</x:v>
      </x:c>
      <x:c r="K4" s="200" t="b">
        <x:v>1</x:v>
      </x:c>
      <x:c r="L4" s="201" t="str">
        <x:v>assumed</x:v>
      </x:c>
      <x:c r="M4" s="201" t="str">
        <x:v>E</x:v>
      </x:c>
      <x:c r="N4" s="199"/>
      <x:c r="O4" s="199" t="str">
        <x:v>Class-E structural placeholder; replace with measured, experimental, literature, or vendor data before scientific, design, economic, or configuration-selection interpretation.</x:v>
      </x:c>
      <x:c r="P4" s="199"/>
      <x:c r="Q4" s="199" t="str">
        <x:v>assumed</x:v>
      </x:c>
      <x:c r="R4" s="199" t="n">
        <x:v>100</x:v>
      </x:c>
      <x:c r="S4" s="202" t="b">
        <x:v>1</x:v>
      </x:c>
      <x:c r="T4" s="199" t="n">
        <x:v>6</x:v>
      </x:c>
      <x:c r="U4" s="199" t="str">
        <x:v>LIM-P6-001</x:v>
      </x:c>
    </x:row>
    <x:row r="5">
      <x:c r="A5" s="197" t="str">
        <x:v>cooling</x:v>
      </x:c>
      <x:c r="B5" s="197" t="str">
        <x:v>G601 outlet temperature</x:v>
      </x:c>
      <x:c r="C5" s="197" t="str">
        <x:v>gas_cooler_outlet_temperature_c</x:v>
      </x:c>
      <x:c r="D5" s="205" t="n">
        <x:v>15</x:v>
      </x:c>
      <x:c r="E5" s="199" t="str">
        <x:v>degC</x:v>
      </x:c>
      <x:c r="F5" s="199" t="str">
        <x:v>All</x:v>
      </x:c>
      <x:c r="G5" s="199" t="str">
        <x:v>All</x:v>
      </x:c>
      <x:c r="H5" s="206" t="n">
        <x:v>-45</x:v>
      </x:c>
      <x:c r="I5" s="206" t="n">
        <x:v>80</x:v>
      </x:c>
      <x:c r="J5" s="199" t="str">
        <x:v>none</x:v>
      </x:c>
      <x:c r="K5" s="200" t="b">
        <x:v>1</x:v>
      </x:c>
      <x:c r="L5" s="201" t="str">
        <x:v>assumed</x:v>
      </x:c>
      <x:c r="M5" s="201" t="str">
        <x:v>E</x:v>
      </x:c>
      <x:c r="N5" s="199"/>
      <x:c r="O5" s="199" t="str">
        <x:v>Class-E structural placeholder; replace with measured, experimental, literature, or vendor data before scientific, design, economic, or configuration-selection interpretation.</x:v>
      </x:c>
      <x:c r="P5" s="199"/>
      <x:c r="Q5" s="199" t="str">
        <x:v>assumed</x:v>
      </x:c>
      <x:c r="R5" s="199" t="n">
        <x:v>100</x:v>
      </x:c>
      <x:c r="S5" s="202" t="b">
        <x:v>1</x:v>
      </x:c>
      <x:c r="T5" s="199" t="n">
        <x:v>6</x:v>
      </x:c>
      <x:c r="U5" s="199" t="str">
        <x:v>LIM-P6-001</x:v>
      </x:c>
    </x:row>
    <x:row r="6">
      <x:c r="A6" s="197" t="str">
        <x:v>cooling</x:v>
      </x:c>
      <x:c r="B6" s="197" t="str">
        <x:v>G601 pressure drop</x:v>
      </x:c>
      <x:c r="C6" s="197" t="str">
        <x:v>gas_cooler_pressure_drop_pa</x:v>
      </x:c>
      <x:c r="D6" s="205" t="n">
        <x:v>1500</x:v>
      </x:c>
      <x:c r="E6" s="199" t="str">
        <x:v>Pa</x:v>
      </x:c>
      <x:c r="F6" s="199" t="str">
        <x:v>All</x:v>
      </x:c>
      <x:c r="G6" s="199" t="str">
        <x:v>All</x:v>
      </x:c>
      <x:c r="H6" s="206" t="n">
        <x:v>0</x:v>
      </x:c>
      <x:c r="I6" s="206" t="n">
        <x:v>100000</x:v>
      </x:c>
      <x:c r="J6" s="199" t="str">
        <x:v>none</x:v>
      </x:c>
      <x:c r="K6" s="200" t="b">
        <x:v>1</x:v>
      </x:c>
      <x:c r="L6" s="201" t="str">
        <x:v>assumed</x:v>
      </x:c>
      <x:c r="M6" s="201" t="str">
        <x:v>E</x:v>
      </x:c>
      <x:c r="N6" s="199"/>
      <x:c r="O6" s="199" t="str">
        <x:v>Class-E structural placeholder; replace with measured, experimental, literature, or vendor data before scientific, design, economic, or configuration-selection interpretation.</x:v>
      </x:c>
      <x:c r="P6" s="199"/>
      <x:c r="Q6" s="199" t="str">
        <x:v>assumed</x:v>
      </x:c>
      <x:c r="R6" s="199" t="n">
        <x:v>100</x:v>
      </x:c>
      <x:c r="S6" s="202" t="b">
        <x:v>1</x:v>
      </x:c>
      <x:c r="T6" s="199" t="n">
        <x:v>6</x:v>
      </x:c>
      <x:c r="U6" s="199" t="str">
        <x:v>LIM-P6-001</x:v>
      </x:c>
    </x:row>
    <x:row r="7">
      <x:c r="A7" s="197" t="str">
        <x:v>cooling</x:v>
      </x:c>
      <x:c r="B7" s="197" t="str">
        <x:v>Biogas heat capacity</x:v>
      </x:c>
      <x:c r="C7" s="197" t="str">
        <x:v>biogas_heat_capacity_kj_kg_k</x:v>
      </x:c>
      <x:c r="D7" s="205" t="n">
        <x:v>2.2</x:v>
      </x:c>
      <x:c r="E7" s="199" t="str">
        <x:v>kJ/kg/K</x:v>
      </x:c>
      <x:c r="F7" s="199" t="str">
        <x:v>All</x:v>
      </x:c>
      <x:c r="G7" s="199" t="str">
        <x:v>All</x:v>
      </x:c>
      <x:c r="H7" s="206" t="n">
        <x:v>0.1</x:v>
      </x:c>
      <x:c r="I7" s="206" t="n">
        <x:v>10</x:v>
      </x:c>
      <x:c r="J7" s="199" t="str">
        <x:v>none</x:v>
      </x:c>
      <x:c r="K7" s="200" t="b">
        <x:v>1</x:v>
      </x:c>
      <x:c r="L7" s="201" t="str">
        <x:v>assumed</x:v>
      </x:c>
      <x:c r="M7" s="201" t="str">
        <x:v>E</x:v>
      </x:c>
      <x:c r="N7" s="199"/>
      <x:c r="O7" s="199" t="str">
        <x:v>Class-E structural placeholder; replace with measured, experimental, literature, or vendor data before scientific, design, economic, or configuration-selection interpretation.</x:v>
      </x:c>
      <x:c r="P7" s="199"/>
      <x:c r="Q7" s="199" t="str">
        <x:v>assumed</x:v>
      </x:c>
      <x:c r="R7" s="199" t="n">
        <x:v>100</x:v>
      </x:c>
      <x:c r="S7" s="202" t="b">
        <x:v>1</x:v>
      </x:c>
      <x:c r="T7" s="199" t="n">
        <x:v>6</x:v>
      </x:c>
      <x:c r="U7" s="199" t="str">
        <x:v>LIM-P6-001</x:v>
      </x:c>
    </x:row>
    <x:row r="8">
      <x:c r="A8" s="197" t="str">
        <x:v>cooling</x:v>
      </x:c>
      <x:c r="B8" s="197" t="str">
        <x:v>Water latent heat</x:v>
      </x:c>
      <x:c r="C8" s="197" t="str">
        <x:v>water_latent_heat_kj_kg</x:v>
      </x:c>
      <x:c r="D8" s="205" t="n">
        <x:v>2454</x:v>
      </x:c>
      <x:c r="E8" s="199" t="str">
        <x:v>kJ/kg</x:v>
      </x:c>
      <x:c r="F8" s="199" t="str">
        <x:v>All</x:v>
      </x:c>
      <x:c r="G8" s="199" t="str">
        <x:v>All</x:v>
      </x:c>
      <x:c r="H8" s="206" t="n">
        <x:v>1000</x:v>
      </x:c>
      <x:c r="I8" s="206" t="n">
        <x:v>3000</x:v>
      </x:c>
      <x:c r="J8" s="199" t="str">
        <x:v>none</x:v>
      </x:c>
      <x:c r="K8" s="200" t="b">
        <x:v>1</x:v>
      </x:c>
      <x:c r="L8" s="201" t="str">
        <x:v>assumed</x:v>
      </x:c>
      <x:c r="M8" s="201" t="str">
        <x:v>E</x:v>
      </x:c>
      <x:c r="N8" s="199"/>
      <x:c r="O8" s="199" t="str">
        <x:v>Class-E structural placeholder; replace with measured, experimental, literature, or vendor data before scientific, design, economic, or configuration-selection interpretation.</x:v>
      </x:c>
      <x:c r="P8" s="199"/>
      <x:c r="Q8" s="199" t="str">
        <x:v>assumed</x:v>
      </x:c>
      <x:c r="R8" s="199" t="n">
        <x:v>100</x:v>
      </x:c>
      <x:c r="S8" s="202" t="b">
        <x:v>1</x:v>
      </x:c>
      <x:c r="T8" s="199" t="n">
        <x:v>6</x:v>
      </x:c>
      <x:c r="U8" s="199" t="str">
        <x:v>LIM-P6-001</x:v>
      </x:c>
    </x:row>
    <x:row r="9">
      <x:c r="A9" s="197" t="str">
        <x:v>cooling</x:v>
      </x:c>
      <x:c r="B9" s="197" t="str">
        <x:v>G601 fan electricity factor</x:v>
      </x:c>
      <x:c r="C9" s="197" t="str">
        <x:v>gas_cooler_fan_power_kw_per_nm3_hr</x:v>
      </x:c>
      <x:c r="D9" s="205" t="n">
        <x:v>0.001</x:v>
      </x:c>
      <x:c r="E9" s="199" t="str">
        <x:v>kW per Nm3/h</x:v>
      </x:c>
      <x:c r="F9" s="199" t="str">
        <x:v>All</x:v>
      </x:c>
      <x:c r="G9" s="199" t="str">
        <x:v>All</x:v>
      </x:c>
      <x:c r="H9" s="206" t="n">
        <x:v>0</x:v>
      </x:c>
      <x:c r="I9" s="206" t="n">
        <x:v>1</x:v>
      </x:c>
      <x:c r="J9" s="199" t="str">
        <x:v>none</x:v>
      </x:c>
      <x:c r="K9" s="200" t="b">
        <x:v>1</x:v>
      </x:c>
      <x:c r="L9" s="201" t="str">
        <x:v>assumed</x:v>
      </x:c>
      <x:c r="M9" s="201" t="str">
        <x:v>E</x:v>
      </x:c>
      <x:c r="N9" s="199"/>
      <x:c r="O9" s="199" t="str">
        <x:v>Class-E structural placeholder; replace with measured, experimental, literature, or vendor data before scientific, design, economic, or configuration-selection interpretation.</x:v>
      </x:c>
      <x:c r="P9" s="199"/>
      <x:c r="Q9" s="199" t="str">
        <x:v>assumed</x:v>
      </x:c>
      <x:c r="R9" s="199" t="n">
        <x:v>100</x:v>
      </x:c>
      <x:c r="S9" s="202" t="b">
        <x:v>1</x:v>
      </x:c>
      <x:c r="T9" s="199" t="n">
        <x:v>6</x:v>
      </x:c>
      <x:c r="U9" s="199" t="str">
        <x:v>LIM-P6-001</x:v>
      </x:c>
    </x:row>
    <x:row r="10">
      <x:c r="A10" s="197" t="str">
        <x:v>condensate</x:v>
      </x:c>
      <x:c r="B10" s="197" t="str">
        <x:v>S601 enabled</x:v>
      </x:c>
      <x:c r="C10" s="197" t="str">
        <x:v>condensate_separator_enabled</x:v>
      </x:c>
      <x:c r="D10" s="204" t="b">
        <x:v>1</x:v>
      </x:c>
      <x:c r="E10" s="199" t="str">
        <x:v>boolean</x:v>
      </x:c>
      <x:c r="F10" s="199" t="str">
        <x:v>All</x:v>
      </x:c>
      <x:c r="G10" s="199" t="str">
        <x:v>All</x:v>
      </x:c>
      <x:c r="H10" s="206"/>
      <x:c r="I10" s="206"/>
      <x:c r="J10" s="199" t="str">
        <x:v>none</x:v>
      </x:c>
      <x:c r="K10" s="200" t="b">
        <x:v>1</x:v>
      </x:c>
      <x:c r="L10" s="201" t="str">
        <x:v>assumed</x:v>
      </x:c>
      <x:c r="M10" s="201" t="str">
        <x:v>E</x:v>
      </x:c>
      <x:c r="N10" s="199"/>
      <x:c r="O10" s="199" t="str">
        <x:v>Class-E structural placeholder; replace with measured, experimental, literature, or vendor data before scientific, design, economic, or configuration-selection interpretation.</x:v>
      </x:c>
      <x:c r="P10" s="199"/>
      <x:c r="Q10" s="199" t="str">
        <x:v>assumed</x:v>
      </x:c>
      <x:c r="R10" s="199" t="n">
        <x:v>100</x:v>
      </x:c>
      <x:c r="S10" s="202" t="b">
        <x:v>1</x:v>
      </x:c>
      <x:c r="T10" s="199" t="n">
        <x:v>6</x:v>
      </x:c>
      <x:c r="U10" s="199" t="str">
        <x:v>LIM-P6-002</x:v>
      </x:c>
    </x:row>
    <x:row r="11">
      <x:c r="A11" s="197" t="str">
        <x:v>condensate</x:v>
      </x:c>
      <x:c r="B11" s="197" t="str">
        <x:v>S601 residence time</x:v>
      </x:c>
      <x:c r="C11" s="197" t="str">
        <x:v>condensate_separator_residence_time_min</x:v>
      </x:c>
      <x:c r="D11" s="205" t="n">
        <x:v>2</x:v>
      </x:c>
      <x:c r="E11" s="199" t="str">
        <x:v>min</x:v>
      </x:c>
      <x:c r="F11" s="199" t="str">
        <x:v>All</x:v>
      </x:c>
      <x:c r="G11" s="199" t="str">
        <x:v>All</x:v>
      </x:c>
      <x:c r="H11" s="206" t="n">
        <x:v>0</x:v>
      </x:c>
      <x:c r="I11" s="206" t="n">
        <x:v>60</x:v>
      </x:c>
      <x:c r="J11" s="199" t="str">
        <x:v>none</x:v>
      </x:c>
      <x:c r="K11" s="200" t="b">
        <x:v>1</x:v>
      </x:c>
      <x:c r="L11" s="201" t="str">
        <x:v>assumed</x:v>
      </x:c>
      <x:c r="M11" s="201" t="str">
        <x:v>E</x:v>
      </x:c>
      <x:c r="N11" s="199"/>
      <x:c r="O11" s="199" t="str">
        <x:v>Class-E structural placeholder; replace with measured, experimental, literature, or vendor data before scientific, design, economic, or configuration-selection interpretation.</x:v>
      </x:c>
      <x:c r="P11" s="199"/>
      <x:c r="Q11" s="199" t="str">
        <x:v>assumed</x:v>
      </x:c>
      <x:c r="R11" s="199" t="n">
        <x:v>100</x:v>
      </x:c>
      <x:c r="S11" s="202" t="b">
        <x:v>1</x:v>
      </x:c>
      <x:c r="T11" s="199" t="n">
        <x:v>6</x:v>
      </x:c>
      <x:c r="U11" s="199" t="str">
        <x:v>LIM-P6-002</x:v>
      </x:c>
    </x:row>
    <x:row r="12">
      <x:c r="A12" s="197" t="str">
        <x:v>condensate</x:v>
      </x:c>
      <x:c r="B12" s="197" t="str">
        <x:v>S601 liquid carryover</x:v>
      </x:c>
      <x:c r="C12" s="197" t="str">
        <x:v>condensate_liquid_carryover_fraction</x:v>
      </x:c>
      <x:c r="D12" s="205" t="n">
        <x:v>0.01</x:v>
      </x:c>
      <x:c r="E12" s="199" t="str">
        <x:v>fraction</x:v>
      </x:c>
      <x:c r="F12" s="199" t="str">
        <x:v>All</x:v>
      </x:c>
      <x:c r="G12" s="199" t="str">
        <x:v>All</x:v>
      </x:c>
      <x:c r="H12" s="206" t="n">
        <x:v>0</x:v>
      </x:c>
      <x:c r="I12" s="206" t="n">
        <x:v>1</x:v>
      </x:c>
      <x:c r="J12" s="199" t="str">
        <x:v>none</x:v>
      </x:c>
      <x:c r="K12" s="200" t="b">
        <x:v>1</x:v>
      </x:c>
      <x:c r="L12" s="201" t="str">
        <x:v>assumed</x:v>
      </x:c>
      <x:c r="M12" s="201" t="str">
        <x:v>E</x:v>
      </x:c>
      <x:c r="N12" s="199"/>
      <x:c r="O12" s="199" t="str">
        <x:v>Class-E structural placeholder; replace with measured, experimental, literature, or vendor data before scientific, design, economic, or configuration-selection interpretation.</x:v>
      </x:c>
      <x:c r="P12" s="199"/>
      <x:c r="Q12" s="199" t="str">
        <x:v>assumed</x:v>
      </x:c>
      <x:c r="R12" s="199" t="n">
        <x:v>100</x:v>
      </x:c>
      <x:c r="S12" s="202" t="b">
        <x:v>1</x:v>
      </x:c>
      <x:c r="T12" s="199" t="n">
        <x:v>6</x:v>
      </x:c>
      <x:c r="U12" s="199" t="str">
        <x:v>LIM-P6-002</x:v>
      </x:c>
    </x:row>
    <x:row r="13">
      <x:c r="A13" s="197" t="str">
        <x:v>condensate</x:v>
      </x:c>
      <x:c r="B13" s="197" t="str">
        <x:v>NH3 dissolved in condensate</x:v>
      </x:c>
      <x:c r="C13" s="197" t="str">
        <x:v>condensate_ammonia_dissolved_fraction</x:v>
      </x:c>
      <x:c r="D13" s="205" t="n">
        <x:v>0.15</x:v>
      </x:c>
      <x:c r="E13" s="199" t="str">
        <x:v>fraction</x:v>
      </x:c>
      <x:c r="F13" s="199" t="str">
        <x:v>All</x:v>
      </x:c>
      <x:c r="G13" s="199" t="str">
        <x:v>All</x:v>
      </x:c>
      <x:c r="H13" s="206" t="n">
        <x:v>0</x:v>
      </x:c>
      <x:c r="I13" s="206" t="n">
        <x:v>1</x:v>
      </x:c>
      <x:c r="J13" s="199" t="str">
        <x:v>none</x:v>
      </x:c>
      <x:c r="K13" s="200" t="b">
        <x:v>1</x:v>
      </x:c>
      <x:c r="L13" s="201" t="str">
        <x:v>assumed</x:v>
      </x:c>
      <x:c r="M13" s="201" t="str">
        <x:v>E</x:v>
      </x:c>
      <x:c r="N13" s="199"/>
      <x:c r="O13" s="199" t="str">
        <x:v>Class-E structural placeholder; replace with measured, experimental, literature, or vendor data before scientific, design, economic, or configuration-selection interpretation.</x:v>
      </x:c>
      <x:c r="P13" s="199"/>
      <x:c r="Q13" s="199" t="str">
        <x:v>assumed</x:v>
      </x:c>
      <x:c r="R13" s="199" t="n">
        <x:v>100</x:v>
      </x:c>
      <x:c r="S13" s="202" t="b">
        <x:v>1</x:v>
      </x:c>
      <x:c r="T13" s="199" t="n">
        <x:v>6</x:v>
      </x:c>
      <x:c r="U13" s="199" t="str">
        <x:v>LIM-P6-001</x:v>
      </x:c>
    </x:row>
    <x:row r="14">
      <x:c r="A14" s="197" t="str">
        <x:v>condensate</x:v>
      </x:c>
      <x:c r="B14" s="197" t="str">
        <x:v>H2S dissolved in condensate</x:v>
      </x:c>
      <x:c r="C14" s="197" t="str">
        <x:v>condensate_h2s_dissolved_fraction</x:v>
      </x:c>
      <x:c r="D14" s="205" t="n">
        <x:v>0.03</x:v>
      </x:c>
      <x:c r="E14" s="199" t="str">
        <x:v>fraction</x:v>
      </x:c>
      <x:c r="F14" s="199" t="str">
        <x:v>All</x:v>
      </x:c>
      <x:c r="G14" s="199" t="str">
        <x:v>All</x:v>
      </x:c>
      <x:c r="H14" s="206" t="n">
        <x:v>0</x:v>
      </x:c>
      <x:c r="I14" s="206" t="n">
        <x:v>1</x:v>
      </x:c>
      <x:c r="J14" s="199" t="str">
        <x:v>none</x:v>
      </x:c>
      <x:c r="K14" s="200" t="b">
        <x:v>1</x:v>
      </x:c>
      <x:c r="L14" s="201" t="str">
        <x:v>assumed</x:v>
      </x:c>
      <x:c r="M14" s="201" t="str">
        <x:v>E</x:v>
      </x:c>
      <x:c r="N14" s="199"/>
      <x:c r="O14" s="199" t="str">
        <x:v>Class-E structural placeholder; replace with measured, experimental, literature, or vendor data before scientific, design, economic, or configuration-selection interpretation.</x:v>
      </x:c>
      <x:c r="P14" s="199"/>
      <x:c r="Q14" s="199" t="str">
        <x:v>assumed</x:v>
      </x:c>
      <x:c r="R14" s="199" t="n">
        <x:v>100</x:v>
      </x:c>
      <x:c r="S14" s="202" t="b">
        <x:v>1</x:v>
      </x:c>
      <x:c r="T14" s="199" t="n">
        <x:v>6</x:v>
      </x:c>
      <x:c r="U14" s="199" t="str">
        <x:v>LIM-P6-001</x:v>
      </x:c>
    </x:row>
    <x:row r="15">
      <x:c r="A15" s="197" t="str">
        <x:v>condensate</x:v>
      </x:c>
      <x:c r="B15" s="197" t="str">
        <x:v>CO2 dissolved in condensate</x:v>
      </x:c>
      <x:c r="C15" s="197" t="str">
        <x:v>condensate_co2_dissolved_fraction</x:v>
      </x:c>
      <x:c r="D15" s="205" t="n">
        <x:v>0.002</x:v>
      </x:c>
      <x:c r="E15" s="199" t="str">
        <x:v>fraction</x:v>
      </x:c>
      <x:c r="F15" s="199" t="str">
        <x:v>All</x:v>
      </x:c>
      <x:c r="G15" s="199" t="str">
        <x:v>All</x:v>
      </x:c>
      <x:c r="H15" s="206" t="n">
        <x:v>0</x:v>
      </x:c>
      <x:c r="I15" s="206" t="n">
        <x:v>1</x:v>
      </x:c>
      <x:c r="J15" s="199" t="str">
        <x:v>none</x:v>
      </x:c>
      <x:c r="K15" s="200" t="b">
        <x:v>1</x:v>
      </x:c>
      <x:c r="L15" s="201" t="str">
        <x:v>assumed</x:v>
      </x:c>
      <x:c r="M15" s="201" t="str">
        <x:v>E</x:v>
      </x:c>
      <x:c r="N15" s="199"/>
      <x:c r="O15" s="199" t="str">
        <x:v>Class-E structural placeholder; replace with measured, experimental, literature, or vendor data before scientific, design, economic, or configuration-selection interpretation.</x:v>
      </x:c>
      <x:c r="P15" s="199"/>
      <x:c r="Q15" s="199" t="str">
        <x:v>assumed</x:v>
      </x:c>
      <x:c r="R15" s="199" t="n">
        <x:v>100</x:v>
      </x:c>
      <x:c r="S15" s="202" t="b">
        <x:v>1</x:v>
      </x:c>
      <x:c r="T15" s="199" t="n">
        <x:v>6</x:v>
      </x:c>
      <x:c r="U15" s="199" t="str">
        <x:v>LIM-P6-001</x:v>
      </x:c>
    </x:row>
    <x:row r="16">
      <x:c r="A16" s="197" t="str">
        <x:v>desulfurization</x:v>
      </x:c>
      <x:c r="B16" s="197" t="str">
        <x:v>R601 enabled</x:v>
      </x:c>
      <x:c r="C16" s="197" t="str">
        <x:v>h2s_removal_enabled</x:v>
      </x:c>
      <x:c r="D16" s="204" t="b">
        <x:v>1</x:v>
      </x:c>
      <x:c r="E16" s="199" t="str">
        <x:v>boolean</x:v>
      </x:c>
      <x:c r="F16" s="199" t="str">
        <x:v>All</x:v>
      </x:c>
      <x:c r="G16" s="199" t="str">
        <x:v>All</x:v>
      </x:c>
      <x:c r="H16" s="206"/>
      <x:c r="I16" s="206"/>
      <x:c r="J16" s="199" t="str">
        <x:v>none</x:v>
      </x:c>
      <x:c r="K16" s="200" t="b">
        <x:v>1</x:v>
      </x:c>
      <x:c r="L16" s="201" t="str">
        <x:v>assumed</x:v>
      </x:c>
      <x:c r="M16" s="201" t="str">
        <x:v>E</x:v>
      </x:c>
      <x:c r="N16" s="199"/>
      <x:c r="O16" s="199" t="str">
        <x:v>Class-E structural placeholder; replace with measured, experimental, literature, or vendor data before scientific, design, economic, or configuration-selection interpretation.</x:v>
      </x:c>
      <x:c r="P16" s="199"/>
      <x:c r="Q16" s="199" t="str">
        <x:v>assumed</x:v>
      </x:c>
      <x:c r="R16" s="199" t="n">
        <x:v>100</x:v>
      </x:c>
      <x:c r="S16" s="202" t="b">
        <x:v>1</x:v>
      </x:c>
      <x:c r="T16" s="199" t="n">
        <x:v>6</x:v>
      </x:c>
      <x:c r="U16" s="199" t="str">
        <x:v>LIM-P6-003</x:v>
      </x:c>
    </x:row>
    <x:row r="17">
      <x:c r="A17" s="197" t="str">
        <x:v>desulfurization</x:v>
      </x:c>
      <x:c r="B17" s="197" t="str">
        <x:v>R601 technology</x:v>
      </x:c>
      <x:c r="C17" s="197" t="str">
        <x:v>h2s_removal_technology</x:v>
      </x:c>
      <x:c r="D17" s="205" t="str">
        <x:v>activated_carbon</x:v>
      </x:c>
      <x:c r="E17" s="199" t="str">
        <x:v>technology ID</x:v>
      </x:c>
      <x:c r="F17" s="199" t="str">
        <x:v>All</x:v>
      </x:c>
      <x:c r="G17" s="199" t="str">
        <x:v>All</x:v>
      </x:c>
      <x:c r="H17" s="206"/>
      <x:c r="I17" s="206"/>
      <x:c r="J17" s="199" t="str">
        <x:v>none</x:v>
      </x:c>
      <x:c r="K17" s="200" t="b">
        <x:v>1</x:v>
      </x:c>
      <x:c r="L17" s="201" t="str">
        <x:v>assumed</x:v>
      </x:c>
      <x:c r="M17" s="201" t="str">
        <x:v>E</x:v>
      </x:c>
      <x:c r="N17" s="199"/>
      <x:c r="O17" s="199" t="str">
        <x:v>Class-E structural placeholder; replace with measured, experimental, literature, or vendor data before scientific, design, economic, or configuration-selection interpretation.</x:v>
      </x:c>
      <x:c r="P17" s="199"/>
      <x:c r="Q17" s="199" t="str">
        <x:v>assumed</x:v>
      </x:c>
      <x:c r="R17" s="199" t="n">
        <x:v>100</x:v>
      </x:c>
      <x:c r="S17" s="202" t="b">
        <x:v>1</x:v>
      </x:c>
      <x:c r="T17" s="199" t="n">
        <x:v>6</x:v>
      </x:c>
      <x:c r="U17" s="199" t="str">
        <x:v>LIM-P6-003</x:v>
      </x:c>
    </x:row>
    <x:row r="18">
      <x:c r="A18" s="197" t="str">
        <x:v>desulfurization</x:v>
      </x:c>
      <x:c r="B18" s="197" t="str">
        <x:v>H2S removal</x:v>
      </x:c>
      <x:c r="C18" s="197" t="str">
        <x:v>h2s_removal_fraction</x:v>
      </x:c>
      <x:c r="D18" s="205" t="n">
        <x:v>0.99</x:v>
      </x:c>
      <x:c r="E18" s="199" t="str">
        <x:v>fraction</x:v>
      </x:c>
      <x:c r="F18" s="199" t="str">
        <x:v>All</x:v>
      </x:c>
      <x:c r="G18" s="199" t="str">
        <x:v>All</x:v>
      </x:c>
      <x:c r="H18" s="206" t="n">
        <x:v>0</x:v>
      </x:c>
      <x:c r="I18" s="206" t="n">
        <x:v>1</x:v>
      </x:c>
      <x:c r="J18" s="199" t="str">
        <x:v>none</x:v>
      </x:c>
      <x:c r="K18" s="200" t="b">
        <x:v>1</x:v>
      </x:c>
      <x:c r="L18" s="201" t="str">
        <x:v>assumed</x:v>
      </x:c>
      <x:c r="M18" s="201" t="str">
        <x:v>E</x:v>
      </x:c>
      <x:c r="N18" s="199"/>
      <x:c r="O18" s="199" t="str">
        <x:v>Class-E structural placeholder; replace with measured, experimental, literature, or vendor data before scientific, design, economic, or configuration-selection interpretation.</x:v>
      </x:c>
      <x:c r="P18" s="199"/>
      <x:c r="Q18" s="199" t="str">
        <x:v>assumed</x:v>
      </x:c>
      <x:c r="R18" s="199" t="n">
        <x:v>100</x:v>
      </x:c>
      <x:c r="S18" s="202" t="b">
        <x:v>1</x:v>
      </x:c>
      <x:c r="T18" s="199" t="n">
        <x:v>6</x:v>
      </x:c>
      <x:c r="U18" s="199" t="str">
        <x:v>LIM-P6-003</x:v>
      </x:c>
    </x:row>
    <x:row r="19">
      <x:c r="A19" s="197" t="str">
        <x:v>desulfurization</x:v>
      </x:c>
      <x:c r="B19" s="197" t="str">
        <x:v>R601 pressure drop</x:v>
      </x:c>
      <x:c r="C19" s="197" t="str">
        <x:v>h2s_unit_pressure_drop_pa</x:v>
      </x:c>
      <x:c r="D19" s="205" t="n">
        <x:v>2500</x:v>
      </x:c>
      <x:c r="E19" s="199" t="str">
        <x:v>Pa</x:v>
      </x:c>
      <x:c r="F19" s="199" t="str">
        <x:v>All</x:v>
      </x:c>
      <x:c r="G19" s="199" t="str">
        <x:v>All</x:v>
      </x:c>
      <x:c r="H19" s="206" t="n">
        <x:v>0</x:v>
      </x:c>
      <x:c r="I19" s="206" t="n">
        <x:v>100000</x:v>
      </x:c>
      <x:c r="J19" s="199" t="str">
        <x:v>none</x:v>
      </x:c>
      <x:c r="K19" s="200" t="b">
        <x:v>1</x:v>
      </x:c>
      <x:c r="L19" s="201" t="str">
        <x:v>assumed</x:v>
      </x:c>
      <x:c r="M19" s="201" t="str">
        <x:v>E</x:v>
      </x:c>
      <x:c r="N19" s="199"/>
      <x:c r="O19" s="199" t="str">
        <x:v>Class-E structural placeholder; replace with measured, experimental, literature, or vendor data before scientific, design, economic, or configuration-selection interpretation.</x:v>
      </x:c>
      <x:c r="P19" s="199"/>
      <x:c r="Q19" s="199" t="str">
        <x:v>assumed</x:v>
      </x:c>
      <x:c r="R19" s="199" t="n">
        <x:v>100</x:v>
      </x:c>
      <x:c r="S19" s="202" t="b">
        <x:v>1</x:v>
      </x:c>
      <x:c r="T19" s="199" t="n">
        <x:v>6</x:v>
      </x:c>
      <x:c r="U19" s="199" t="str">
        <x:v>LIM-P6-003</x:v>
      </x:c>
    </x:row>
    <x:row r="20">
      <x:c r="A20" s="197" t="str">
        <x:v>desulfurization</x:v>
      </x:c>
      <x:c r="B20" s="197" t="str">
        <x:v>R601 empty-bed contact time</x:v>
      </x:c>
      <x:c r="C20" s="197" t="str">
        <x:v>h2s_empty_bed_contact_time_s</x:v>
      </x:c>
      <x:c r="D20" s="205" t="n">
        <x:v>5</x:v>
      </x:c>
      <x:c r="E20" s="199" t="str">
        <x:v>s</x:v>
      </x:c>
      <x:c r="F20" s="199" t="str">
        <x:v>All</x:v>
      </x:c>
      <x:c r="G20" s="199" t="str">
        <x:v>All</x:v>
      </x:c>
      <x:c r="H20" s="206" t="n">
        <x:v>0</x:v>
      </x:c>
      <x:c r="I20" s="206" t="n">
        <x:v>600</x:v>
      </x:c>
      <x:c r="J20" s="199" t="str">
        <x:v>none</x:v>
      </x:c>
      <x:c r="K20" s="200" t="b">
        <x:v>1</x:v>
      </x:c>
      <x:c r="L20" s="201" t="str">
        <x:v>assumed</x:v>
      </x:c>
      <x:c r="M20" s="201" t="str">
        <x:v>E</x:v>
      </x:c>
      <x:c r="N20" s="199"/>
      <x:c r="O20" s="199" t="str">
        <x:v>Class-E structural placeholder; replace with measured, experimental, literature, or vendor data before scientific, design, economic, or configuration-selection interpretation.</x:v>
      </x:c>
      <x:c r="P20" s="199"/>
      <x:c r="Q20" s="199" t="str">
        <x:v>assumed</x:v>
      </x:c>
      <x:c r="R20" s="199" t="n">
        <x:v>100</x:v>
      </x:c>
      <x:c r="S20" s="202" t="b">
        <x:v>1</x:v>
      </x:c>
      <x:c r="T20" s="199" t="n">
        <x:v>6</x:v>
      </x:c>
      <x:c r="U20" s="199" t="str">
        <x:v>LIM-P6-003</x:v>
      </x:c>
    </x:row>
    <x:row r="21">
      <x:c r="A21" s="197" t="str">
        <x:v>desulfurization</x:v>
      </x:c>
      <x:c r="B21" s="197" t="str">
        <x:v>R601 media bulk density</x:v>
      </x:c>
      <x:c r="C21" s="197" t="str">
        <x:v>h2s_media_bulk_density_kg_m3</x:v>
      </x:c>
      <x:c r="D21" s="205" t="n">
        <x:v>500</x:v>
      </x:c>
      <x:c r="E21" s="199" t="str">
        <x:v>kg/m3</x:v>
      </x:c>
      <x:c r="F21" s="199" t="str">
        <x:v>All</x:v>
      </x:c>
      <x:c r="G21" s="199" t="str">
        <x:v>All</x:v>
      </x:c>
      <x:c r="H21" s="206" t="n">
        <x:v>1</x:v>
      </x:c>
      <x:c r="I21" s="206" t="n">
        <x:v>3000</x:v>
      </x:c>
      <x:c r="J21" s="199" t="str">
        <x:v>none</x:v>
      </x:c>
      <x:c r="K21" s="200" t="b">
        <x:v>1</x:v>
      </x:c>
      <x:c r="L21" s="201" t="str">
        <x:v>assumed</x:v>
      </x:c>
      <x:c r="M21" s="201" t="str">
        <x:v>E</x:v>
      </x:c>
      <x:c r="N21" s="199"/>
      <x:c r="O21" s="199" t="str">
        <x:v>Class-E structural placeholder; replace with measured, experimental, literature, or vendor data before scientific, design, economic, or configuration-selection interpretation.</x:v>
      </x:c>
      <x:c r="P21" s="199"/>
      <x:c r="Q21" s="199" t="str">
        <x:v>assumed</x:v>
      </x:c>
      <x:c r="R21" s="199" t="n">
        <x:v>100</x:v>
      </x:c>
      <x:c r="S21" s="202" t="b">
        <x:v>1</x:v>
      </x:c>
      <x:c r="T21" s="199" t="n">
        <x:v>6</x:v>
      </x:c>
      <x:c r="U21" s="199" t="str">
        <x:v>LIM-P6-003</x:v>
      </x:c>
    </x:row>
    <x:row r="22">
      <x:c r="A22" s="197" t="str">
        <x:v>desulfurization</x:v>
      </x:c>
      <x:c r="B22" s="197" t="str">
        <x:v>Activated-carbon H2S capacity</x:v>
      </x:c>
      <x:c r="C22" s="197" t="str">
        <x:v>h2s_media_capacity_kg_h2s_per_kg</x:v>
      </x:c>
      <x:c r="D22" s="205" t="n">
        <x:v>0.1</x:v>
      </x:c>
      <x:c r="E22" s="199" t="str">
        <x:v>kg H2S/kg media</x:v>
      </x:c>
      <x:c r="F22" s="199" t="str">
        <x:v>All</x:v>
      </x:c>
      <x:c r="G22" s="199" t="str">
        <x:v>All</x:v>
      </x:c>
      <x:c r="H22" s="206" t="n">
        <x:v>0.000001</x:v>
      </x:c>
      <x:c r="I22" s="206" t="n">
        <x:v>10</x:v>
      </x:c>
      <x:c r="J22" s="199" t="str">
        <x:v>none</x:v>
      </x:c>
      <x:c r="K22" s="200" t="b">
        <x:v>1</x:v>
      </x:c>
      <x:c r="L22" s="201" t="str">
        <x:v>assumed</x:v>
      </x:c>
      <x:c r="M22" s="201" t="str">
        <x:v>E</x:v>
      </x:c>
      <x:c r="N22" s="199"/>
      <x:c r="O22" s="199" t="str">
        <x:v>Class-E structural placeholder; replace with measured, experimental, literature, or vendor data before scientific, design, economic, or configuration-selection interpretation.</x:v>
      </x:c>
      <x:c r="P22" s="199"/>
      <x:c r="Q22" s="199" t="str">
        <x:v>assumed</x:v>
      </x:c>
      <x:c r="R22" s="199" t="n">
        <x:v>100</x:v>
      </x:c>
      <x:c r="S22" s="202" t="b">
        <x:v>1</x:v>
      </x:c>
      <x:c r="T22" s="199" t="n">
        <x:v>6</x:v>
      </x:c>
      <x:c r="U22" s="199" t="str">
        <x:v>LIM-P6-003</x:v>
      </x:c>
    </x:row>
    <x:row r="23">
      <x:c r="A23" s="197" t="str">
        <x:v>desulfurization</x:v>
      </x:c>
      <x:c r="B23" s="197" t="str">
        <x:v>Air oxygen fraction</x:v>
      </x:c>
      <x:c r="C23" s="197" t="str">
        <x:v>air_oxygen_mol_fraction</x:v>
      </x:c>
      <x:c r="D23" s="205" t="n">
        <x:v>0.21</x:v>
      </x:c>
      <x:c r="E23" s="199" t="str">
        <x:v>mol fraction</x:v>
      </x:c>
      <x:c r="F23" s="199" t="str">
        <x:v>All</x:v>
      </x:c>
      <x:c r="G23" s="199" t="str">
        <x:v>All</x:v>
      </x:c>
      <x:c r="H23" s="206" t="n">
        <x:v>0.000001</x:v>
      </x:c>
      <x:c r="I23" s="206" t="n">
        <x:v>0.999999</x:v>
      </x:c>
      <x:c r="J23" s="199" t="str">
        <x:v>none</x:v>
      </x:c>
      <x:c r="K23" s="200" t="b">
        <x:v>1</x:v>
      </x:c>
      <x:c r="L23" s="201" t="str">
        <x:v>assumed</x:v>
      </x:c>
      <x:c r="M23" s="201" t="str">
        <x:v>E</x:v>
      </x:c>
      <x:c r="N23" s="199"/>
      <x:c r="O23" s="199" t="str">
        <x:v>Class-E structural placeholder; replace with measured, experimental, literature, or vendor data before scientific, design, economic, or configuration-selection interpretation.</x:v>
      </x:c>
      <x:c r="P23" s="199"/>
      <x:c r="Q23" s="199" t="str">
        <x:v>assumed</x:v>
      </x:c>
      <x:c r="R23" s="199" t="n">
        <x:v>100</x:v>
      </x:c>
      <x:c r="S23" s="202" t="b">
        <x:v>1</x:v>
      </x:c>
      <x:c r="T23" s="199" t="n">
        <x:v>6</x:v>
      </x:c>
      <x:c r="U23" s="199" t="str">
        <x:v>LIM-P6-004</x:v>
      </x:c>
    </x:row>
    <x:row r="24">
      <x:c r="A24" s="197" t="str">
        <x:v>desulfurization</x:v>
      </x:c>
      <x:c r="B24" s="197" t="str">
        <x:v>Biological oxygen utilization</x:v>
      </x:c>
      <x:c r="C24" s="197" t="str">
        <x:v>biological_oxygen_utilization_fraction</x:v>
      </x:c>
      <x:c r="D24" s="205" t="n">
        <x:v>0.85</x:v>
      </x:c>
      <x:c r="E24" s="199" t="str">
        <x:v>fraction</x:v>
      </x:c>
      <x:c r="F24" s="199" t="str">
        <x:v>All</x:v>
      </x:c>
      <x:c r="G24" s="199" t="str">
        <x:v>All</x:v>
      </x:c>
      <x:c r="H24" s="206" t="n">
        <x:v>0.000001</x:v>
      </x:c>
      <x:c r="I24" s="206" t="n">
        <x:v>1</x:v>
      </x:c>
      <x:c r="J24" s="199" t="str">
        <x:v>none</x:v>
      </x:c>
      <x:c r="K24" s="200" t="b">
        <x:v>1</x:v>
      </x:c>
      <x:c r="L24" s="201" t="str">
        <x:v>assumed</x:v>
      </x:c>
      <x:c r="M24" s="201" t="str">
        <x:v>E</x:v>
      </x:c>
      <x:c r="N24" s="199"/>
      <x:c r="O24" s="199" t="str">
        <x:v>Class-E structural placeholder; replace with measured, experimental, literature, or vendor data before scientific, design, economic, or configuration-selection interpretation.</x:v>
      </x:c>
      <x:c r="P24" s="199"/>
      <x:c r="Q24" s="199" t="str">
        <x:v>assumed</x:v>
      </x:c>
      <x:c r="R24" s="199" t="n">
        <x:v>100</x:v>
      </x:c>
      <x:c r="S24" s="202" t="b">
        <x:v>1</x:v>
      </x:c>
      <x:c r="T24" s="199" t="n">
        <x:v>6</x:v>
      </x:c>
      <x:c r="U24" s="199" t="str">
        <x:v>LIM-P6-004</x:v>
      </x:c>
    </x:row>
    <x:row r="25">
      <x:c r="A25" s="197" t="str">
        <x:v>ammonia</x:v>
      </x:c>
      <x:c r="B25" s="197" t="str">
        <x:v>R602 enabled</x:v>
      </x:c>
      <x:c r="C25" s="197" t="str">
        <x:v>ammonia_removal_enabled</x:v>
      </x:c>
      <x:c r="D25" s="204" t="b">
        <x:v>1</x:v>
      </x:c>
      <x:c r="E25" s="199" t="str">
        <x:v>boolean</x:v>
      </x:c>
      <x:c r="F25" s="199" t="str">
        <x:v>All</x:v>
      </x:c>
      <x:c r="G25" s="199" t="str">
        <x:v>All</x:v>
      </x:c>
      <x:c r="H25" s="206"/>
      <x:c r="I25" s="206"/>
      <x:c r="J25" s="199" t="str">
        <x:v>none</x:v>
      </x:c>
      <x:c r="K25" s="200" t="b">
        <x:v>1</x:v>
      </x:c>
      <x:c r="L25" s="201" t="str">
        <x:v>assumed</x:v>
      </x:c>
      <x:c r="M25" s="201" t="str">
        <x:v>E</x:v>
      </x:c>
      <x:c r="N25" s="199"/>
      <x:c r="O25" s="199" t="str">
        <x:v>Class-E structural placeholder; replace with measured, experimental, literature, or vendor data before scientific, design, economic, or configuration-selection interpretation.</x:v>
      </x:c>
      <x:c r="P25" s="199"/>
      <x:c r="Q25" s="199" t="str">
        <x:v>assumed</x:v>
      </x:c>
      <x:c r="R25" s="199" t="n">
        <x:v>100</x:v>
      </x:c>
      <x:c r="S25" s="202" t="b">
        <x:v>1</x:v>
      </x:c>
      <x:c r="T25" s="199" t="n">
        <x:v>6</x:v>
      </x:c>
      <x:c r="U25" s="199" t="str">
        <x:v>LIM-P6-005</x:v>
      </x:c>
    </x:row>
    <x:row r="26">
      <x:c r="A26" s="197" t="str">
        <x:v>ammonia</x:v>
      </x:c>
      <x:c r="B26" s="197" t="str">
        <x:v>R602 technology</x:v>
      </x:c>
      <x:c r="C26" s="197" t="str">
        <x:v>ammonia_removal_technology</x:v>
      </x:c>
      <x:c r="D26" s="205" t="str">
        <x:v>water_wash</x:v>
      </x:c>
      <x:c r="E26" s="199" t="str">
        <x:v>technology ID</x:v>
      </x:c>
      <x:c r="F26" s="199" t="str">
        <x:v>All</x:v>
      </x:c>
      <x:c r="G26" s="199" t="str">
        <x:v>All</x:v>
      </x:c>
      <x:c r="H26" s="206"/>
      <x:c r="I26" s="206"/>
      <x:c r="J26" s="199" t="str">
        <x:v>none</x:v>
      </x:c>
      <x:c r="K26" s="200" t="b">
        <x:v>1</x:v>
      </x:c>
      <x:c r="L26" s="201" t="str">
        <x:v>assumed</x:v>
      </x:c>
      <x:c r="M26" s="201" t="str">
        <x:v>E</x:v>
      </x:c>
      <x:c r="N26" s="199"/>
      <x:c r="O26" s="199" t="str">
        <x:v>Class-E structural placeholder; replace with measured, experimental, literature, or vendor data before scientific, design, economic, or configuration-selection interpretation.</x:v>
      </x:c>
      <x:c r="P26" s="199"/>
      <x:c r="Q26" s="199" t="str">
        <x:v>assumed</x:v>
      </x:c>
      <x:c r="R26" s="199" t="n">
        <x:v>100</x:v>
      </x:c>
      <x:c r="S26" s="202" t="b">
        <x:v>1</x:v>
      </x:c>
      <x:c r="T26" s="199" t="n">
        <x:v>6</x:v>
      </x:c>
      <x:c r="U26" s="199" t="str">
        <x:v>LIM-P6-005</x:v>
      </x:c>
    </x:row>
    <x:row r="27">
      <x:c r="A27" s="197" t="str">
        <x:v>ammonia</x:v>
      </x:c>
      <x:c r="B27" s="197" t="str">
        <x:v>NH3 removal</x:v>
      </x:c>
      <x:c r="C27" s="197" t="str">
        <x:v>ammonia_removal_fraction</x:v>
      </x:c>
      <x:c r="D27" s="205" t="n">
        <x:v>0.95</x:v>
      </x:c>
      <x:c r="E27" s="199" t="str">
        <x:v>fraction</x:v>
      </x:c>
      <x:c r="F27" s="199" t="str">
        <x:v>All</x:v>
      </x:c>
      <x:c r="G27" s="199" t="str">
        <x:v>All</x:v>
      </x:c>
      <x:c r="H27" s="206" t="n">
        <x:v>0</x:v>
      </x:c>
      <x:c r="I27" s="206" t="n">
        <x:v>1</x:v>
      </x:c>
      <x:c r="J27" s="199" t="str">
        <x:v>none</x:v>
      </x:c>
      <x:c r="K27" s="200" t="b">
        <x:v>1</x:v>
      </x:c>
      <x:c r="L27" s="201" t="str">
        <x:v>assumed</x:v>
      </x:c>
      <x:c r="M27" s="201" t="str">
        <x:v>E</x:v>
      </x:c>
      <x:c r="N27" s="199"/>
      <x:c r="O27" s="199" t="str">
        <x:v>Class-E structural placeholder; replace with measured, experimental, literature, or vendor data before scientific, design, economic, or configuration-selection interpretation.</x:v>
      </x:c>
      <x:c r="P27" s="199"/>
      <x:c r="Q27" s="199" t="str">
        <x:v>assumed</x:v>
      </x:c>
      <x:c r="R27" s="199" t="n">
        <x:v>100</x:v>
      </x:c>
      <x:c r="S27" s="202" t="b">
        <x:v>1</x:v>
      </x:c>
      <x:c r="T27" s="199" t="n">
        <x:v>6</x:v>
      </x:c>
      <x:c r="U27" s="199" t="str">
        <x:v>LIM-P6-005</x:v>
      </x:c>
    </x:row>
    <x:row r="28">
      <x:c r="A28" s="197" t="str">
        <x:v>ammonia</x:v>
      </x:c>
      <x:c r="B28" s="197" t="str">
        <x:v>R602 water-to-gas ratio</x:v>
      </x:c>
      <x:c r="C28" s="197" t="str">
        <x:v>ammonia_scrubber_water_kg_per_nm3</x:v>
      </x:c>
      <x:c r="D28" s="205" t="n">
        <x:v>0.2</x:v>
      </x:c>
      <x:c r="E28" s="199" t="str">
        <x:v>kg/Nm3</x:v>
      </x:c>
      <x:c r="F28" s="199" t="str">
        <x:v>All</x:v>
      </x:c>
      <x:c r="G28" s="199" t="str">
        <x:v>All</x:v>
      </x:c>
      <x:c r="H28" s="206" t="n">
        <x:v>0</x:v>
      </x:c>
      <x:c r="I28" s="206" t="n">
        <x:v>100</x:v>
      </x:c>
      <x:c r="J28" s="199" t="str">
        <x:v>none</x:v>
      </x:c>
      <x:c r="K28" s="200" t="b">
        <x:v>1</x:v>
      </x:c>
      <x:c r="L28" s="201" t="str">
        <x:v>assumed</x:v>
      </x:c>
      <x:c r="M28" s="201" t="str">
        <x:v>E</x:v>
      </x:c>
      <x:c r="N28" s="199"/>
      <x:c r="O28" s="199" t="str">
        <x:v>Class-E structural placeholder; replace with measured, experimental, literature, or vendor data before scientific, design, economic, or configuration-selection interpretation.</x:v>
      </x:c>
      <x:c r="P28" s="199"/>
      <x:c r="Q28" s="199" t="str">
        <x:v>assumed</x:v>
      </x:c>
      <x:c r="R28" s="199" t="n">
        <x:v>100</x:v>
      </x:c>
      <x:c r="S28" s="202" t="b">
        <x:v>1</x:v>
      </x:c>
      <x:c r="T28" s="199" t="n">
        <x:v>6</x:v>
      </x:c>
      <x:c r="U28" s="199" t="str">
        <x:v>LIM-P6-005</x:v>
      </x:c>
    </x:row>
    <x:row r="29">
      <x:c r="A29" s="197" t="str">
        <x:v>ammonia</x:v>
      </x:c>
      <x:c r="B29" s="197" t="str">
        <x:v>R602 CO2 absorption</x:v>
      </x:c>
      <x:c r="C29" s="197" t="str">
        <x:v>ammonia_scrubber_co2_absorption_fraction</x:v>
      </x:c>
      <x:c r="D29" s="205" t="n">
        <x:v>0.002</x:v>
      </x:c>
      <x:c r="E29" s="199" t="str">
        <x:v>fraction</x:v>
      </x:c>
      <x:c r="F29" s="199" t="str">
        <x:v>All</x:v>
      </x:c>
      <x:c r="G29" s="199" t="str">
        <x:v>All</x:v>
      </x:c>
      <x:c r="H29" s="206" t="n">
        <x:v>0</x:v>
      </x:c>
      <x:c r="I29" s="206" t="n">
        <x:v>1</x:v>
      </x:c>
      <x:c r="J29" s="199" t="str">
        <x:v>none</x:v>
      </x:c>
      <x:c r="K29" s="200" t="b">
        <x:v>1</x:v>
      </x:c>
      <x:c r="L29" s="201" t="str">
        <x:v>assumed</x:v>
      </x:c>
      <x:c r="M29" s="201" t="str">
        <x:v>E</x:v>
      </x:c>
      <x:c r="N29" s="199"/>
      <x:c r="O29" s="199" t="str">
        <x:v>Class-E structural placeholder; replace with measured, experimental, literature, or vendor data before scientific, design, economic, or configuration-selection interpretation.</x:v>
      </x:c>
      <x:c r="P29" s="199"/>
      <x:c r="Q29" s="199" t="str">
        <x:v>assumed</x:v>
      </x:c>
      <x:c r="R29" s="199" t="n">
        <x:v>100</x:v>
      </x:c>
      <x:c r="S29" s="202" t="b">
        <x:v>1</x:v>
      </x:c>
      <x:c r="T29" s="199" t="n">
        <x:v>6</x:v>
      </x:c>
      <x:c r="U29" s="199" t="str">
        <x:v>LIM-P6-005</x:v>
      </x:c>
    </x:row>
    <x:row r="30">
      <x:c r="A30" s="197" t="str">
        <x:v>ammonia</x:v>
      </x:c>
      <x:c r="B30" s="197" t="str">
        <x:v>R602 H2S absorption</x:v>
      </x:c>
      <x:c r="C30" s="197" t="str">
        <x:v>ammonia_scrubber_h2s_absorption_fraction</x:v>
      </x:c>
      <x:c r="D30" s="205" t="n">
        <x:v>0.05</x:v>
      </x:c>
      <x:c r="E30" s="199" t="str">
        <x:v>fraction</x:v>
      </x:c>
      <x:c r="F30" s="199" t="str">
        <x:v>All</x:v>
      </x:c>
      <x:c r="G30" s="199" t="str">
        <x:v>All</x:v>
      </x:c>
      <x:c r="H30" s="206" t="n">
        <x:v>0</x:v>
      </x:c>
      <x:c r="I30" s="206" t="n">
        <x:v>1</x:v>
      </x:c>
      <x:c r="J30" s="199" t="str">
        <x:v>none</x:v>
      </x:c>
      <x:c r="K30" s="200" t="b">
        <x:v>1</x:v>
      </x:c>
      <x:c r="L30" s="201" t="str">
        <x:v>assumed</x:v>
      </x:c>
      <x:c r="M30" s="201" t="str">
        <x:v>E</x:v>
      </x:c>
      <x:c r="N30" s="199"/>
      <x:c r="O30" s="199" t="str">
        <x:v>Class-E structural placeholder; replace with measured, experimental, literature, or vendor data before scientific, design, economic, or configuration-selection interpretation.</x:v>
      </x:c>
      <x:c r="P30" s="199"/>
      <x:c r="Q30" s="199" t="str">
        <x:v>assumed</x:v>
      </x:c>
      <x:c r="R30" s="199" t="n">
        <x:v>100</x:v>
      </x:c>
      <x:c r="S30" s="202" t="b">
        <x:v>1</x:v>
      </x:c>
      <x:c r="T30" s="199" t="n">
        <x:v>6</x:v>
      </x:c>
      <x:c r="U30" s="199" t="str">
        <x:v>LIM-P6-005</x:v>
      </x:c>
    </x:row>
    <x:row r="31">
      <x:c r="A31" s="197" t="str">
        <x:v>ammonia</x:v>
      </x:c>
      <x:c r="B31" s="197" t="str">
        <x:v>R602 methane absorption</x:v>
      </x:c>
      <x:c r="C31" s="197" t="str">
        <x:v>ammonia_scrubber_methane_absorption_fraction</x:v>
      </x:c>
      <x:c r="D31" s="205" t="n">
        <x:v>0.0005</x:v>
      </x:c>
      <x:c r="E31" s="199" t="str">
        <x:v>fraction</x:v>
      </x:c>
      <x:c r="F31" s="199" t="str">
        <x:v>All</x:v>
      </x:c>
      <x:c r="G31" s="199" t="str">
        <x:v>All</x:v>
      </x:c>
      <x:c r="H31" s="206" t="n">
        <x:v>0</x:v>
      </x:c>
      <x:c r="I31" s="206" t="n">
        <x:v>1</x:v>
      </x:c>
      <x:c r="J31" s="199" t="str">
        <x:v>none</x:v>
      </x:c>
      <x:c r="K31" s="200" t="b">
        <x:v>1</x:v>
      </x:c>
      <x:c r="L31" s="201" t="str">
        <x:v>assumed</x:v>
      </x:c>
      <x:c r="M31" s="201" t="str">
        <x:v>E</x:v>
      </x:c>
      <x:c r="N31" s="199"/>
      <x:c r="O31" s="199" t="str">
        <x:v>Class-E structural placeholder; replace with measured, experimental, literature, or vendor data before scientific, design, economic, or configuration-selection interpretation.</x:v>
      </x:c>
      <x:c r="P31" s="199"/>
      <x:c r="Q31" s="199" t="str">
        <x:v>assumed</x:v>
      </x:c>
      <x:c r="R31" s="199" t="n">
        <x:v>100</x:v>
      </x:c>
      <x:c r="S31" s="202" t="b">
        <x:v>1</x:v>
      </x:c>
      <x:c r="T31" s="199" t="n">
        <x:v>6</x:v>
      </x:c>
      <x:c r="U31" s="199" t="str">
        <x:v>LIM-P6-005</x:v>
      </x:c>
    </x:row>
    <x:row r="32">
      <x:c r="A32" s="197" t="str">
        <x:v>ammonia</x:v>
      </x:c>
      <x:c r="B32" s="197" t="str">
        <x:v>R602 acid type</x:v>
      </x:c>
      <x:c r="C32" s="197" t="str">
        <x:v>ammonia_scrubber_acid_type</x:v>
      </x:c>
      <x:c r="D32" s="205" t="str">
        <x:v>SulfuricAcid</x:v>
      </x:c>
      <x:c r="E32" s="199" t="str">
        <x:v>component ID</x:v>
      </x:c>
      <x:c r="F32" s="199" t="str">
        <x:v>All</x:v>
      </x:c>
      <x:c r="G32" s="199" t="str">
        <x:v>All</x:v>
      </x:c>
      <x:c r="H32" s="206"/>
      <x:c r="I32" s="206"/>
      <x:c r="J32" s="199" t="str">
        <x:v>none</x:v>
      </x:c>
      <x:c r="K32" s="200" t="b">
        <x:v>1</x:v>
      </x:c>
      <x:c r="L32" s="201" t="str">
        <x:v>assumed</x:v>
      </x:c>
      <x:c r="M32" s="201" t="str">
        <x:v>E</x:v>
      </x:c>
      <x:c r="N32" s="199"/>
      <x:c r="O32" s="199" t="str">
        <x:v>Class-E structural placeholder; replace with measured, experimental, literature, or vendor data before scientific, design, economic, or configuration-selection interpretation.</x:v>
      </x:c>
      <x:c r="P32" s="199"/>
      <x:c r="Q32" s="199" t="str">
        <x:v>assumed</x:v>
      </x:c>
      <x:c r="R32" s="199" t="n">
        <x:v>100</x:v>
      </x:c>
      <x:c r="S32" s="202" t="b">
        <x:v>1</x:v>
      </x:c>
      <x:c r="T32" s="199" t="n">
        <x:v>6</x:v>
      </x:c>
      <x:c r="U32" s="199" t="str">
        <x:v>LIM-P6-005</x:v>
      </x:c>
    </x:row>
    <x:row r="33">
      <x:c r="A33" s="197" t="str">
        <x:v>ammonia</x:v>
      </x:c>
      <x:c r="B33" s="197" t="str">
        <x:v>R602 acid purity</x:v>
      </x:c>
      <x:c r="C33" s="197" t="str">
        <x:v>ammonia_scrubber_acid_purity</x:v>
      </x:c>
      <x:c r="D33" s="205" t="n">
        <x:v>0.96</x:v>
      </x:c>
      <x:c r="E33" s="199" t="str">
        <x:v>mass fraction</x:v>
      </x:c>
      <x:c r="F33" s="199" t="str">
        <x:v>All</x:v>
      </x:c>
      <x:c r="G33" s="199" t="str">
        <x:v>All</x:v>
      </x:c>
      <x:c r="H33" s="206" t="n">
        <x:v>0.000001</x:v>
      </x:c>
      <x:c r="I33" s="206" t="n">
        <x:v>1</x:v>
      </x:c>
      <x:c r="J33" s="199" t="str">
        <x:v>none</x:v>
      </x:c>
      <x:c r="K33" s="200" t="b">
        <x:v>1</x:v>
      </x:c>
      <x:c r="L33" s="201" t="str">
        <x:v>assumed</x:v>
      </x:c>
      <x:c r="M33" s="201" t="str">
        <x:v>E</x:v>
      </x:c>
      <x:c r="N33" s="199"/>
      <x:c r="O33" s="199" t="str">
        <x:v>Class-E structural placeholder; replace with measured, experimental, literature, or vendor data before scientific, design, economic, or configuration-selection interpretation.</x:v>
      </x:c>
      <x:c r="P33" s="199"/>
      <x:c r="Q33" s="199" t="str">
        <x:v>assumed</x:v>
      </x:c>
      <x:c r="R33" s="199" t="n">
        <x:v>100</x:v>
      </x:c>
      <x:c r="S33" s="202" t="b">
        <x:v>1</x:v>
      </x:c>
      <x:c r="T33" s="199" t="n">
        <x:v>6</x:v>
      </x:c>
      <x:c r="U33" s="199" t="str">
        <x:v>LIM-P6-005</x:v>
      </x:c>
    </x:row>
    <x:row r="34">
      <x:c r="A34" s="197" t="str">
        <x:v>ammonia</x:v>
      </x:c>
      <x:c r="B34" s="197" t="str">
        <x:v>R602 pressure drop</x:v>
      </x:c>
      <x:c r="C34" s="197" t="str">
        <x:v>ammonia_unit_pressure_drop_pa</x:v>
      </x:c>
      <x:c r="D34" s="205" t="n">
        <x:v>1500</x:v>
      </x:c>
      <x:c r="E34" s="199" t="str">
        <x:v>Pa</x:v>
      </x:c>
      <x:c r="F34" s="199" t="str">
        <x:v>All</x:v>
      </x:c>
      <x:c r="G34" s="199" t="str">
        <x:v>All</x:v>
      </x:c>
      <x:c r="H34" s="206" t="n">
        <x:v>0</x:v>
      </x:c>
      <x:c r="I34" s="206" t="n">
        <x:v>100000</x:v>
      </x:c>
      <x:c r="J34" s="199" t="str">
        <x:v>none</x:v>
      </x:c>
      <x:c r="K34" s="200" t="b">
        <x:v>1</x:v>
      </x:c>
      <x:c r="L34" s="201" t="str">
        <x:v>assumed</x:v>
      </x:c>
      <x:c r="M34" s="201" t="str">
        <x:v>E</x:v>
      </x:c>
      <x:c r="N34" s="199"/>
      <x:c r="O34" s="199" t="str">
        <x:v>Class-E structural placeholder; replace with measured, experimental, literature, or vendor data before scientific, design, economic, or configuration-selection interpretation.</x:v>
      </x:c>
      <x:c r="P34" s="199"/>
      <x:c r="Q34" s="199" t="str">
        <x:v>assumed</x:v>
      </x:c>
      <x:c r="R34" s="199" t="n">
        <x:v>100</x:v>
      </x:c>
      <x:c r="S34" s="202" t="b">
        <x:v>1</x:v>
      </x:c>
      <x:c r="T34" s="199" t="n">
        <x:v>6</x:v>
      </x:c>
      <x:c r="U34" s="199" t="str">
        <x:v>LIM-P6-005</x:v>
      </x:c>
    </x:row>
    <x:row r="35">
      <x:c r="A35" s="197" t="str">
        <x:v>filtration</x:v>
      </x:c>
      <x:c r="B35" s="197" t="str">
        <x:v>F601 enabled</x:v>
      </x:c>
      <x:c r="C35" s="197" t="str">
        <x:v>particle_filter_enabled</x:v>
      </x:c>
      <x:c r="D35" s="204" t="b">
        <x:v>1</x:v>
      </x:c>
      <x:c r="E35" s="199" t="str">
        <x:v>boolean</x:v>
      </x:c>
      <x:c r="F35" s="199" t="str">
        <x:v>All</x:v>
      </x:c>
      <x:c r="G35" s="199" t="str">
        <x:v>All</x:v>
      </x:c>
      <x:c r="H35" s="206"/>
      <x:c r="I35" s="206"/>
      <x:c r="J35" s="199" t="str">
        <x:v>none</x:v>
      </x:c>
      <x:c r="K35" s="200" t="b">
        <x:v>1</x:v>
      </x:c>
      <x:c r="L35" s="201" t="str">
        <x:v>assumed</x:v>
      </x:c>
      <x:c r="M35" s="201" t="str">
        <x:v>E</x:v>
      </x:c>
      <x:c r="N35" s="199"/>
      <x:c r="O35" s="199" t="str">
        <x:v>Class-E structural placeholder; replace with measured, experimental, literature, or vendor data before scientific, design, economic, or configuration-selection interpretation.</x:v>
      </x:c>
      <x:c r="P35" s="199"/>
      <x:c r="Q35" s="199" t="str">
        <x:v>assumed</x:v>
      </x:c>
      <x:c r="R35" s="199" t="n">
        <x:v>100</x:v>
      </x:c>
      <x:c r="S35" s="202" t="b">
        <x:v>1</x:v>
      </x:c>
      <x:c r="T35" s="199" t="n">
        <x:v>6</x:v>
      </x:c>
      <x:c r="U35" s="199" t="str">
        <x:v>LIM-P6-006</x:v>
      </x:c>
    </x:row>
    <x:row r="36">
      <x:c r="A36" s="197" t="str">
        <x:v>filtration</x:v>
      </x:c>
      <x:c r="B36" s="197" t="str">
        <x:v>Particle removal</x:v>
      </x:c>
      <x:c r="C36" s="197" t="str">
        <x:v>particle_removal_fraction</x:v>
      </x:c>
      <x:c r="D36" s="205" t="n">
        <x:v>0.99</x:v>
      </x:c>
      <x:c r="E36" s="199" t="str">
        <x:v>fraction</x:v>
      </x:c>
      <x:c r="F36" s="199" t="str">
        <x:v>All</x:v>
      </x:c>
      <x:c r="G36" s="199" t="str">
        <x:v>All</x:v>
      </x:c>
      <x:c r="H36" s="206" t="n">
        <x:v>0</x:v>
      </x:c>
      <x:c r="I36" s="206" t="n">
        <x:v>1</x:v>
      </x:c>
      <x:c r="J36" s="199" t="str">
        <x:v>none</x:v>
      </x:c>
      <x:c r="K36" s="200" t="b">
        <x:v>1</x:v>
      </x:c>
      <x:c r="L36" s="201" t="str">
        <x:v>assumed</x:v>
      </x:c>
      <x:c r="M36" s="201" t="str">
        <x:v>E</x:v>
      </x:c>
      <x:c r="N36" s="199"/>
      <x:c r="O36" s="199" t="str">
        <x:v>Class-E structural placeholder; replace with measured, experimental, literature, or vendor data before scientific, design, economic, or configuration-selection interpretation.</x:v>
      </x:c>
      <x:c r="P36" s="199"/>
      <x:c r="Q36" s="199" t="str">
        <x:v>assumed</x:v>
      </x:c>
      <x:c r="R36" s="199" t="n">
        <x:v>100</x:v>
      </x:c>
      <x:c r="S36" s="202" t="b">
        <x:v>1</x:v>
      </x:c>
      <x:c r="T36" s="199" t="n">
        <x:v>6</x:v>
      </x:c>
      <x:c r="U36" s="199" t="str">
        <x:v>LIM-P6-006</x:v>
      </x:c>
    </x:row>
    <x:row r="37">
      <x:c r="A37" s="197" t="str">
        <x:v>filtration</x:v>
      </x:c>
      <x:c r="B37" s="197" t="str">
        <x:v>Siloxane removal</x:v>
      </x:c>
      <x:c r="C37" s="197" t="str">
        <x:v>siloxane_removal_fraction</x:v>
      </x:c>
      <x:c r="D37" s="205" t="n">
        <x:v>0.95</x:v>
      </x:c>
      <x:c r="E37" s="199" t="str">
        <x:v>fraction</x:v>
      </x:c>
      <x:c r="F37" s="199" t="str">
        <x:v>All</x:v>
      </x:c>
      <x:c r="G37" s="199" t="str">
        <x:v>All</x:v>
      </x:c>
      <x:c r="H37" s="206" t="n">
        <x:v>0</x:v>
      </x:c>
      <x:c r="I37" s="206" t="n">
        <x:v>1</x:v>
      </x:c>
      <x:c r="J37" s="199" t="str">
        <x:v>none</x:v>
      </x:c>
      <x:c r="K37" s="200" t="b">
        <x:v>1</x:v>
      </x:c>
      <x:c r="L37" s="201" t="str">
        <x:v>assumed</x:v>
      </x:c>
      <x:c r="M37" s="201" t="str">
        <x:v>E</x:v>
      </x:c>
      <x:c r="N37" s="199"/>
      <x:c r="O37" s="199" t="str">
        <x:v>Class-E structural placeholder; replace with measured, experimental, literature, or vendor data before scientific, design, economic, or configuration-selection interpretation.</x:v>
      </x:c>
      <x:c r="P37" s="199"/>
      <x:c r="Q37" s="199" t="str">
        <x:v>assumed</x:v>
      </x:c>
      <x:c r="R37" s="199" t="n">
        <x:v>100</x:v>
      </x:c>
      <x:c r="S37" s="202" t="b">
        <x:v>1</x:v>
      </x:c>
      <x:c r="T37" s="199" t="n">
        <x:v>6</x:v>
      </x:c>
      <x:c r="U37" s="199" t="str">
        <x:v>LIM-P6-006</x:v>
      </x:c>
    </x:row>
    <x:row r="38">
      <x:c r="A38" s="197" t="str">
        <x:v>filtration</x:v>
      </x:c>
      <x:c r="B38" s="197" t="str">
        <x:v>F601 pressure drop</x:v>
      </x:c>
      <x:c r="C38" s="197" t="str">
        <x:v>filter_pressure_drop_pa</x:v>
      </x:c>
      <x:c r="D38" s="205" t="n">
        <x:v>2000</x:v>
      </x:c>
      <x:c r="E38" s="199" t="str">
        <x:v>Pa</x:v>
      </x:c>
      <x:c r="F38" s="199" t="str">
        <x:v>All</x:v>
      </x:c>
      <x:c r="G38" s="199" t="str">
        <x:v>All</x:v>
      </x:c>
      <x:c r="H38" s="206" t="n">
        <x:v>0</x:v>
      </x:c>
      <x:c r="I38" s="206" t="n">
        <x:v>100000</x:v>
      </x:c>
      <x:c r="J38" s="199" t="str">
        <x:v>none</x:v>
      </x:c>
      <x:c r="K38" s="200" t="b">
        <x:v>1</x:v>
      </x:c>
      <x:c r="L38" s="201" t="str">
        <x:v>assumed</x:v>
      </x:c>
      <x:c r="M38" s="201" t="str">
        <x:v>E</x:v>
      </x:c>
      <x:c r="N38" s="199"/>
      <x:c r="O38" s="199" t="str">
        <x:v>Class-E structural placeholder; replace with measured, experimental, literature, or vendor data before scientific, design, economic, or configuration-selection interpretation.</x:v>
      </x:c>
      <x:c r="P38" s="199"/>
      <x:c r="Q38" s="199" t="str">
        <x:v>assumed</x:v>
      </x:c>
      <x:c r="R38" s="199" t="n">
        <x:v>100</x:v>
      </x:c>
      <x:c r="S38" s="202" t="b">
        <x:v>1</x:v>
      </x:c>
      <x:c r="T38" s="199" t="n">
        <x:v>6</x:v>
      </x:c>
      <x:c r="U38" s="199" t="str">
        <x:v>LIM-P6-006</x:v>
      </x:c>
    </x:row>
    <x:row r="39">
      <x:c r="A39" s="197" t="str">
        <x:v>filtration</x:v>
      </x:c>
      <x:c r="B39" s="197" t="str">
        <x:v>F601 contact time</x:v>
      </x:c>
      <x:c r="C39" s="197" t="str">
        <x:v>filter_contact_time_s</x:v>
      </x:c>
      <x:c r="D39" s="205" t="n">
        <x:v>2</x:v>
      </x:c>
      <x:c r="E39" s="199" t="str">
        <x:v>s</x:v>
      </x:c>
      <x:c r="F39" s="199" t="str">
        <x:v>All</x:v>
      </x:c>
      <x:c r="G39" s="199" t="str">
        <x:v>All</x:v>
      </x:c>
      <x:c r="H39" s="206" t="n">
        <x:v>0</x:v>
      </x:c>
      <x:c r="I39" s="206" t="n">
        <x:v>600</x:v>
      </x:c>
      <x:c r="J39" s="199" t="str">
        <x:v>none</x:v>
      </x:c>
      <x:c r="K39" s="200" t="b">
        <x:v>1</x:v>
      </x:c>
      <x:c r="L39" s="201" t="str">
        <x:v>assumed</x:v>
      </x:c>
      <x:c r="M39" s="201" t="str">
        <x:v>E</x:v>
      </x:c>
      <x:c r="N39" s="199"/>
      <x:c r="O39" s="199" t="str">
        <x:v>Class-E structural placeholder; replace with measured, experimental, literature, or vendor data before scientific, design, economic, or configuration-selection interpretation.</x:v>
      </x:c>
      <x:c r="P39" s="199"/>
      <x:c r="Q39" s="199" t="str">
        <x:v>assumed</x:v>
      </x:c>
      <x:c r="R39" s="199" t="n">
        <x:v>100</x:v>
      </x:c>
      <x:c r="S39" s="202" t="b">
        <x:v>1</x:v>
      </x:c>
      <x:c r="T39" s="199" t="n">
        <x:v>6</x:v>
      </x:c>
      <x:c r="U39" s="199" t="str">
        <x:v>LIM-P6-006</x:v>
      </x:c>
    </x:row>
    <x:row r="40">
      <x:c r="A40" s="197" t="str">
        <x:v>filtration</x:v>
      </x:c>
      <x:c r="B40" s="197" t="str">
        <x:v>F601 media bulk density</x:v>
      </x:c>
      <x:c r="C40" s="197" t="str">
        <x:v>filter_media_bulk_density_kg_m3</x:v>
      </x:c>
      <x:c r="D40" s="205" t="n">
        <x:v>500</x:v>
      </x:c>
      <x:c r="E40" s="199" t="str">
        <x:v>kg/m3</x:v>
      </x:c>
      <x:c r="F40" s="199" t="str">
        <x:v>All</x:v>
      </x:c>
      <x:c r="G40" s="199" t="str">
        <x:v>All</x:v>
      </x:c>
      <x:c r="H40" s="206" t="n">
        <x:v>1</x:v>
      </x:c>
      <x:c r="I40" s="206" t="n">
        <x:v>3000</x:v>
      </x:c>
      <x:c r="J40" s="199" t="str">
        <x:v>none</x:v>
      </x:c>
      <x:c r="K40" s="200" t="b">
        <x:v>1</x:v>
      </x:c>
      <x:c r="L40" s="201" t="str">
        <x:v>assumed</x:v>
      </x:c>
      <x:c r="M40" s="201" t="str">
        <x:v>E</x:v>
      </x:c>
      <x:c r="N40" s="199"/>
      <x:c r="O40" s="199" t="str">
        <x:v>Class-E structural placeholder; replace with measured, experimental, literature, or vendor data before scientific, design, economic, or configuration-selection interpretation.</x:v>
      </x:c>
      <x:c r="P40" s="199"/>
      <x:c r="Q40" s="199" t="str">
        <x:v>assumed</x:v>
      </x:c>
      <x:c r="R40" s="199" t="n">
        <x:v>100</x:v>
      </x:c>
      <x:c r="S40" s="202" t="b">
        <x:v>1</x:v>
      </x:c>
      <x:c r="T40" s="199" t="n">
        <x:v>6</x:v>
      </x:c>
      <x:c r="U40" s="199" t="str">
        <x:v>LIM-P6-006</x:v>
      </x:c>
    </x:row>
    <x:row r="41">
      <x:c r="A41" s="197" t="str">
        <x:v>filtration</x:v>
      </x:c>
      <x:c r="B41" s="197" t="str">
        <x:v>F601 media capacity</x:v>
      </x:c>
      <x:c r="C41" s="197" t="str">
        <x:v>filter_media_capacity_kg_contaminant_per_kg</x:v>
      </x:c>
      <x:c r="D41" s="205" t="n">
        <x:v>0.1</x:v>
      </x:c>
      <x:c r="E41" s="199" t="str">
        <x:v>kg contaminant/kg media</x:v>
      </x:c>
      <x:c r="F41" s="199" t="str">
        <x:v>All</x:v>
      </x:c>
      <x:c r="G41" s="199" t="str">
        <x:v>All</x:v>
      </x:c>
      <x:c r="H41" s="206" t="n">
        <x:v>0.000001</x:v>
      </x:c>
      <x:c r="I41" s="206" t="n">
        <x:v>10</x:v>
      </x:c>
      <x:c r="J41" s="199" t="str">
        <x:v>none</x:v>
      </x:c>
      <x:c r="K41" s="200" t="b">
        <x:v>1</x:v>
      </x:c>
      <x:c r="L41" s="201" t="str">
        <x:v>assumed</x:v>
      </x:c>
      <x:c r="M41" s="201" t="str">
        <x:v>E</x:v>
      </x:c>
      <x:c r="N41" s="199"/>
      <x:c r="O41" s="199" t="str">
        <x:v>Class-E structural placeholder; replace with measured, experimental, literature, or vendor data before scientific, design, economic, or configuration-selection interpretation.</x:v>
      </x:c>
      <x:c r="P41" s="199"/>
      <x:c r="Q41" s="199" t="str">
        <x:v>assumed</x:v>
      </x:c>
      <x:c r="R41" s="199" t="n">
        <x:v>100</x:v>
      </x:c>
      <x:c r="S41" s="202" t="b">
        <x:v>1</x:v>
      </x:c>
      <x:c r="T41" s="199" t="n">
        <x:v>6</x:v>
      </x:c>
      <x:c r="U41" s="199" t="str">
        <x:v>LIM-P6-006</x:v>
      </x:c>
    </x:row>
    <x:row r="42">
      <x:c r="A42" s="197" t="str">
        <x:v>filtration</x:v>
      </x:c>
      <x:c r="B42" s="197" t="str">
        <x:v>F601 fan efficiency</x:v>
      </x:c>
      <x:c r="C42" s="197" t="str">
        <x:v>filter_fan_efficiency</x:v>
      </x:c>
      <x:c r="D42" s="205" t="n">
        <x:v>0.65</x:v>
      </x:c>
      <x:c r="E42" s="199" t="str">
        <x:v>fraction</x:v>
      </x:c>
      <x:c r="F42" s="199" t="str">
        <x:v>All</x:v>
      </x:c>
      <x:c r="G42" s="199" t="str">
        <x:v>All</x:v>
      </x:c>
      <x:c r="H42" s="206" t="n">
        <x:v>0.000001</x:v>
      </x:c>
      <x:c r="I42" s="206" t="n">
        <x:v>1</x:v>
      </x:c>
      <x:c r="J42" s="199" t="str">
        <x:v>none</x:v>
      </x:c>
      <x:c r="K42" s="200" t="b">
        <x:v>1</x:v>
      </x:c>
      <x:c r="L42" s="201" t="str">
        <x:v>assumed</x:v>
      </x:c>
      <x:c r="M42" s="201" t="str">
        <x:v>E</x:v>
      </x:c>
      <x:c r="N42" s="199"/>
      <x:c r="O42" s="199" t="str">
        <x:v>Class-E structural placeholder; replace with measured, experimental, literature, or vendor data before scientific, design, economic, or configuration-selection interpretation.</x:v>
      </x:c>
      <x:c r="P42" s="199"/>
      <x:c r="Q42" s="199" t="str">
        <x:v>assumed</x:v>
      </x:c>
      <x:c r="R42" s="199" t="n">
        <x:v>100</x:v>
      </x:c>
      <x:c r="S42" s="202" t="b">
        <x:v>1</x:v>
      </x:c>
      <x:c r="T42" s="199" t="n">
        <x:v>6</x:v>
      </x:c>
      <x:c r="U42" s="199" t="str">
        <x:v>LIM-P6-006</x:v>
      </x:c>
    </x:row>
    <x:row r="43">
      <x:c r="A43" s="197" t="str">
        <x:v>feed_quality</x:v>
      </x:c>
      <x:c r="B43" s="197" t="str">
        <x:v>Maximum conditioned-gas temperature</x:v>
      </x:c>
      <x:c r="C43" s="197" t="str">
        <x:v>upgrading_maximum_feed_temperature_c</x:v>
      </x:c>
      <x:c r="D43" s="205" t="n">
        <x:v>30</x:v>
      </x:c>
      <x:c r="E43" s="199" t="str">
        <x:v>degC</x:v>
      </x:c>
      <x:c r="F43" s="199" t="str">
        <x:v>All</x:v>
      </x:c>
      <x:c r="G43" s="199" t="str">
        <x:v>All</x:v>
      </x:c>
      <x:c r="H43" s="206" t="n">
        <x:v>-45</x:v>
      </x:c>
      <x:c r="I43" s="206" t="n">
        <x:v>100</x:v>
      </x:c>
      <x:c r="J43" s="199" t="str">
        <x:v>none</x:v>
      </x:c>
      <x:c r="K43" s="200" t="b">
        <x:v>1</x:v>
      </x:c>
      <x:c r="L43" s="201" t="str">
        <x:v>assumed</x:v>
      </x:c>
      <x:c r="M43" s="201" t="str">
        <x:v>E</x:v>
      </x:c>
      <x:c r="N43" s="199"/>
      <x:c r="O43" s="199" t="str">
        <x:v>Class-E structural placeholder; replace with measured, experimental, literature, or vendor data before scientific, design, economic, or configuration-selection interpretation.</x:v>
      </x:c>
      <x:c r="P43" s="199"/>
      <x:c r="Q43" s="199" t="str">
        <x:v>assumed</x:v>
      </x:c>
      <x:c r="R43" s="199" t="n">
        <x:v>100</x:v>
      </x:c>
      <x:c r="S43" s="202" t="b">
        <x:v>1</x:v>
      </x:c>
      <x:c r="T43" s="199" t="n">
        <x:v>6</x:v>
      </x:c>
      <x:c r="U43" s="199" t="str">
        <x:v>LIM-P6-015</x:v>
      </x:c>
    </x:row>
    <x:row r="44">
      <x:c r="A44" s="197" t="str">
        <x:v>feed_quality</x:v>
      </x:c>
      <x:c r="B44" s="197" t="str">
        <x:v>Minimum conditioned-gas pressure</x:v>
      </x:c>
      <x:c r="C44" s="197" t="str">
        <x:v>upgrading_minimum_feed_pressure_bar</x:v>
      </x:c>
      <x:c r="D44" s="205" t="n">
        <x:v>0.9</x:v>
      </x:c>
      <x:c r="E44" s="199" t="str">
        <x:v>bar</x:v>
      </x:c>
      <x:c r="F44" s="199" t="str">
        <x:v>All</x:v>
      </x:c>
      <x:c r="G44" s="199" t="str">
        <x:v>All</x:v>
      </x:c>
      <x:c r="H44" s="206" t="n">
        <x:v>0.000001</x:v>
      </x:c>
      <x:c r="I44" s="206" t="n">
        <x:v>100</x:v>
      </x:c>
      <x:c r="J44" s="199" t="str">
        <x:v>none</x:v>
      </x:c>
      <x:c r="K44" s="200" t="b">
        <x:v>1</x:v>
      </x:c>
      <x:c r="L44" s="201" t="str">
        <x:v>assumed</x:v>
      </x:c>
      <x:c r="M44" s="201" t="str">
        <x:v>E</x:v>
      </x:c>
      <x:c r="N44" s="199"/>
      <x:c r="O44" s="199" t="str">
        <x:v>Class-E structural placeholder; replace with measured, experimental, literature, or vendor data before scientific, design, economic, or configuration-selection interpretation.</x:v>
      </x:c>
      <x:c r="P44" s="199"/>
      <x:c r="Q44" s="199" t="str">
        <x:v>assumed</x:v>
      </x:c>
      <x:c r="R44" s="199" t="n">
        <x:v>100</x:v>
      </x:c>
      <x:c r="S44" s="202" t="b">
        <x:v>1</x:v>
      </x:c>
      <x:c r="T44" s="199" t="n">
        <x:v>6</x:v>
      </x:c>
      <x:c r="U44" s="199" t="str">
        <x:v>LIM-P6-015</x:v>
      </x:c>
    </x:row>
    <x:row r="45">
      <x:c r="A45" s="197" t="str">
        <x:v>feed_quality</x:v>
      </x:c>
      <x:c r="B45" s="197" t="str">
        <x:v>Maximum conditioned-gas water</x:v>
      </x:c>
      <x:c r="C45" s="197" t="str">
        <x:v>upgrading_maximum_water_mol_fraction_wet</x:v>
      </x:c>
      <x:c r="D45" s="205" t="n">
        <x:v>0.02</x:v>
      </x:c>
      <x:c r="E45" s="199" t="str">
        <x:v>mol fraction wet</x:v>
      </x:c>
      <x:c r="F45" s="199" t="str">
        <x:v>All</x:v>
      </x:c>
      <x:c r="G45" s="199" t="str">
        <x:v>All</x:v>
      </x:c>
      <x:c r="H45" s="206" t="n">
        <x:v>0</x:v>
      </x:c>
      <x:c r="I45" s="206" t="n">
        <x:v>1</x:v>
      </x:c>
      <x:c r="J45" s="199" t="str">
        <x:v>none</x:v>
      </x:c>
      <x:c r="K45" s="200" t="b">
        <x:v>1</x:v>
      </x:c>
      <x:c r="L45" s="201" t="str">
        <x:v>assumed</x:v>
      </x:c>
      <x:c r="M45" s="201" t="str">
        <x:v>E</x:v>
      </x:c>
      <x:c r="N45" s="199"/>
      <x:c r="O45" s="199" t="str">
        <x:v>Class-E structural placeholder; replace with measured, experimental, literature, or vendor data before scientific, design, economic, or configuration-selection interpretation.</x:v>
      </x:c>
      <x:c r="P45" s="199"/>
      <x:c r="Q45" s="199" t="str">
        <x:v>assumed</x:v>
      </x:c>
      <x:c r="R45" s="199" t="n">
        <x:v>100</x:v>
      </x:c>
      <x:c r="S45" s="202" t="b">
        <x:v>1</x:v>
      </x:c>
      <x:c r="T45" s="199" t="n">
        <x:v>6</x:v>
      </x:c>
      <x:c r="U45" s="199" t="str">
        <x:v>LIM-P6-015</x:v>
      </x:c>
    </x:row>
    <x:row r="46">
      <x:c r="A46" s="197" t="str">
        <x:v>feed_quality</x:v>
      </x:c>
      <x:c r="B46" s="197" t="str">
        <x:v>Maximum conditioned-gas H2S</x:v>
      </x:c>
      <x:c r="C46" s="197" t="str">
        <x:v>upgrading_maximum_h2s_ppmv_dry</x:v>
      </x:c>
      <x:c r="D46" s="205" t="n">
        <x:v>100</x:v>
      </x:c>
      <x:c r="E46" s="199" t="str">
        <x:v>ppmv dry</x:v>
      </x:c>
      <x:c r="F46" s="199" t="str">
        <x:v>All</x:v>
      </x:c>
      <x:c r="G46" s="199" t="str">
        <x:v>All</x:v>
      </x:c>
      <x:c r="H46" s="206" t="n">
        <x:v>0</x:v>
      </x:c>
      <x:c r="I46" s="206" t="n">
        <x:v>1000000</x:v>
      </x:c>
      <x:c r="J46" s="199" t="str">
        <x:v>none</x:v>
      </x:c>
      <x:c r="K46" s="200" t="b">
        <x:v>1</x:v>
      </x:c>
      <x:c r="L46" s="201" t="str">
        <x:v>assumed</x:v>
      </x:c>
      <x:c r="M46" s="201" t="str">
        <x:v>E</x:v>
      </x:c>
      <x:c r="N46" s="199"/>
      <x:c r="O46" s="199" t="str">
        <x:v>Class-E structural placeholder; replace with measured, experimental, literature, or vendor data before scientific, design, economic, or configuration-selection interpretation.</x:v>
      </x:c>
      <x:c r="P46" s="199"/>
      <x:c r="Q46" s="199" t="str">
        <x:v>assumed</x:v>
      </x:c>
      <x:c r="R46" s="199" t="n">
        <x:v>100</x:v>
      </x:c>
      <x:c r="S46" s="202" t="b">
        <x:v>1</x:v>
      </x:c>
      <x:c r="T46" s="199" t="n">
        <x:v>6</x:v>
      </x:c>
      <x:c r="U46" s="199" t="str">
        <x:v>LIM-P6-015</x:v>
      </x:c>
    </x:row>
    <x:row r="47">
      <x:c r="A47" s="197" t="str">
        <x:v>feed_quality</x:v>
      </x:c>
      <x:c r="B47" s="197" t="str">
        <x:v>Maximum conditioned-gas ammonia</x:v>
      </x:c>
      <x:c r="C47" s="197" t="str">
        <x:v>upgrading_maximum_ammonia_ppmv_dry</x:v>
      </x:c>
      <x:c r="D47" s="205" t="n">
        <x:v>50</x:v>
      </x:c>
      <x:c r="E47" s="199" t="str">
        <x:v>ppmv dry</x:v>
      </x:c>
      <x:c r="F47" s="199" t="str">
        <x:v>All</x:v>
      </x:c>
      <x:c r="G47" s="199" t="str">
        <x:v>All</x:v>
      </x:c>
      <x:c r="H47" s="206" t="n">
        <x:v>0</x:v>
      </x:c>
      <x:c r="I47" s="206" t="n">
        <x:v>1000000</x:v>
      </x:c>
      <x:c r="J47" s="199" t="str">
        <x:v>none</x:v>
      </x:c>
      <x:c r="K47" s="200" t="b">
        <x:v>1</x:v>
      </x:c>
      <x:c r="L47" s="201" t="str">
        <x:v>assumed</x:v>
      </x:c>
      <x:c r="M47" s="201" t="str">
        <x:v>E</x:v>
      </x:c>
      <x:c r="N47" s="199"/>
      <x:c r="O47" s="199" t="str">
        <x:v>Class-E structural placeholder; replace with measured, experimental, literature, or vendor data before scientific, design, economic, or configuration-selection interpretation.</x:v>
      </x:c>
      <x:c r="P47" s="199"/>
      <x:c r="Q47" s="199" t="str">
        <x:v>assumed</x:v>
      </x:c>
      <x:c r="R47" s="199" t="n">
        <x:v>100</x:v>
      </x:c>
      <x:c r="S47" s="202" t="b">
        <x:v>1</x:v>
      </x:c>
      <x:c r="T47" s="199" t="n">
        <x:v>6</x:v>
      </x:c>
      <x:c r="U47" s="199" t="str">
        <x:v>LIM-P6-015</x:v>
      </x:c>
    </x:row>
    <x:row r="48">
      <x:c r="A48" s="197" t="str">
        <x:v>feed_quality</x:v>
      </x:c>
      <x:c r="B48" s="197" t="str">
        <x:v>Maximum conditioned-gas oxygen</x:v>
      </x:c>
      <x:c r="C48" s="197" t="str">
        <x:v>upgrading_maximum_oxygen_mol_fraction_dry</x:v>
      </x:c>
      <x:c r="D48" s="205" t="n">
        <x:v>0.02</x:v>
      </x:c>
      <x:c r="E48" s="199" t="str">
        <x:v>mol fraction dry</x:v>
      </x:c>
      <x:c r="F48" s="199" t="str">
        <x:v>All</x:v>
      </x:c>
      <x:c r="G48" s="199" t="str">
        <x:v>All</x:v>
      </x:c>
      <x:c r="H48" s="206" t="n">
        <x:v>0</x:v>
      </x:c>
      <x:c r="I48" s="206" t="n">
        <x:v>1</x:v>
      </x:c>
      <x:c r="J48" s="199" t="str">
        <x:v>none</x:v>
      </x:c>
      <x:c r="K48" s="200" t="b">
        <x:v>1</x:v>
      </x:c>
      <x:c r="L48" s="201" t="str">
        <x:v>assumed</x:v>
      </x:c>
      <x:c r="M48" s="201" t="str">
        <x:v>E</x:v>
      </x:c>
      <x:c r="N48" s="199"/>
      <x:c r="O48" s="199" t="str">
        <x:v>Class-E structural placeholder; replace with measured, experimental, literature, or vendor data before scientific, design, economic, or configuration-selection interpretation.</x:v>
      </x:c>
      <x:c r="P48" s="199"/>
      <x:c r="Q48" s="199" t="str">
        <x:v>assumed</x:v>
      </x:c>
      <x:c r="R48" s="199" t="n">
        <x:v>100</x:v>
      </x:c>
      <x:c r="S48" s="202" t="b">
        <x:v>1</x:v>
      </x:c>
      <x:c r="T48" s="199" t="n">
        <x:v>6</x:v>
      </x:c>
      <x:c r="U48" s="199" t="str">
        <x:v>LIM-P6-015</x:v>
      </x:c>
    </x:row>
    <x:row r="49">
      <x:c r="A49" s="197" t="str">
        <x:v>feed_quality</x:v>
      </x:c>
      <x:c r="B49" s="197" t="str">
        <x:v>Maximum conditioned-gas particulates</x:v>
      </x:c>
      <x:c r="C49" s="197" t="str">
        <x:v>upgrading_maximum_particulate_kg_hr</x:v>
      </x:c>
      <x:c r="D49" s="205" t="n">
        <x:v>0.000001</x:v>
      </x:c>
      <x:c r="E49" s="199" t="str">
        <x:v>kg/hr</x:v>
      </x:c>
      <x:c r="F49" s="199" t="str">
        <x:v>All</x:v>
      </x:c>
      <x:c r="G49" s="199" t="str">
        <x:v>All</x:v>
      </x:c>
      <x:c r="H49" s="206" t="n">
        <x:v>0</x:v>
      </x:c>
      <x:c r="I49" s="206" t="n">
        <x:v>1000</x:v>
      </x:c>
      <x:c r="J49" s="199" t="str">
        <x:v>none</x:v>
      </x:c>
      <x:c r="K49" s="200" t="b">
        <x:v>1</x:v>
      </x:c>
      <x:c r="L49" s="201" t="str">
        <x:v>assumed</x:v>
      </x:c>
      <x:c r="M49" s="201" t="str">
        <x:v>E</x:v>
      </x:c>
      <x:c r="N49" s="199"/>
      <x:c r="O49" s="199" t="str">
        <x:v>Class-E structural placeholder; replace with measured, experimental, literature, or vendor data before scientific, design, economic, or configuration-selection interpretation.</x:v>
      </x:c>
      <x:c r="P49" s="199"/>
      <x:c r="Q49" s="199" t="str">
        <x:v>assumed</x:v>
      </x:c>
      <x:c r="R49" s="199" t="n">
        <x:v>100</x:v>
      </x:c>
      <x:c r="S49" s="202" t="b">
        <x:v>1</x:v>
      </x:c>
      <x:c r="T49" s="199" t="n">
        <x:v>6</x:v>
      </x:c>
      <x:c r="U49" s="199" t="str">
        <x:v>LIM-P6-015</x:v>
      </x:c>
    </x:row>
    <x:row r="50">
      <x:c r="A50" s="197" t="str">
        <x:v>feed_quality</x:v>
      </x:c>
      <x:c r="B50" s="197" t="str">
        <x:v>Maximum conditioned-gas siloxanes</x:v>
      </x:c>
      <x:c r="C50" s="197" t="str">
        <x:v>upgrading_maximum_siloxane_kg_hr</x:v>
      </x:c>
      <x:c r="D50" s="205" t="n">
        <x:v>0.000001</x:v>
      </x:c>
      <x:c r="E50" s="199" t="str">
        <x:v>kg/hr</x:v>
      </x:c>
      <x:c r="F50" s="199" t="str">
        <x:v>All</x:v>
      </x:c>
      <x:c r="G50" s="199" t="str">
        <x:v>All</x:v>
      </x:c>
      <x:c r="H50" s="206" t="n">
        <x:v>0</x:v>
      </x:c>
      <x:c r="I50" s="206" t="n">
        <x:v>1000</x:v>
      </x:c>
      <x:c r="J50" s="199" t="str">
        <x:v>none</x:v>
      </x:c>
      <x:c r="K50" s="200" t="b">
        <x:v>1</x:v>
      </x:c>
      <x:c r="L50" s="201" t="str">
        <x:v>assumed</x:v>
      </x:c>
      <x:c r="M50" s="201" t="str">
        <x:v>E</x:v>
      </x:c>
      <x:c r="N50" s="199"/>
      <x:c r="O50" s="199" t="str">
        <x:v>Class-E structural placeholder; replace with measured, experimental, literature, or vendor data before scientific, design, economic, or configuration-selection interpretation.</x:v>
      </x:c>
      <x:c r="P50" s="199"/>
      <x:c r="Q50" s="199" t="str">
        <x:v>assumed</x:v>
      </x:c>
      <x:c r="R50" s="199" t="n">
        <x:v>100</x:v>
      </x:c>
      <x:c r="S50" s="202" t="b">
        <x:v>1</x:v>
      </x:c>
      <x:c r="T50" s="199" t="n">
        <x:v>6</x:v>
      </x:c>
      <x:c r="U50" s="199" t="str">
        <x:v>LIM-P6-015</x:v>
      </x:c>
    </x:row>
    <x:row r="51">
      <x:c r="A51" s="197" t="str">
        <x:v>feed_quality</x:v>
      </x:c>
      <x:c r="B51" s="197" t="str">
        <x:v>Minimum conditioned-gas methane</x:v>
      </x:c>
      <x:c r="C51" s="197" t="str">
        <x:v>upgrading_minimum_methane_mol_fraction_dry</x:v>
      </x:c>
      <x:c r="D51" s="205" t="n">
        <x:v>0.35</x:v>
      </x:c>
      <x:c r="E51" s="199" t="str">
        <x:v>mol fraction dry</x:v>
      </x:c>
      <x:c r="F51" s="199" t="str">
        <x:v>All</x:v>
      </x:c>
      <x:c r="G51" s="199" t="str">
        <x:v>All</x:v>
      </x:c>
      <x:c r="H51" s="206" t="n">
        <x:v>0</x:v>
      </x:c>
      <x:c r="I51" s="206" t="n">
        <x:v>1</x:v>
      </x:c>
      <x:c r="J51" s="199" t="str">
        <x:v>none</x:v>
      </x:c>
      <x:c r="K51" s="200" t="b">
        <x:v>1</x:v>
      </x:c>
      <x:c r="L51" s="201" t="str">
        <x:v>assumed</x:v>
      </x:c>
      <x:c r="M51" s="201" t="str">
        <x:v>E</x:v>
      </x:c>
      <x:c r="N51" s="199"/>
      <x:c r="O51" s="199" t="str">
        <x:v>Class-E structural placeholder; replace with measured, experimental, literature, or vendor data before scientific, design, economic, or configuration-selection interpretation.</x:v>
      </x:c>
      <x:c r="P51" s="199"/>
      <x:c r="Q51" s="199" t="str">
        <x:v>assumed</x:v>
      </x:c>
      <x:c r="R51" s="199" t="n">
        <x:v>100</x:v>
      </x:c>
      <x:c r="S51" s="202" t="b">
        <x:v>1</x:v>
      </x:c>
      <x:c r="T51" s="199" t="n">
        <x:v>6</x:v>
      </x:c>
      <x:c r="U51" s="199" t="str">
        <x:v>LIM-P6-015</x:v>
      </x:c>
    </x:row>
    <x:row r="52">
      <x:c r="A52" s="197" t="str">
        <x:v>BG2_water</x:v>
      </x:c>
      <x:c r="B52" s="197" t="str">
        <x:v>Water-scrubbing calculation level</x:v>
      </x:c>
      <x:c r="C52" s="197" t="str">
        <x:v>water_scrubbing_calculation_level</x:v>
      </x:c>
      <x:c r="D52" s="205" t="str">
        <x:v>empirical_level_1</x:v>
      </x:c>
      <x:c r="E52" s="199" t="str">
        <x:v>mode</x:v>
      </x:c>
      <x:c r="F52" s="199" t="str">
        <x:v>BG2</x:v>
      </x:c>
      <x:c r="G52" s="199" t="str">
        <x:v>All</x:v>
      </x:c>
      <x:c r="H52" s="206"/>
      <x:c r="I52" s="206"/>
      <x:c r="J52" s="199" t="str">
        <x:v>none</x:v>
      </x:c>
      <x:c r="K52" s="200" t="b">
        <x:v>1</x:v>
      </x:c>
      <x:c r="L52" s="201" t="str">
        <x:v>assumed</x:v>
      </x:c>
      <x:c r="M52" s="201" t="str">
        <x:v>E</x:v>
      </x:c>
      <x:c r="N52" s="199"/>
      <x:c r="O52" s="199" t="str">
        <x:v>Class-E structural placeholder; replace with measured, experimental, literature, or vendor data before scientific, design, economic, or configuration-selection interpretation.</x:v>
      </x:c>
      <x:c r="P52" s="199"/>
      <x:c r="Q52" s="199" t="str">
        <x:v>assumed</x:v>
      </x:c>
      <x:c r="R52" s="199" t="n">
        <x:v>100</x:v>
      </x:c>
      <x:c r="S52" s="202" t="b">
        <x:v>1</x:v>
      </x:c>
      <x:c r="T52" s="199" t="n">
        <x:v>6</x:v>
      </x:c>
      <x:c r="U52" s="199" t="str">
        <x:v>LIM-P6-007</x:v>
      </x:c>
    </x:row>
    <x:row r="53">
      <x:c r="A53" s="197" t="str">
        <x:v>BG2_water</x:v>
      </x:c>
      <x:c r="B53" s="197" t="str">
        <x:v>Absorber pressure</x:v>
      </x:c>
      <x:c r="C53" s="197" t="str">
        <x:v>water_scrubber_absorber_pressure_bar</x:v>
      </x:c>
      <x:c r="D53" s="205" t="n">
        <x:v>10</x:v>
      </x:c>
      <x:c r="E53" s="199" t="str">
        <x:v>bar</x:v>
      </x:c>
      <x:c r="F53" s="199" t="str">
        <x:v>BG2</x:v>
      </x:c>
      <x:c r="G53" s="199" t="str">
        <x:v>All</x:v>
      </x:c>
      <x:c r="H53" s="206" t="n">
        <x:v>0.000001</x:v>
      </x:c>
      <x:c r="I53" s="206" t="n">
        <x:v>100</x:v>
      </x:c>
      <x:c r="J53" s="199" t="str">
        <x:v>none</x:v>
      </x:c>
      <x:c r="K53" s="200" t="b">
        <x:v>1</x:v>
      </x:c>
      <x:c r="L53" s="201" t="str">
        <x:v>assumed</x:v>
      </x:c>
      <x:c r="M53" s="201" t="str">
        <x:v>E</x:v>
      </x:c>
      <x:c r="N53" s="199"/>
      <x:c r="O53" s="199" t="str">
        <x:v>Class-E structural placeholder; replace with measured, experimental, literature, or vendor data before scientific, design, economic, or configuration-selection interpretation.</x:v>
      </x:c>
      <x:c r="P53" s="199"/>
      <x:c r="Q53" s="199" t="str">
        <x:v>assumed</x:v>
      </x:c>
      <x:c r="R53" s="199" t="n">
        <x:v>100</x:v>
      </x:c>
      <x:c r="S53" s="202" t="b">
        <x:v>1</x:v>
      </x:c>
      <x:c r="T53" s="199" t="n">
        <x:v>6</x:v>
      </x:c>
      <x:c r="U53" s="199" t="str">
        <x:v>LIM-P6-007</x:v>
      </x:c>
    </x:row>
    <x:row r="54">
      <x:c r="A54" s="197" t="str">
        <x:v>BG2_water</x:v>
      </x:c>
      <x:c r="B54" s="197" t="str">
        <x:v>C611 efficiency</x:v>
      </x:c>
      <x:c r="C54" s="197" t="str">
        <x:v>water_scrubber_compressor_efficiency</x:v>
      </x:c>
      <x:c r="D54" s="205" t="n">
        <x:v>0.75</x:v>
      </x:c>
      <x:c r="E54" s="199" t="str">
        <x:v>fraction</x:v>
      </x:c>
      <x:c r="F54" s="199" t="str">
        <x:v>BG2</x:v>
      </x:c>
      <x:c r="G54" s="199" t="str">
        <x:v>All</x:v>
      </x:c>
      <x:c r="H54" s="206" t="n">
        <x:v>0.000001</x:v>
      </x:c>
      <x:c r="I54" s="206" t="n">
        <x:v>1</x:v>
      </x:c>
      <x:c r="J54" s="199" t="str">
        <x:v>none</x:v>
      </x:c>
      <x:c r="K54" s="200" t="b">
        <x:v>1</x:v>
      </x:c>
      <x:c r="L54" s="201" t="str">
        <x:v>assumed</x:v>
      </x:c>
      <x:c r="M54" s="201" t="str">
        <x:v>E</x:v>
      </x:c>
      <x:c r="N54" s="199"/>
      <x:c r="O54" s="199" t="str">
        <x:v>Class-E structural placeholder; replace with measured, experimental, literature, or vendor data before scientific, design, economic, or configuration-selection interpretation.</x:v>
      </x:c>
      <x:c r="P54" s="199"/>
      <x:c r="Q54" s="199" t="str">
        <x:v>assumed</x:v>
      </x:c>
      <x:c r="R54" s="199" t="n">
        <x:v>100</x:v>
      </x:c>
      <x:c r="S54" s="202" t="b">
        <x:v>1</x:v>
      </x:c>
      <x:c r="T54" s="199" t="n">
        <x:v>6</x:v>
      </x:c>
      <x:c r="U54" s="199" t="str">
        <x:v>LIM-P6-007</x:v>
      </x:c>
    </x:row>
    <x:row r="55">
      <x:c r="A55" s="197" t="str">
        <x:v>BG2_water</x:v>
      </x:c>
      <x:c r="B55" s="197" t="str">
        <x:v>Absorber temperature</x:v>
      </x:c>
      <x:c r="C55" s="197" t="str">
        <x:v>water_scrubber_absorber_temperature_c</x:v>
      </x:c>
      <x:c r="D55" s="205" t="n">
        <x:v>15</x:v>
      </x:c>
      <x:c r="E55" s="199" t="str">
        <x:v>degC</x:v>
      </x:c>
      <x:c r="F55" s="199" t="str">
        <x:v>BG2</x:v>
      </x:c>
      <x:c r="G55" s="199" t="str">
        <x:v>All</x:v>
      </x:c>
      <x:c r="H55" s="206" t="n">
        <x:v>-20</x:v>
      </x:c>
      <x:c r="I55" s="206" t="n">
        <x:v>80</x:v>
      </x:c>
      <x:c r="J55" s="199" t="str">
        <x:v>none</x:v>
      </x:c>
      <x:c r="K55" s="200" t="b">
        <x:v>1</x:v>
      </x:c>
      <x:c r="L55" s="201" t="str">
        <x:v>assumed</x:v>
      </x:c>
      <x:c r="M55" s="201" t="str">
        <x:v>E</x:v>
      </x:c>
      <x:c r="N55" s="199"/>
      <x:c r="O55" s="199" t="str">
        <x:v>Class-E structural placeholder; replace with measured, experimental, literature, or vendor data before scientific, design, economic, or configuration-selection interpretation.</x:v>
      </x:c>
      <x:c r="P55" s="199"/>
      <x:c r="Q55" s="199" t="str">
        <x:v>assumed</x:v>
      </x:c>
      <x:c r="R55" s="199" t="n">
        <x:v>100</x:v>
      </x:c>
      <x:c r="S55" s="202" t="b">
        <x:v>1</x:v>
      </x:c>
      <x:c r="T55" s="199" t="n">
        <x:v>6</x:v>
      </x:c>
      <x:c r="U55" s="199" t="str">
        <x:v>LIM-P6-007</x:v>
      </x:c>
    </x:row>
    <x:row r="56">
      <x:c r="A56" s="197" t="str">
        <x:v>BG2_water</x:v>
      </x:c>
      <x:c r="B56" s="197" t="str">
        <x:v>Water circulation mode</x:v>
      </x:c>
      <x:c r="C56" s="197" t="str">
        <x:v>water_scrubber_water_mode</x:v>
      </x:c>
      <x:c r="D56" s="205" t="str">
        <x:v>partial_recycle</x:v>
      </x:c>
      <x:c r="E56" s="199" t="str">
        <x:v>mode</x:v>
      </x:c>
      <x:c r="F56" s="199" t="str">
        <x:v>BG2</x:v>
      </x:c>
      <x:c r="G56" s="199" t="str">
        <x:v>All</x:v>
      </x:c>
      <x:c r="H56" s="206"/>
      <x:c r="I56" s="206"/>
      <x:c r="J56" s="199" t="str">
        <x:v>none</x:v>
      </x:c>
      <x:c r="K56" s="200" t="b">
        <x:v>1</x:v>
      </x:c>
      <x:c r="L56" s="201" t="str">
        <x:v>assumed</x:v>
      </x:c>
      <x:c r="M56" s="201" t="str">
        <x:v>E</x:v>
      </x:c>
      <x:c r="N56" s="199"/>
      <x:c r="O56" s="199" t="str">
        <x:v>Class-E structural placeholder; replace with measured, experimental, literature, or vendor data before scientific, design, economic, or configuration-selection interpretation.</x:v>
      </x:c>
      <x:c r="P56" s="199"/>
      <x:c r="Q56" s="199" t="str">
        <x:v>assumed</x:v>
      </x:c>
      <x:c r="R56" s="199" t="n">
        <x:v>100</x:v>
      </x:c>
      <x:c r="S56" s="202" t="b">
        <x:v>1</x:v>
      </x:c>
      <x:c r="T56" s="199" t="n">
        <x:v>6</x:v>
      </x:c>
      <x:c r="U56" s="199" t="str">
        <x:v>LIM-P6-007</x:v>
      </x:c>
    </x:row>
    <x:row r="57">
      <x:c r="A57" s="197" t="str">
        <x:v>BG2_water</x:v>
      </x:c>
      <x:c r="B57" s="197" t="str">
        <x:v>Gross water-to-gas ratio</x:v>
      </x:c>
      <x:c r="C57" s="197" t="str">
        <x:v>water_scrubber_water_to_gas_kg_nm3</x:v>
      </x:c>
      <x:c r="D57" s="205" t="n">
        <x:v>3</x:v>
      </x:c>
      <x:c r="E57" s="199" t="str">
        <x:v>kg/Nm3</x:v>
      </x:c>
      <x:c r="F57" s="199" t="str">
        <x:v>BG2</x:v>
      </x:c>
      <x:c r="G57" s="199" t="str">
        <x:v>All</x:v>
      </x:c>
      <x:c r="H57" s="206" t="n">
        <x:v>0.000001</x:v>
      </x:c>
      <x:c r="I57" s="206" t="n">
        <x:v>1000</x:v>
      </x:c>
      <x:c r="J57" s="199" t="str">
        <x:v>none</x:v>
      </x:c>
      <x:c r="K57" s="200" t="b">
        <x:v>1</x:v>
      </x:c>
      <x:c r="L57" s="201" t="str">
        <x:v>assumed</x:v>
      </x:c>
      <x:c r="M57" s="201" t="str">
        <x:v>E</x:v>
      </x:c>
      <x:c r="N57" s="199"/>
      <x:c r="O57" s="199" t="str">
        <x:v>Class-E structural placeholder; replace with measured, experimental, literature, or vendor data before scientific, design, economic, or configuration-selection interpretation.</x:v>
      </x:c>
      <x:c r="P57" s="199"/>
      <x:c r="Q57" s="199" t="str">
        <x:v>assumed</x:v>
      </x:c>
      <x:c r="R57" s="199" t="n">
        <x:v>100</x:v>
      </x:c>
      <x:c r="S57" s="202" t="b">
        <x:v>1</x:v>
      </x:c>
      <x:c r="T57" s="199" t="n">
        <x:v>6</x:v>
      </x:c>
      <x:c r="U57" s="199" t="str">
        <x:v>LIM-P6-007</x:v>
      </x:c>
    </x:row>
    <x:row r="58">
      <x:c r="A58" s="197" t="str">
        <x:v>BG2_water</x:v>
      </x:c>
      <x:c r="B58" s="197" t="str">
        <x:v>Reference water-to-gas ratio</x:v>
      </x:c>
      <x:c r="C58" s="197" t="str">
        <x:v>water_scrubber_reference_water_to_gas_kg_nm3</x:v>
      </x:c>
      <x:c r="D58" s="205" t="n">
        <x:v>3</x:v>
      </x:c>
      <x:c r="E58" s="199" t="str">
        <x:v>kg/Nm3</x:v>
      </x:c>
      <x:c r="F58" s="199" t="str">
        <x:v>BG2</x:v>
      </x:c>
      <x:c r="G58" s="199" t="str">
        <x:v>All</x:v>
      </x:c>
      <x:c r="H58" s="206" t="n">
        <x:v>0.000001</x:v>
      </x:c>
      <x:c r="I58" s="206" t="n">
        <x:v>1000</x:v>
      </x:c>
      <x:c r="J58" s="199" t="str">
        <x:v>none</x:v>
      </x:c>
      <x:c r="K58" s="200" t="b">
        <x:v>1</x:v>
      </x:c>
      <x:c r="L58" s="201" t="str">
        <x:v>assumed</x:v>
      </x:c>
      <x:c r="M58" s="201" t="str">
        <x:v>E</x:v>
      </x:c>
      <x:c r="N58" s="199"/>
      <x:c r="O58" s="199" t="str">
        <x:v>Class-E structural placeholder; replace with measured, experimental, literature, or vendor data before scientific, design, economic, or configuration-selection interpretation.</x:v>
      </x:c>
      <x:c r="P58" s="199"/>
      <x:c r="Q58" s="199" t="str">
        <x:v>assumed</x:v>
      </x:c>
      <x:c r="R58" s="199" t="n">
        <x:v>100</x:v>
      </x:c>
      <x:c r="S58" s="202" t="b">
        <x:v>1</x:v>
      </x:c>
      <x:c r="T58" s="199" t="n">
        <x:v>6</x:v>
      </x:c>
      <x:c r="U58" s="199" t="str">
        <x:v>LIM-P6-007</x:v>
      </x:c>
    </x:row>
    <x:row r="59">
      <x:c r="A59" s="197" t="str">
        <x:v>BG2_water</x:v>
      </x:c>
      <x:c r="B59" s="197" t="str">
        <x:v>Reference pressure</x:v>
      </x:c>
      <x:c r="C59" s="197" t="str">
        <x:v>water_scrubber_reference_pressure_bar</x:v>
      </x:c>
      <x:c r="D59" s="205" t="n">
        <x:v>10</x:v>
      </x:c>
      <x:c r="E59" s="199" t="str">
        <x:v>bar</x:v>
      </x:c>
      <x:c r="F59" s="199" t="str">
        <x:v>BG2</x:v>
      </x:c>
      <x:c r="G59" s="199" t="str">
        <x:v>All</x:v>
      </x:c>
      <x:c r="H59" s="206" t="n">
        <x:v>0.000001</x:v>
      </x:c>
      <x:c r="I59" s="206" t="n">
        <x:v>100</x:v>
      </x:c>
      <x:c r="J59" s="199" t="str">
        <x:v>none</x:v>
      </x:c>
      <x:c r="K59" s="200" t="b">
        <x:v>1</x:v>
      </x:c>
      <x:c r="L59" s="201" t="str">
        <x:v>assumed</x:v>
      </x:c>
      <x:c r="M59" s="201" t="str">
        <x:v>E</x:v>
      </x:c>
      <x:c r="N59" s="199"/>
      <x:c r="O59" s="199" t="str">
        <x:v>Class-E structural placeholder; replace with measured, experimental, literature, or vendor data before scientific, design, economic, or configuration-selection interpretation.</x:v>
      </x:c>
      <x:c r="P59" s="199"/>
      <x:c r="Q59" s="199" t="str">
        <x:v>assumed</x:v>
      </x:c>
      <x:c r="R59" s="199" t="n">
        <x:v>100</x:v>
      </x:c>
      <x:c r="S59" s="202" t="b">
        <x:v>1</x:v>
      </x:c>
      <x:c r="T59" s="199" t="n">
        <x:v>6</x:v>
      </x:c>
      <x:c r="U59" s="199" t="str">
        <x:v>LIM-P6-007</x:v>
      </x:c>
    </x:row>
    <x:row r="60">
      <x:c r="A60" s="197" t="str">
        <x:v>BG2_water</x:v>
      </x:c>
      <x:c r="B60" s="197" t="str">
        <x:v>Reference temperature</x:v>
      </x:c>
      <x:c r="C60" s="197" t="str">
        <x:v>water_scrubber_reference_temperature_c</x:v>
      </x:c>
      <x:c r="D60" s="205" t="n">
        <x:v>15</x:v>
      </x:c>
      <x:c r="E60" s="199" t="str">
        <x:v>degC</x:v>
      </x:c>
      <x:c r="F60" s="199" t="str">
        <x:v>BG2</x:v>
      </x:c>
      <x:c r="G60" s="199" t="str">
        <x:v>All</x:v>
      </x:c>
      <x:c r="H60" s="206" t="n">
        <x:v>-20</x:v>
      </x:c>
      <x:c r="I60" s="206" t="n">
        <x:v>80</x:v>
      </x:c>
      <x:c r="J60" s="199" t="str">
        <x:v>none</x:v>
      </x:c>
      <x:c r="K60" s="200" t="b">
        <x:v>1</x:v>
      </x:c>
      <x:c r="L60" s="201" t="str">
        <x:v>assumed</x:v>
      </x:c>
      <x:c r="M60" s="201" t="str">
        <x:v>E</x:v>
      </x:c>
      <x:c r="N60" s="199"/>
      <x:c r="O60" s="199" t="str">
        <x:v>Class-E structural placeholder; replace with measured, experimental, literature, or vendor data before scientific, design, economic, or configuration-selection interpretation.</x:v>
      </x:c>
      <x:c r="P60" s="199"/>
      <x:c r="Q60" s="199" t="str">
        <x:v>assumed</x:v>
      </x:c>
      <x:c r="R60" s="199" t="n">
        <x:v>100</x:v>
      </x:c>
      <x:c r="S60" s="202" t="b">
        <x:v>1</x:v>
      </x:c>
      <x:c r="T60" s="199" t="n">
        <x:v>6</x:v>
      </x:c>
      <x:c r="U60" s="199" t="str">
        <x:v>LIM-P6-007</x:v>
      </x:c>
    </x:row>
    <x:row r="61">
      <x:c r="A61" s="197" t="str">
        <x:v>BG2_water</x:v>
      </x:c>
      <x:c r="B61" s="197" t="str">
        <x:v>Temperature response coefficient</x:v>
      </x:c>
      <x:c r="C61" s="197" t="str">
        <x:v>water_scrubber_temperature_coefficient_per_c</x:v>
      </x:c>
      <x:c r="D61" s="205" t="n">
        <x:v>0.02</x:v>
      </x:c>
      <x:c r="E61" s="199" t="str">
        <x:v>1/degC</x:v>
      </x:c>
      <x:c r="F61" s="199" t="str">
        <x:v>BG2</x:v>
      </x:c>
      <x:c r="G61" s="199" t="str">
        <x:v>All</x:v>
      </x:c>
      <x:c r="H61" s="206" t="n">
        <x:v>-1</x:v>
      </x:c>
      <x:c r="I61" s="206" t="n">
        <x:v>1</x:v>
      </x:c>
      <x:c r="J61" s="199" t="str">
        <x:v>none</x:v>
      </x:c>
      <x:c r="K61" s="200" t="b">
        <x:v>1</x:v>
      </x:c>
      <x:c r="L61" s="201" t="str">
        <x:v>assumed</x:v>
      </x:c>
      <x:c r="M61" s="201" t="str">
        <x:v>E</x:v>
      </x:c>
      <x:c r="N61" s="199"/>
      <x:c r="O61" s="199" t="str">
        <x:v>Class-E structural placeholder; replace with measured, experimental, literature, or vendor data before scientific, design, economic, or configuration-selection interpretation.</x:v>
      </x:c>
      <x:c r="P61" s="199"/>
      <x:c r="Q61" s="199" t="str">
        <x:v>assumed</x:v>
      </x:c>
      <x:c r="R61" s="199" t="n">
        <x:v>100</x:v>
      </x:c>
      <x:c r="S61" s="202" t="b">
        <x:v>1</x:v>
      </x:c>
      <x:c r="T61" s="199" t="n">
        <x:v>6</x:v>
      </x:c>
      <x:c r="U61" s="199" t="str">
        <x:v>LIM-P6-007</x:v>
      </x:c>
    </x:row>
    <x:row r="62">
      <x:c r="A62" s="197" t="str">
        <x:v>BG2_water</x:v>
      </x:c>
      <x:c r="B62" s="197" t="str">
        <x:v>Reference CO2 absorption</x:v>
      </x:c>
      <x:c r="C62" s="197" t="str">
        <x:v>water_scrubber_co2_absorption_fraction</x:v>
      </x:c>
      <x:c r="D62" s="205" t="n">
        <x:v>0.92</x:v>
      </x:c>
      <x:c r="E62" s="199" t="str">
        <x:v>fraction</x:v>
      </x:c>
      <x:c r="F62" s="199" t="str">
        <x:v>BG2</x:v>
      </x:c>
      <x:c r="G62" s="199" t="str">
        <x:v>All</x:v>
      </x:c>
      <x:c r="H62" s="206" t="n">
        <x:v>0</x:v>
      </x:c>
      <x:c r="I62" s="206" t="n">
        <x:v>1</x:v>
      </x:c>
      <x:c r="J62" s="199" t="str">
        <x:v>none</x:v>
      </x:c>
      <x:c r="K62" s="200" t="b">
        <x:v>1</x:v>
      </x:c>
      <x:c r="L62" s="201" t="str">
        <x:v>assumed</x:v>
      </x:c>
      <x:c r="M62" s="201" t="str">
        <x:v>E</x:v>
      </x:c>
      <x:c r="N62" s="199"/>
      <x:c r="O62" s="199" t="str">
        <x:v>Class-E structural placeholder; replace with measured, experimental, literature, or vendor data before scientific, design, economic, or configuration-selection interpretation.</x:v>
      </x:c>
      <x:c r="P62" s="199"/>
      <x:c r="Q62" s="199" t="str">
        <x:v>assumed</x:v>
      </x:c>
      <x:c r="R62" s="199" t="n">
        <x:v>100</x:v>
      </x:c>
      <x:c r="S62" s="202" t="b">
        <x:v>1</x:v>
      </x:c>
      <x:c r="T62" s="199" t="n">
        <x:v>6</x:v>
      </x:c>
      <x:c r="U62" s="199" t="str">
        <x:v>LIM-P6-007</x:v>
      </x:c>
    </x:row>
    <x:row r="63">
      <x:c r="A63" s="197" t="str">
        <x:v>BG2_water</x:v>
      </x:c>
      <x:c r="B63" s="197" t="str">
        <x:v>Reference methane absorption</x:v>
      </x:c>
      <x:c r="C63" s="197" t="str">
        <x:v>water_scrubber_methane_absorption_fraction</x:v>
      </x:c>
      <x:c r="D63" s="205" t="n">
        <x:v>0.02</x:v>
      </x:c>
      <x:c r="E63" s="199" t="str">
        <x:v>fraction</x:v>
      </x:c>
      <x:c r="F63" s="199" t="str">
        <x:v>BG2</x:v>
      </x:c>
      <x:c r="G63" s="199" t="str">
        <x:v>All</x:v>
      </x:c>
      <x:c r="H63" s="206" t="n">
        <x:v>0</x:v>
      </x:c>
      <x:c r="I63" s="206" t="n">
        <x:v>1</x:v>
      </x:c>
      <x:c r="J63" s="199" t="str">
        <x:v>none</x:v>
      </x:c>
      <x:c r="K63" s="200" t="b">
        <x:v>1</x:v>
      </x:c>
      <x:c r="L63" s="201" t="str">
        <x:v>assumed</x:v>
      </x:c>
      <x:c r="M63" s="201" t="str">
        <x:v>E</x:v>
      </x:c>
      <x:c r="N63" s="199"/>
      <x:c r="O63" s="199" t="str">
        <x:v>Class-E structural placeholder; replace with measured, experimental, literature, or vendor data before scientific, design, economic, or configuration-selection interpretation.</x:v>
      </x:c>
      <x:c r="P63" s="199"/>
      <x:c r="Q63" s="199" t="str">
        <x:v>assumed</x:v>
      </x:c>
      <x:c r="R63" s="199" t="n">
        <x:v>100</x:v>
      </x:c>
      <x:c r="S63" s="202" t="b">
        <x:v>1</x:v>
      </x:c>
      <x:c r="T63" s="199" t="n">
        <x:v>6</x:v>
      </x:c>
      <x:c r="U63" s="199" t="str">
        <x:v>LIM-P6-007</x:v>
      </x:c>
    </x:row>
    <x:row r="64">
      <x:c r="A64" s="197" t="str">
        <x:v>BG2_water</x:v>
      </x:c>
      <x:c r="B64" s="197" t="str">
        <x:v>Reference H2S absorption</x:v>
      </x:c>
      <x:c r="C64" s="197" t="str">
        <x:v>water_scrubber_h2s_absorption_fraction</x:v>
      </x:c>
      <x:c r="D64" s="205" t="n">
        <x:v>0.98</x:v>
      </x:c>
      <x:c r="E64" s="199" t="str">
        <x:v>fraction</x:v>
      </x:c>
      <x:c r="F64" s="199" t="str">
        <x:v>BG2</x:v>
      </x:c>
      <x:c r="G64" s="199" t="str">
        <x:v>All</x:v>
      </x:c>
      <x:c r="H64" s="206" t="n">
        <x:v>0</x:v>
      </x:c>
      <x:c r="I64" s="206" t="n">
        <x:v>1</x:v>
      </x:c>
      <x:c r="J64" s="199" t="str">
        <x:v>none</x:v>
      </x:c>
      <x:c r="K64" s="200" t="b">
        <x:v>1</x:v>
      </x:c>
      <x:c r="L64" s="201" t="str">
        <x:v>assumed</x:v>
      </x:c>
      <x:c r="M64" s="201" t="str">
        <x:v>E</x:v>
      </x:c>
      <x:c r="N64" s="199"/>
      <x:c r="O64" s="199" t="str">
        <x:v>Class-E structural placeholder; replace with measured, experimental, literature, or vendor data before scientific, design, economic, or configuration-selection interpretation.</x:v>
      </x:c>
      <x:c r="P64" s="199"/>
      <x:c r="Q64" s="199" t="str">
        <x:v>assumed</x:v>
      </x:c>
      <x:c r="R64" s="199" t="n">
        <x:v>100</x:v>
      </x:c>
      <x:c r="S64" s="202" t="b">
        <x:v>1</x:v>
      </x:c>
      <x:c r="T64" s="199" t="n">
        <x:v>6</x:v>
      </x:c>
      <x:c r="U64" s="199" t="str">
        <x:v>LIM-P6-007</x:v>
      </x:c>
    </x:row>
    <x:row r="65">
      <x:c r="A65" s="197" t="str">
        <x:v>BG2_water</x:v>
      </x:c>
      <x:c r="B65" s="197" t="str">
        <x:v>Reference ammonia absorption</x:v>
      </x:c>
      <x:c r="C65" s="197" t="str">
        <x:v>water_scrubber_ammonia_absorption_fraction</x:v>
      </x:c>
      <x:c r="D65" s="205" t="n">
        <x:v>0.99</x:v>
      </x:c>
      <x:c r="E65" s="199" t="str">
        <x:v>fraction</x:v>
      </x:c>
      <x:c r="F65" s="199" t="str">
        <x:v>BG2</x:v>
      </x:c>
      <x:c r="G65" s="199" t="str">
        <x:v>All</x:v>
      </x:c>
      <x:c r="H65" s="206" t="n">
        <x:v>0</x:v>
      </x:c>
      <x:c r="I65" s="206" t="n">
        <x:v>1</x:v>
      </x:c>
      <x:c r="J65" s="199" t="str">
        <x:v>none</x:v>
      </x:c>
      <x:c r="K65" s="200" t="b">
        <x:v>1</x:v>
      </x:c>
      <x:c r="L65" s="201" t="str">
        <x:v>assumed</x:v>
      </x:c>
      <x:c r="M65" s="201" t="str">
        <x:v>E</x:v>
      </x:c>
      <x:c r="N65" s="199"/>
      <x:c r="O65" s="199" t="str">
        <x:v>Class-E structural placeholder; replace with measured, experimental, literature, or vendor data before scientific, design, economic, or configuration-selection interpretation.</x:v>
      </x:c>
      <x:c r="P65" s="199"/>
      <x:c r="Q65" s="199" t="str">
        <x:v>assumed</x:v>
      </x:c>
      <x:c r="R65" s="199" t="n">
        <x:v>100</x:v>
      </x:c>
      <x:c r="S65" s="202" t="b">
        <x:v>1</x:v>
      </x:c>
      <x:c r="T65" s="199" t="n">
        <x:v>6</x:v>
      </x:c>
      <x:c r="U65" s="199" t="str">
        <x:v>LIM-P6-007</x:v>
      </x:c>
    </x:row>
    <x:row r="66">
      <x:c r="A66" s="197" t="str">
        <x:v>BG2_water</x:v>
      </x:c>
      <x:c r="B66" s="197" t="str">
        <x:v>A611 pressure drop</x:v>
      </x:c>
      <x:c r="C66" s="197" t="str">
        <x:v>water_scrubber_absorber_pressure_drop_pa</x:v>
      </x:c>
      <x:c r="D66" s="205" t="n">
        <x:v>20000</x:v>
      </x:c>
      <x:c r="E66" s="199" t="str">
        <x:v>Pa</x:v>
      </x:c>
      <x:c r="F66" s="199" t="str">
        <x:v>BG2</x:v>
      </x:c>
      <x:c r="G66" s="199" t="str">
        <x:v>All</x:v>
      </x:c>
      <x:c r="H66" s="206" t="n">
        <x:v>0</x:v>
      </x:c>
      <x:c r="I66" s="206" t="n">
        <x:v>1000000</x:v>
      </x:c>
      <x:c r="J66" s="199" t="str">
        <x:v>none</x:v>
      </x:c>
      <x:c r="K66" s="200" t="b">
        <x:v>1</x:v>
      </x:c>
      <x:c r="L66" s="201" t="str">
        <x:v>assumed</x:v>
      </x:c>
      <x:c r="M66" s="201" t="str">
        <x:v>E</x:v>
      </x:c>
      <x:c r="N66" s="199"/>
      <x:c r="O66" s="199" t="str">
        <x:v>Class-E structural placeholder; replace with measured, experimental, literature, or vendor data before scientific, design, economic, or configuration-selection interpretation.</x:v>
      </x:c>
      <x:c r="P66" s="199"/>
      <x:c r="Q66" s="199" t="str">
        <x:v>assumed</x:v>
      </x:c>
      <x:c r="R66" s="199" t="n">
        <x:v>100</x:v>
      </x:c>
      <x:c r="S66" s="202" t="b">
        <x:v>1</x:v>
      </x:c>
      <x:c r="T66" s="199" t="n">
        <x:v>6</x:v>
      </x:c>
      <x:c r="U66" s="199" t="str">
        <x:v>LIM-P6-007</x:v>
      </x:c>
    </x:row>
    <x:row r="67">
      <x:c r="A67" s="197" t="str">
        <x:v>BG2_water</x:v>
      </x:c>
      <x:c r="B67" s="197" t="str">
        <x:v>V612 flash pressure</x:v>
      </x:c>
      <x:c r="C67" s="197" t="str">
        <x:v>water_scrubber_flash_pressure_bar</x:v>
      </x:c>
      <x:c r="D67" s="205" t="n">
        <x:v>2</x:v>
      </x:c>
      <x:c r="E67" s="199" t="str">
        <x:v>bar</x:v>
      </x:c>
      <x:c r="F67" s="199" t="str">
        <x:v>BG2</x:v>
      </x:c>
      <x:c r="G67" s="199" t="str">
        <x:v>All</x:v>
      </x:c>
      <x:c r="H67" s="206" t="n">
        <x:v>0.000001</x:v>
      </x:c>
      <x:c r="I67" s="206" t="n">
        <x:v>100</x:v>
      </x:c>
      <x:c r="J67" s="199" t="str">
        <x:v>none</x:v>
      </x:c>
      <x:c r="K67" s="200" t="b">
        <x:v>1</x:v>
      </x:c>
      <x:c r="L67" s="201" t="str">
        <x:v>assumed</x:v>
      </x:c>
      <x:c r="M67" s="201" t="str">
        <x:v>E</x:v>
      </x:c>
      <x:c r="N67" s="199"/>
      <x:c r="O67" s="199" t="str">
        <x:v>Class-E structural placeholder; replace with measured, experimental, literature, or vendor data before scientific, design, economic, or configuration-selection interpretation.</x:v>
      </x:c>
      <x:c r="P67" s="199"/>
      <x:c r="Q67" s="199" t="str">
        <x:v>assumed</x:v>
      </x:c>
      <x:c r="R67" s="199" t="n">
        <x:v>100</x:v>
      </x:c>
      <x:c r="S67" s="202" t="b">
        <x:v>1</x:v>
      </x:c>
      <x:c r="T67" s="199" t="n">
        <x:v>6</x:v>
      </x:c>
      <x:c r="U67" s="199" t="str">
        <x:v>LIM-P6-007</x:v>
      </x:c>
    </x:row>
    <x:row r="68">
      <x:c r="A68" s="197" t="str">
        <x:v>BG2_water</x:v>
      </x:c>
      <x:c r="B68" s="197" t="str">
        <x:v>V612 CO2 release</x:v>
      </x:c>
      <x:c r="C68" s="197" t="str">
        <x:v>water_scrubber_flash_release_co2_fraction</x:v>
      </x:c>
      <x:c r="D68" s="205" t="n">
        <x:v>0.15</x:v>
      </x:c>
      <x:c r="E68" s="199" t="str">
        <x:v>fraction</x:v>
      </x:c>
      <x:c r="F68" s="199" t="str">
        <x:v>BG2</x:v>
      </x:c>
      <x:c r="G68" s="199" t="str">
        <x:v>All</x:v>
      </x:c>
      <x:c r="H68" s="206" t="n">
        <x:v>0</x:v>
      </x:c>
      <x:c r="I68" s="206" t="n">
        <x:v>1</x:v>
      </x:c>
      <x:c r="J68" s="199" t="str">
        <x:v>none</x:v>
      </x:c>
      <x:c r="K68" s="200" t="b">
        <x:v>1</x:v>
      </x:c>
      <x:c r="L68" s="201" t="str">
        <x:v>assumed</x:v>
      </x:c>
      <x:c r="M68" s="201" t="str">
        <x:v>E</x:v>
      </x:c>
      <x:c r="N68" s="199"/>
      <x:c r="O68" s="199" t="str">
        <x:v>Class-E structural placeholder; replace with measured, experimental, literature, or vendor data before scientific, design, economic, or configuration-selection interpretation.</x:v>
      </x:c>
      <x:c r="P68" s="199"/>
      <x:c r="Q68" s="199" t="str">
        <x:v>assumed</x:v>
      </x:c>
      <x:c r="R68" s="199" t="n">
        <x:v>100</x:v>
      </x:c>
      <x:c r="S68" s="202" t="b">
        <x:v>1</x:v>
      </x:c>
      <x:c r="T68" s="199" t="n">
        <x:v>6</x:v>
      </x:c>
      <x:c r="U68" s="199" t="str">
        <x:v>LIM-P6-007</x:v>
      </x:c>
    </x:row>
    <x:row r="69">
      <x:c r="A69" s="197" t="str">
        <x:v>BG2_water</x:v>
      </x:c>
      <x:c r="B69" s="197" t="str">
        <x:v>V612 methane release</x:v>
      </x:c>
      <x:c r="C69" s="197" t="str">
        <x:v>water_scrubber_flash_release_methane_fraction</x:v>
      </x:c>
      <x:c r="D69" s="205" t="n">
        <x:v>0.75</x:v>
      </x:c>
      <x:c r="E69" s="199" t="str">
        <x:v>fraction</x:v>
      </x:c>
      <x:c r="F69" s="199" t="str">
        <x:v>BG2</x:v>
      </x:c>
      <x:c r="G69" s="199" t="str">
        <x:v>All</x:v>
      </x:c>
      <x:c r="H69" s="206" t="n">
        <x:v>0</x:v>
      </x:c>
      <x:c r="I69" s="206" t="n">
        <x:v>1</x:v>
      </x:c>
      <x:c r="J69" s="199" t="str">
        <x:v>none</x:v>
      </x:c>
      <x:c r="K69" s="200" t="b">
        <x:v>1</x:v>
      </x:c>
      <x:c r="L69" s="201" t="str">
        <x:v>assumed</x:v>
      </x:c>
      <x:c r="M69" s="201" t="str">
        <x:v>E</x:v>
      </x:c>
      <x:c r="N69" s="199"/>
      <x:c r="O69" s="199" t="str">
        <x:v>Class-E structural placeholder; replace with measured, experimental, literature, or vendor data before scientific, design, economic, or configuration-selection interpretation.</x:v>
      </x:c>
      <x:c r="P69" s="199"/>
      <x:c r="Q69" s="199" t="str">
        <x:v>assumed</x:v>
      </x:c>
      <x:c r="R69" s="199" t="n">
        <x:v>100</x:v>
      </x:c>
      <x:c r="S69" s="202" t="b">
        <x:v>1</x:v>
      </x:c>
      <x:c r="T69" s="199" t="n">
        <x:v>6</x:v>
      </x:c>
      <x:c r="U69" s="199" t="str">
        <x:v>LIM-P6-007</x:v>
      </x:c>
    </x:row>
    <x:row r="70">
      <x:c r="A70" s="197" t="str">
        <x:v>BG2_water</x:v>
      </x:c>
      <x:c r="B70" s="197" t="str">
        <x:v>V612 H2S release</x:v>
      </x:c>
      <x:c r="C70" s="197" t="str">
        <x:v>water_scrubber_flash_release_h2s_fraction</x:v>
      </x:c>
      <x:c r="D70" s="205" t="n">
        <x:v>0.2</x:v>
      </x:c>
      <x:c r="E70" s="199" t="str">
        <x:v>fraction</x:v>
      </x:c>
      <x:c r="F70" s="199" t="str">
        <x:v>BG2</x:v>
      </x:c>
      <x:c r="G70" s="199" t="str">
        <x:v>All</x:v>
      </x:c>
      <x:c r="H70" s="206" t="n">
        <x:v>0</x:v>
      </x:c>
      <x:c r="I70" s="206" t="n">
        <x:v>1</x:v>
      </x:c>
      <x:c r="J70" s="199" t="str">
        <x:v>none</x:v>
      </x:c>
      <x:c r="K70" s="200" t="b">
        <x:v>1</x:v>
      </x:c>
      <x:c r="L70" s="201" t="str">
        <x:v>assumed</x:v>
      </x:c>
      <x:c r="M70" s="201" t="str">
        <x:v>E</x:v>
      </x:c>
      <x:c r="N70" s="199"/>
      <x:c r="O70" s="199" t="str">
        <x:v>Class-E structural placeholder; replace with measured, experimental, literature, or vendor data before scientific, design, economic, or configuration-selection interpretation.</x:v>
      </x:c>
      <x:c r="P70" s="199"/>
      <x:c r="Q70" s="199" t="str">
        <x:v>assumed</x:v>
      </x:c>
      <x:c r="R70" s="199" t="n">
        <x:v>100</x:v>
      </x:c>
      <x:c r="S70" s="202" t="b">
        <x:v>1</x:v>
      </x:c>
      <x:c r="T70" s="199" t="n">
        <x:v>6</x:v>
      </x:c>
      <x:c r="U70" s="199" t="str">
        <x:v>LIM-P6-007</x:v>
      </x:c>
    </x:row>
    <x:row r="71">
      <x:c r="A71" s="197" t="str">
        <x:v>BG2_water</x:v>
      </x:c>
      <x:c r="B71" s="197" t="str">
        <x:v>V612 ammonia release</x:v>
      </x:c>
      <x:c r="C71" s="197" t="str">
        <x:v>water_scrubber_flash_release_ammonia_fraction</x:v>
      </x:c>
      <x:c r="D71" s="205" t="n">
        <x:v>0.2</x:v>
      </x:c>
      <x:c r="E71" s="199" t="str">
        <x:v>fraction</x:v>
      </x:c>
      <x:c r="F71" s="199" t="str">
        <x:v>BG2</x:v>
      </x:c>
      <x:c r="G71" s="199" t="str">
        <x:v>All</x:v>
      </x:c>
      <x:c r="H71" s="206" t="n">
        <x:v>0</x:v>
      </x:c>
      <x:c r="I71" s="206" t="n">
        <x:v>1</x:v>
      </x:c>
      <x:c r="J71" s="199" t="str">
        <x:v>none</x:v>
      </x:c>
      <x:c r="K71" s="200" t="b">
        <x:v>1</x:v>
      </x:c>
      <x:c r="L71" s="201" t="str">
        <x:v>assumed</x:v>
      </x:c>
      <x:c r="M71" s="201" t="str">
        <x:v>E</x:v>
      </x:c>
      <x:c r="N71" s="199"/>
      <x:c r="O71" s="199" t="str">
        <x:v>Class-E structural placeholder; replace with measured, experimental, literature, or vendor data before scientific, design, economic, or configuration-selection interpretation.</x:v>
      </x:c>
      <x:c r="P71" s="199"/>
      <x:c r="Q71" s="199" t="str">
        <x:v>assumed</x:v>
      </x:c>
      <x:c r="R71" s="199" t="n">
        <x:v>100</x:v>
      </x:c>
      <x:c r="S71" s="202" t="b">
        <x:v>1</x:v>
      </x:c>
      <x:c r="T71" s="199" t="n">
        <x:v>6</x:v>
      </x:c>
      <x:c r="U71" s="199" t="str">
        <x:v>LIM-P6-007</x:v>
      </x:c>
    </x:row>
    <x:row r="72">
      <x:c r="A72" s="197" t="str">
        <x:v>BG2_water</x:v>
      </x:c>
      <x:c r="B72" s="197" t="str">
        <x:v>A612 regeneration pressure</x:v>
      </x:c>
      <x:c r="C72" s="197" t="str">
        <x:v>water_scrubber_regeneration_pressure_bar</x:v>
      </x:c>
      <x:c r="D72" s="205" t="n">
        <x:v>1.05</x:v>
      </x:c>
      <x:c r="E72" s="199" t="str">
        <x:v>bar</x:v>
      </x:c>
      <x:c r="F72" s="199" t="str">
        <x:v>BG2</x:v>
      </x:c>
      <x:c r="G72" s="199" t="str">
        <x:v>All</x:v>
      </x:c>
      <x:c r="H72" s="206" t="n">
        <x:v>0.000001</x:v>
      </x:c>
      <x:c r="I72" s="206" t="n">
        <x:v>100</x:v>
      </x:c>
      <x:c r="J72" s="199" t="str">
        <x:v>none</x:v>
      </x:c>
      <x:c r="K72" s="200" t="b">
        <x:v>1</x:v>
      </x:c>
      <x:c r="L72" s="201" t="str">
        <x:v>assumed</x:v>
      </x:c>
      <x:c r="M72" s="201" t="str">
        <x:v>E</x:v>
      </x:c>
      <x:c r="N72" s="199"/>
      <x:c r="O72" s="199" t="str">
        <x:v>Class-E structural placeholder; replace with measured, experimental, literature, or vendor data before scientific, design, economic, or configuration-selection interpretation.</x:v>
      </x:c>
      <x:c r="P72" s="199"/>
      <x:c r="Q72" s="199" t="str">
        <x:v>assumed</x:v>
      </x:c>
      <x:c r="R72" s="199" t="n">
        <x:v>100</x:v>
      </x:c>
      <x:c r="S72" s="202" t="b">
        <x:v>1</x:v>
      </x:c>
      <x:c r="T72" s="199" t="n">
        <x:v>6</x:v>
      </x:c>
      <x:c r="U72" s="199" t="str">
        <x:v>LIM-P6-007</x:v>
      </x:c>
    </x:row>
    <x:row r="73">
      <x:c r="A73" s="197" t="str">
        <x:v>BG2_water</x:v>
      </x:c>
      <x:c r="B73" s="197" t="str">
        <x:v>A612 CO2 release</x:v>
      </x:c>
      <x:c r="C73" s="197" t="str">
        <x:v>water_scrubber_regeneration_release_co2_fraction</x:v>
      </x:c>
      <x:c r="D73" s="205" t="n">
        <x:v>0.98</x:v>
      </x:c>
      <x:c r="E73" s="199" t="str">
        <x:v>fraction</x:v>
      </x:c>
      <x:c r="F73" s="199" t="str">
        <x:v>BG2</x:v>
      </x:c>
      <x:c r="G73" s="199" t="str">
        <x:v>All</x:v>
      </x:c>
      <x:c r="H73" s="206" t="n">
        <x:v>0</x:v>
      </x:c>
      <x:c r="I73" s="206" t="n">
        <x:v>1</x:v>
      </x:c>
      <x:c r="J73" s="199" t="str">
        <x:v>none</x:v>
      </x:c>
      <x:c r="K73" s="200" t="b">
        <x:v>1</x:v>
      </x:c>
      <x:c r="L73" s="201" t="str">
        <x:v>assumed</x:v>
      </x:c>
      <x:c r="M73" s="201" t="str">
        <x:v>E</x:v>
      </x:c>
      <x:c r="N73" s="199"/>
      <x:c r="O73" s="199" t="str">
        <x:v>Class-E structural placeholder; replace with measured, experimental, literature, or vendor data before scientific, design, economic, or configuration-selection interpretation.</x:v>
      </x:c>
      <x:c r="P73" s="199"/>
      <x:c r="Q73" s="199" t="str">
        <x:v>assumed</x:v>
      </x:c>
      <x:c r="R73" s="199" t="n">
        <x:v>100</x:v>
      </x:c>
      <x:c r="S73" s="202" t="b">
        <x:v>1</x:v>
      </x:c>
      <x:c r="T73" s="199" t="n">
        <x:v>6</x:v>
      </x:c>
      <x:c r="U73" s="199" t="str">
        <x:v>LIM-P6-007</x:v>
      </x:c>
    </x:row>
    <x:row r="74">
      <x:c r="A74" s="197" t="str">
        <x:v>BG2_water</x:v>
      </x:c>
      <x:c r="B74" s="197" t="str">
        <x:v>A612 methane release</x:v>
      </x:c>
      <x:c r="C74" s="197" t="str">
        <x:v>water_scrubber_regeneration_release_methane_fraction</x:v>
      </x:c>
      <x:c r="D74" s="205" t="n">
        <x:v>0.7</x:v>
      </x:c>
      <x:c r="E74" s="199" t="str">
        <x:v>fraction</x:v>
      </x:c>
      <x:c r="F74" s="199" t="str">
        <x:v>BG2</x:v>
      </x:c>
      <x:c r="G74" s="199" t="str">
        <x:v>All</x:v>
      </x:c>
      <x:c r="H74" s="206" t="n">
        <x:v>0</x:v>
      </x:c>
      <x:c r="I74" s="206" t="n">
        <x:v>1</x:v>
      </x:c>
      <x:c r="J74" s="199" t="str">
        <x:v>none</x:v>
      </x:c>
      <x:c r="K74" s="200" t="b">
        <x:v>1</x:v>
      </x:c>
      <x:c r="L74" s="201" t="str">
        <x:v>assumed</x:v>
      </x:c>
      <x:c r="M74" s="201" t="str">
        <x:v>E</x:v>
      </x:c>
      <x:c r="N74" s="199"/>
      <x:c r="O74" s="199" t="str">
        <x:v>Class-E structural placeholder; replace with measured, experimental, literature, or vendor data before scientific, design, economic, or configuration-selection interpretation.</x:v>
      </x:c>
      <x:c r="P74" s="199"/>
      <x:c r="Q74" s="199" t="str">
        <x:v>assumed</x:v>
      </x:c>
      <x:c r="R74" s="199" t="n">
        <x:v>100</x:v>
      </x:c>
      <x:c r="S74" s="202" t="b">
        <x:v>1</x:v>
      </x:c>
      <x:c r="T74" s="199" t="n">
        <x:v>6</x:v>
      </x:c>
      <x:c r="U74" s="199" t="str">
        <x:v>LIM-P6-007</x:v>
      </x:c>
    </x:row>
    <x:row r="75">
      <x:c r="A75" s="197" t="str">
        <x:v>BG2_water</x:v>
      </x:c>
      <x:c r="B75" s="197" t="str">
        <x:v>A612 H2S release</x:v>
      </x:c>
      <x:c r="C75" s="197" t="str">
        <x:v>water_scrubber_regeneration_release_h2s_fraction</x:v>
      </x:c>
      <x:c r="D75" s="205" t="n">
        <x:v>0.95</x:v>
      </x:c>
      <x:c r="E75" s="199" t="str">
        <x:v>fraction</x:v>
      </x:c>
      <x:c r="F75" s="199" t="str">
        <x:v>BG2</x:v>
      </x:c>
      <x:c r="G75" s="199" t="str">
        <x:v>All</x:v>
      </x:c>
      <x:c r="H75" s="206" t="n">
        <x:v>0</x:v>
      </x:c>
      <x:c r="I75" s="206" t="n">
        <x:v>1</x:v>
      </x:c>
      <x:c r="J75" s="199" t="str">
        <x:v>none</x:v>
      </x:c>
      <x:c r="K75" s="200" t="b">
        <x:v>1</x:v>
      </x:c>
      <x:c r="L75" s="201" t="str">
        <x:v>assumed</x:v>
      </x:c>
      <x:c r="M75" s="201" t="str">
        <x:v>E</x:v>
      </x:c>
      <x:c r="N75" s="199"/>
      <x:c r="O75" s="199" t="str">
        <x:v>Class-E structural placeholder; replace with measured, experimental, literature, or vendor data before scientific, design, economic, or configuration-selection interpretation.</x:v>
      </x:c>
      <x:c r="P75" s="199"/>
      <x:c r="Q75" s="199" t="str">
        <x:v>assumed</x:v>
      </x:c>
      <x:c r="R75" s="199" t="n">
        <x:v>100</x:v>
      </x:c>
      <x:c r="S75" s="202" t="b">
        <x:v>1</x:v>
      </x:c>
      <x:c r="T75" s="199" t="n">
        <x:v>6</x:v>
      </x:c>
      <x:c r="U75" s="199" t="str">
        <x:v>LIM-P6-007</x:v>
      </x:c>
    </x:row>
    <x:row r="76">
      <x:c r="A76" s="197" t="str">
        <x:v>BG2_water</x:v>
      </x:c>
      <x:c r="B76" s="197" t="str">
        <x:v>A612 ammonia release</x:v>
      </x:c>
      <x:c r="C76" s="197" t="str">
        <x:v>water_scrubber_regeneration_release_ammonia_fraction</x:v>
      </x:c>
      <x:c r="D76" s="205" t="n">
        <x:v>0.95</x:v>
      </x:c>
      <x:c r="E76" s="199" t="str">
        <x:v>fraction</x:v>
      </x:c>
      <x:c r="F76" s="199" t="str">
        <x:v>BG2</x:v>
      </x:c>
      <x:c r="G76" s="199" t="str">
        <x:v>All</x:v>
      </x:c>
      <x:c r="H76" s="206" t="n">
        <x:v>0</x:v>
      </x:c>
      <x:c r="I76" s="206" t="n">
        <x:v>1</x:v>
      </x:c>
      <x:c r="J76" s="199" t="str">
        <x:v>none</x:v>
      </x:c>
      <x:c r="K76" s="200" t="b">
        <x:v>1</x:v>
      </x:c>
      <x:c r="L76" s="201" t="str">
        <x:v>assumed</x:v>
      </x:c>
      <x:c r="M76" s="201" t="str">
        <x:v>E</x:v>
      </x:c>
      <x:c r="N76" s="199"/>
      <x:c r="O76" s="199" t="str">
        <x:v>Class-E structural placeholder; replace with measured, experimental, literature, or vendor data before scientific, design, economic, or configuration-selection interpretation.</x:v>
      </x:c>
      <x:c r="P76" s="199"/>
      <x:c r="Q76" s="199" t="str">
        <x:v>assumed</x:v>
      </x:c>
      <x:c r="R76" s="199" t="n">
        <x:v>100</x:v>
      </x:c>
      <x:c r="S76" s="202" t="b">
        <x:v>1</x:v>
      </x:c>
      <x:c r="T76" s="199" t="n">
        <x:v>6</x:v>
      </x:c>
      <x:c r="U76" s="199" t="str">
        <x:v>LIM-P6-007</x:v>
      </x:c>
    </x:row>
    <x:row r="77">
      <x:c r="A77" s="197" t="str">
        <x:v>BG2_water</x:v>
      </x:c>
      <x:c r="B77" s="197" t="str">
        <x:v>Water purge fraction</x:v>
      </x:c>
      <x:c r="C77" s="197" t="str">
        <x:v>water_scrubber_purge_water_fraction</x:v>
      </x:c>
      <x:c r="D77" s="205" t="n">
        <x:v>0.05</x:v>
      </x:c>
      <x:c r="E77" s="199" t="str">
        <x:v>fraction</x:v>
      </x:c>
      <x:c r="F77" s="199" t="str">
        <x:v>BG2</x:v>
      </x:c>
      <x:c r="G77" s="199" t="str">
        <x:v>All</x:v>
      </x:c>
      <x:c r="H77" s="206" t="n">
        <x:v>0</x:v>
      </x:c>
      <x:c r="I77" s="206" t="n">
        <x:v>1</x:v>
      </x:c>
      <x:c r="J77" s="199" t="str">
        <x:v>none</x:v>
      </x:c>
      <x:c r="K77" s="200" t="b">
        <x:v>1</x:v>
      </x:c>
      <x:c r="L77" s="201" t="str">
        <x:v>assumed</x:v>
      </x:c>
      <x:c r="M77" s="201" t="str">
        <x:v>E</x:v>
      </x:c>
      <x:c r="N77" s="199"/>
      <x:c r="O77" s="199" t="str">
        <x:v>Class-E structural placeholder; replace with measured, experimental, literature, or vendor data before scientific, design, economic, or configuration-selection interpretation.</x:v>
      </x:c>
      <x:c r="P77" s="199"/>
      <x:c r="Q77" s="199" t="str">
        <x:v>assumed</x:v>
      </x:c>
      <x:c r="R77" s="199" t="n">
        <x:v>100</x:v>
      </x:c>
      <x:c r="S77" s="202" t="b">
        <x:v>1</x:v>
      </x:c>
      <x:c r="T77" s="199" t="n">
        <x:v>6</x:v>
      </x:c>
      <x:c r="U77" s="199" t="str">
        <x:v>LIM-P6-007</x:v>
      </x:c>
    </x:row>
    <x:row r="78">
      <x:c r="A78" s="197" t="str">
        <x:v>BG2_water</x:v>
      </x:c>
      <x:c r="B78" s="197" t="str">
        <x:v>Flash-gas recycle fraction</x:v>
      </x:c>
      <x:c r="C78" s="197" t="str">
        <x:v>water_scrubber_flash_gas_recycle_fraction</x:v>
      </x:c>
      <x:c r="D78" s="205" t="n">
        <x:v>0.8</x:v>
      </x:c>
      <x:c r="E78" s="199" t="str">
        <x:v>fraction</x:v>
      </x:c>
      <x:c r="F78" s="199" t="str">
        <x:v>BG2</x:v>
      </x:c>
      <x:c r="G78" s="199" t="str">
        <x:v>All</x:v>
      </x:c>
      <x:c r="H78" s="206" t="n">
        <x:v>0</x:v>
      </x:c>
      <x:c r="I78" s="206" t="n">
        <x:v>1</x:v>
      </x:c>
      <x:c r="J78" s="199" t="str">
        <x:v>none</x:v>
      </x:c>
      <x:c r="K78" s="200" t="b">
        <x:v>1</x:v>
      </x:c>
      <x:c r="L78" s="201" t="str">
        <x:v>assumed</x:v>
      </x:c>
      <x:c r="M78" s="201" t="str">
        <x:v>E</x:v>
      </x:c>
      <x:c r="N78" s="199"/>
      <x:c r="O78" s="199" t="str">
        <x:v>Class-E structural placeholder; replace with measured, experimental, literature, or vendor data before scientific, design, economic, or configuration-selection interpretation.</x:v>
      </x:c>
      <x:c r="P78" s="199"/>
      <x:c r="Q78" s="199" t="str">
        <x:v>assumed</x:v>
      </x:c>
      <x:c r="R78" s="199" t="n">
        <x:v>100</x:v>
      </x:c>
      <x:c r="S78" s="202" t="b">
        <x:v>1</x:v>
      </x:c>
      <x:c r="T78" s="199" t="n">
        <x:v>6</x:v>
      </x:c>
      <x:c r="U78" s="199" t="str">
        <x:v>LIM-P6-007</x:v>
      </x:c>
    </x:row>
    <x:row r="79">
      <x:c r="A79" s="197" t="str">
        <x:v>BG2_water</x:v>
      </x:c>
      <x:c r="B79" s="197" t="str">
        <x:v>Regeneration electricity factor</x:v>
      </x:c>
      <x:c r="C79" s="197" t="str">
        <x:v>water_scrubber_regeneration_electricity_kwh_nm3_offgas</x:v>
      </x:c>
      <x:c r="D79" s="205" t="n">
        <x:v>0.01</x:v>
      </x:c>
      <x:c r="E79" s="199" t="str">
        <x:v>kWh/Nm3 offgas</x:v>
      </x:c>
      <x:c r="F79" s="199" t="str">
        <x:v>BG2</x:v>
      </x:c>
      <x:c r="G79" s="199" t="str">
        <x:v>All</x:v>
      </x:c>
      <x:c r="H79" s="206" t="n">
        <x:v>0</x:v>
      </x:c>
      <x:c r="I79" s="206" t="n">
        <x:v>10</x:v>
      </x:c>
      <x:c r="J79" s="199" t="str">
        <x:v>none</x:v>
      </x:c>
      <x:c r="K79" s="200" t="b">
        <x:v>1</x:v>
      </x:c>
      <x:c r="L79" s="201" t="str">
        <x:v>assumed</x:v>
      </x:c>
      <x:c r="M79" s="201" t="str">
        <x:v>E</x:v>
      </x:c>
      <x:c r="N79" s="199"/>
      <x:c r="O79" s="199" t="str">
        <x:v>Class-E structural placeholder; replace with measured, experimental, literature, or vendor data before scientific, design, economic, or configuration-selection interpretation.</x:v>
      </x:c>
      <x:c r="P79" s="199"/>
      <x:c r="Q79" s="199" t="str">
        <x:v>assumed</x:v>
      </x:c>
      <x:c r="R79" s="199" t="n">
        <x:v>100</x:v>
      </x:c>
      <x:c r="S79" s="202" t="b">
        <x:v>1</x:v>
      </x:c>
      <x:c r="T79" s="199" t="n">
        <x:v>6</x:v>
      </x:c>
      <x:c r="U79" s="199" t="str">
        <x:v>LIM-P6-007</x:v>
      </x:c>
    </x:row>
    <x:row r="80">
      <x:c r="A80" s="197" t="str">
        <x:v>BG2_design</x:v>
      </x:c>
      <x:c r="B80" s="197" t="str">
        <x:v>Absorber gas velocity</x:v>
      </x:c>
      <x:c r="C80" s="197" t="str">
        <x:v>water_scrubber_absorber_velocity_m_s</x:v>
      </x:c>
      <x:c r="D80" s="205" t="n">
        <x:v>1.5</x:v>
      </x:c>
      <x:c r="E80" s="199" t="str">
        <x:v>m/s</x:v>
      </x:c>
      <x:c r="F80" s="199" t="str">
        <x:v>BG2</x:v>
      </x:c>
      <x:c r="G80" s="199" t="str">
        <x:v>All</x:v>
      </x:c>
      <x:c r="H80" s="206" t="n">
        <x:v>0.000001</x:v>
      </x:c>
      <x:c r="I80" s="206" t="n">
        <x:v>20</x:v>
      </x:c>
      <x:c r="J80" s="199" t="str">
        <x:v>none</x:v>
      </x:c>
      <x:c r="K80" s="200" t="b">
        <x:v>1</x:v>
      </x:c>
      <x:c r="L80" s="201" t="str">
        <x:v>assumed</x:v>
      </x:c>
      <x:c r="M80" s="201" t="str">
        <x:v>E</x:v>
      </x:c>
      <x:c r="N80" s="199"/>
      <x:c r="O80" s="199" t="str">
        <x:v>Class-E structural placeholder; replace with measured, experimental, literature, or vendor data before scientific, design, economic, or configuration-selection interpretation.</x:v>
      </x:c>
      <x:c r="P80" s="199"/>
      <x:c r="Q80" s="199" t="str">
        <x:v>assumed</x:v>
      </x:c>
      <x:c r="R80" s="199" t="n">
        <x:v>100</x:v>
      </x:c>
      <x:c r="S80" s="202" t="b">
        <x:v>1</x:v>
      </x:c>
      <x:c r="T80" s="199" t="n">
        <x:v>6</x:v>
      </x:c>
      <x:c r="U80" s="199" t="str">
        <x:v>LIM-P6-007</x:v>
      </x:c>
    </x:row>
    <x:row r="81">
      <x:c r="A81" s="197" t="str">
        <x:v>BG2_design</x:v>
      </x:c>
      <x:c r="B81" s="197" t="str">
        <x:v>Absorber packing height</x:v>
      </x:c>
      <x:c r="C81" s="197" t="str">
        <x:v>water_scrubber_absorber_packing_height_m</x:v>
      </x:c>
      <x:c r="D81" s="205" t="n">
        <x:v>8</x:v>
      </x:c>
      <x:c r="E81" s="199" t="str">
        <x:v>m</x:v>
      </x:c>
      <x:c r="F81" s="199" t="str">
        <x:v>BG2</x:v>
      </x:c>
      <x:c r="G81" s="199" t="str">
        <x:v>All</x:v>
      </x:c>
      <x:c r="H81" s="206" t="n">
        <x:v>0.000001</x:v>
      </x:c>
      <x:c r="I81" s="206" t="n">
        <x:v>100</x:v>
      </x:c>
      <x:c r="J81" s="199" t="str">
        <x:v>none</x:v>
      </x:c>
      <x:c r="K81" s="200" t="b">
        <x:v>1</x:v>
      </x:c>
      <x:c r="L81" s="201" t="str">
        <x:v>assumed</x:v>
      </x:c>
      <x:c r="M81" s="201" t="str">
        <x:v>E</x:v>
      </x:c>
      <x:c r="N81" s="199"/>
      <x:c r="O81" s="199" t="str">
        <x:v>Class-E structural placeholder; replace with measured, experimental, literature, or vendor data before scientific, design, economic, or configuration-selection interpretation.</x:v>
      </x:c>
      <x:c r="P81" s="199"/>
      <x:c r="Q81" s="199" t="str">
        <x:v>assumed</x:v>
      </x:c>
      <x:c r="R81" s="199" t="n">
        <x:v>100</x:v>
      </x:c>
      <x:c r="S81" s="202" t="b">
        <x:v>1</x:v>
      </x:c>
      <x:c r="T81" s="199" t="n">
        <x:v>6</x:v>
      </x:c>
      <x:c r="U81" s="199" t="str">
        <x:v>LIM-P6-007</x:v>
      </x:c>
    </x:row>
    <x:row r="82">
      <x:c r="A82" s="197" t="str">
        <x:v>BG2_design</x:v>
      </x:c>
      <x:c r="B82" s="197" t="str">
        <x:v>V612 residence time</x:v>
      </x:c>
      <x:c r="C82" s="197" t="str">
        <x:v>water_scrubber_flash_residence_time_min</x:v>
      </x:c>
      <x:c r="D82" s="205" t="n">
        <x:v>5</x:v>
      </x:c>
      <x:c r="E82" s="199" t="str">
        <x:v>min</x:v>
      </x:c>
      <x:c r="F82" s="199" t="str">
        <x:v>BG2</x:v>
      </x:c>
      <x:c r="G82" s="199" t="str">
        <x:v>All</x:v>
      </x:c>
      <x:c r="H82" s="206" t="n">
        <x:v>0</x:v>
      </x:c>
      <x:c r="I82" s="206" t="n">
        <x:v>1440</x:v>
      </x:c>
      <x:c r="J82" s="199" t="str">
        <x:v>none</x:v>
      </x:c>
      <x:c r="K82" s="200" t="b">
        <x:v>1</x:v>
      </x:c>
      <x:c r="L82" s="201" t="str">
        <x:v>assumed</x:v>
      </x:c>
      <x:c r="M82" s="201" t="str">
        <x:v>E</x:v>
      </x:c>
      <x:c r="N82" s="199"/>
      <x:c r="O82" s="199" t="str">
        <x:v>Class-E structural placeholder; replace with measured, experimental, literature, or vendor data before scientific, design, economic, or configuration-selection interpretation.</x:v>
      </x:c>
      <x:c r="P82" s="199"/>
      <x:c r="Q82" s="199" t="str">
        <x:v>assumed</x:v>
      </x:c>
      <x:c r="R82" s="199" t="n">
        <x:v>100</x:v>
      </x:c>
      <x:c r="S82" s="202" t="b">
        <x:v>1</x:v>
      </x:c>
      <x:c r="T82" s="199" t="n">
        <x:v>6</x:v>
      </x:c>
      <x:c r="U82" s="199" t="str">
        <x:v>LIM-P6-007</x:v>
      </x:c>
    </x:row>
    <x:row r="83">
      <x:c r="A83" s="197" t="str">
        <x:v>BG2_design</x:v>
      </x:c>
      <x:c r="B83" s="197" t="str">
        <x:v>Scrubbing-water density</x:v>
      </x:c>
      <x:c r="C83" s="197" t="str">
        <x:v>water_scrubber_water_density_kg_m3</x:v>
      </x:c>
      <x:c r="D83" s="205" t="n">
        <x:v>1000</x:v>
      </x:c>
      <x:c r="E83" s="199" t="str">
        <x:v>kg/m3</x:v>
      </x:c>
      <x:c r="F83" s="199" t="str">
        <x:v>BG2</x:v>
      </x:c>
      <x:c r="G83" s="199" t="str">
        <x:v>All</x:v>
      </x:c>
      <x:c r="H83" s="206" t="n">
        <x:v>1</x:v>
      </x:c>
      <x:c r="I83" s="206" t="n">
        <x:v>2000</x:v>
      </x:c>
      <x:c r="J83" s="199" t="str">
        <x:v>none</x:v>
      </x:c>
      <x:c r="K83" s="200" t="b">
        <x:v>1</x:v>
      </x:c>
      <x:c r="L83" s="201" t="str">
        <x:v>assumed</x:v>
      </x:c>
      <x:c r="M83" s="201" t="str">
        <x:v>E</x:v>
      </x:c>
      <x:c r="N83" s="199"/>
      <x:c r="O83" s="199" t="str">
        <x:v>Class-E structural placeholder; replace with measured, experimental, literature, or vendor data before scientific, design, economic, or configuration-selection interpretation.</x:v>
      </x:c>
      <x:c r="P83" s="199"/>
      <x:c r="Q83" s="199" t="str">
        <x:v>assumed</x:v>
      </x:c>
      <x:c r="R83" s="199" t="n">
        <x:v>100</x:v>
      </x:c>
      <x:c r="S83" s="202" t="b">
        <x:v>1</x:v>
      </x:c>
      <x:c r="T83" s="199" t="n">
        <x:v>6</x:v>
      </x:c>
      <x:c r="U83" s="199" t="str">
        <x:v>LIM-P6-007</x:v>
      </x:c>
    </x:row>
    <x:row r="84">
      <x:c r="A84" s="197" t="str">
        <x:v>BG2_drying</x:v>
      </x:c>
      <x:c r="B84" s="197" t="str">
        <x:v>V611 water removal</x:v>
      </x:c>
      <x:c r="C84" s="197" t="str">
        <x:v>water_scrubber_product_flash_water_removal_fraction</x:v>
      </x:c>
      <x:c r="D84" s="205" t="n">
        <x:v>0.2</x:v>
      </x:c>
      <x:c r="E84" s="199" t="str">
        <x:v>fraction</x:v>
      </x:c>
      <x:c r="F84" s="199" t="str">
        <x:v>BG2</x:v>
      </x:c>
      <x:c r="G84" s="199" t="str">
        <x:v>All</x:v>
      </x:c>
      <x:c r="H84" s="206" t="n">
        <x:v>0</x:v>
      </x:c>
      <x:c r="I84" s="206" t="n">
        <x:v>1</x:v>
      </x:c>
      <x:c r="J84" s="199" t="str">
        <x:v>none</x:v>
      </x:c>
      <x:c r="K84" s="200" t="b">
        <x:v>1</x:v>
      </x:c>
      <x:c r="L84" s="201" t="str">
        <x:v>assumed</x:v>
      </x:c>
      <x:c r="M84" s="201" t="str">
        <x:v>E</x:v>
      </x:c>
      <x:c r="N84" s="199"/>
      <x:c r="O84" s="199" t="str">
        <x:v>Class-E structural placeholder; replace with measured, experimental, literature, or vendor data before scientific, design, economic, or configuration-selection interpretation.</x:v>
      </x:c>
      <x:c r="P84" s="199"/>
      <x:c r="Q84" s="199" t="str">
        <x:v>assumed</x:v>
      </x:c>
      <x:c r="R84" s="199" t="n">
        <x:v>100</x:v>
      </x:c>
      <x:c r="S84" s="202" t="b">
        <x:v>1</x:v>
      </x:c>
      <x:c r="T84" s="199" t="n">
        <x:v>6</x:v>
      </x:c>
      <x:c r="U84" s="199" t="str">
        <x:v>LIM-P6-008</x:v>
      </x:c>
    </x:row>
    <x:row r="85">
      <x:c r="A85" s="197" t="str">
        <x:v>BG2_drying</x:v>
      </x:c>
      <x:c r="B85" s="197" t="str">
        <x:v>D611 water removal</x:v>
      </x:c>
      <x:c r="C85" s="197" t="str">
        <x:v>water_scrubber_product_dryer_water_removal_fraction</x:v>
      </x:c>
      <x:c r="D85" s="205" t="n">
        <x:v>0.995</x:v>
      </x:c>
      <x:c r="E85" s="199" t="str">
        <x:v>fraction</x:v>
      </x:c>
      <x:c r="F85" s="199" t="str">
        <x:v>BG2</x:v>
      </x:c>
      <x:c r="G85" s="199" t="str">
        <x:v>All</x:v>
      </x:c>
      <x:c r="H85" s="206" t="n">
        <x:v>0</x:v>
      </x:c>
      <x:c r="I85" s="206" t="n">
        <x:v>1</x:v>
      </x:c>
      <x:c r="J85" s="199" t="str">
        <x:v>none</x:v>
      </x:c>
      <x:c r="K85" s="200" t="b">
        <x:v>1</x:v>
      </x:c>
      <x:c r="L85" s="201" t="str">
        <x:v>assumed</x:v>
      </x:c>
      <x:c r="M85" s="201" t="str">
        <x:v>E</x:v>
      </x:c>
      <x:c r="N85" s="199"/>
      <x:c r="O85" s="199" t="str">
        <x:v>Class-E structural placeholder; replace with measured, experimental, literature, or vendor data before scientific, design, economic, or configuration-selection interpretation.</x:v>
      </x:c>
      <x:c r="P85" s="199"/>
      <x:c r="Q85" s="199" t="str">
        <x:v>assumed</x:v>
      </x:c>
      <x:c r="R85" s="199" t="n">
        <x:v>100</x:v>
      </x:c>
      <x:c r="S85" s="202" t="b">
        <x:v>1</x:v>
      </x:c>
      <x:c r="T85" s="199" t="n">
        <x:v>6</x:v>
      </x:c>
      <x:c r="U85" s="199" t="str">
        <x:v>LIM-P6-008</x:v>
      </x:c>
    </x:row>
    <x:row r="86">
      <x:c r="A86" s="197" t="str">
        <x:v>BG2_drying</x:v>
      </x:c>
      <x:c r="B86" s="197" t="str">
        <x:v>D611 pressure drop</x:v>
      </x:c>
      <x:c r="C86" s="197" t="str">
        <x:v>water_scrubber_dryer_pressure_drop_pa</x:v>
      </x:c>
      <x:c r="D86" s="205" t="n">
        <x:v>10000</x:v>
      </x:c>
      <x:c r="E86" s="199" t="str">
        <x:v>Pa</x:v>
      </x:c>
      <x:c r="F86" s="199" t="str">
        <x:v>BG2</x:v>
      </x:c>
      <x:c r="G86" s="199" t="str">
        <x:v>All</x:v>
      </x:c>
      <x:c r="H86" s="206" t="n">
        <x:v>0</x:v>
      </x:c>
      <x:c r="I86" s="206" t="n">
        <x:v>1000000</x:v>
      </x:c>
      <x:c r="J86" s="199" t="str">
        <x:v>none</x:v>
      </x:c>
      <x:c r="K86" s="200" t="b">
        <x:v>1</x:v>
      </x:c>
      <x:c r="L86" s="201" t="str">
        <x:v>assumed</x:v>
      </x:c>
      <x:c r="M86" s="201" t="str">
        <x:v>E</x:v>
      </x:c>
      <x:c r="N86" s="199"/>
      <x:c r="O86" s="199" t="str">
        <x:v>Class-E structural placeholder; replace with measured, experimental, literature, or vendor data before scientific, design, economic, or configuration-selection interpretation.</x:v>
      </x:c>
      <x:c r="P86" s="199"/>
      <x:c r="Q86" s="199" t="str">
        <x:v>assumed</x:v>
      </x:c>
      <x:c r="R86" s="199" t="n">
        <x:v>100</x:v>
      </x:c>
      <x:c r="S86" s="202" t="b">
        <x:v>1</x:v>
      </x:c>
      <x:c r="T86" s="199" t="n">
        <x:v>6</x:v>
      </x:c>
      <x:c r="U86" s="199" t="str">
        <x:v>LIM-P6-008</x:v>
      </x:c>
    </x:row>
    <x:row r="87">
      <x:c r="A87" s="197" t="str">
        <x:v>BG3_membrane</x:v>
      </x:c>
      <x:c r="B87" s="197" t="str">
        <x:v>Membrane technology ID</x:v>
      </x:c>
      <x:c r="C87" s="197" t="str">
        <x:v>membrane_material_id</x:v>
      </x:c>
      <x:c r="D87" s="205" t="str">
        <x:v>CO2_selective_polymer_structural</x:v>
      </x:c>
      <x:c r="E87" s="199" t="str">
        <x:v>technology ID</x:v>
      </x:c>
      <x:c r="F87" s="199" t="str">
        <x:v>BG3</x:v>
      </x:c>
      <x:c r="G87" s="199" t="str">
        <x:v>All</x:v>
      </x:c>
      <x:c r="H87" s="206"/>
      <x:c r="I87" s="206"/>
      <x:c r="J87" s="199" t="str">
        <x:v>none</x:v>
      </x:c>
      <x:c r="K87" s="200" t="b">
        <x:v>1</x:v>
      </x:c>
      <x:c r="L87" s="201" t="str">
        <x:v>assumed</x:v>
      </x:c>
      <x:c r="M87" s="201" t="str">
        <x:v>E</x:v>
      </x:c>
      <x:c r="N87" s="199"/>
      <x:c r="O87" s="199" t="str">
        <x:v>Class-E structural placeholder; replace with measured, experimental, literature, or vendor data before scientific, design, economic, or configuration-selection interpretation.</x:v>
      </x:c>
      <x:c r="P87" s="199"/>
      <x:c r="Q87" s="199" t="str">
        <x:v>assumed</x:v>
      </x:c>
      <x:c r="R87" s="199" t="n">
        <x:v>100</x:v>
      </x:c>
      <x:c r="S87" s="202" t="b">
        <x:v>1</x:v>
      </x:c>
      <x:c r="T87" s="199" t="n">
        <x:v>6</x:v>
      </x:c>
      <x:c r="U87" s="199" t="str">
        <x:v>LIM-P6-009</x:v>
      </x:c>
    </x:row>
    <x:row r="88">
      <x:c r="A88" s="197" t="str">
        <x:v>BG3_membrane</x:v>
      </x:c>
      <x:c r="B88" s="197" t="str">
        <x:v>Membrane feed pressure</x:v>
      </x:c>
      <x:c r="C88" s="197" t="str">
        <x:v>membrane_feed_pressure_bar</x:v>
      </x:c>
      <x:c r="D88" s="205" t="n">
        <x:v>10</x:v>
      </x:c>
      <x:c r="E88" s="199" t="str">
        <x:v>bar</x:v>
      </x:c>
      <x:c r="F88" s="199" t="str">
        <x:v>BG3</x:v>
      </x:c>
      <x:c r="G88" s="199" t="str">
        <x:v>All</x:v>
      </x:c>
      <x:c r="H88" s="206" t="n">
        <x:v>0.000001</x:v>
      </x:c>
      <x:c r="I88" s="206" t="n">
        <x:v>100</x:v>
      </x:c>
      <x:c r="J88" s="199" t="str">
        <x:v>none</x:v>
      </x:c>
      <x:c r="K88" s="200" t="b">
        <x:v>1</x:v>
      </x:c>
      <x:c r="L88" s="201" t="str">
        <x:v>assumed</x:v>
      </x:c>
      <x:c r="M88" s="201" t="str">
        <x:v>E</x:v>
      </x:c>
      <x:c r="N88" s="199"/>
      <x:c r="O88" s="199" t="str">
        <x:v>Class-E structural placeholder; replace with measured, experimental, literature, or vendor data before scientific, design, economic, or configuration-selection interpretation.</x:v>
      </x:c>
      <x:c r="P88" s="199"/>
      <x:c r="Q88" s="199" t="str">
        <x:v>assumed</x:v>
      </x:c>
      <x:c r="R88" s="199" t="n">
        <x:v>100</x:v>
      </x:c>
      <x:c r="S88" s="202" t="b">
        <x:v>1</x:v>
      </x:c>
      <x:c r="T88" s="199" t="n">
        <x:v>6</x:v>
      </x:c>
      <x:c r="U88" s="199" t="str">
        <x:v>LIM-P6-009</x:v>
      </x:c>
    </x:row>
    <x:row r="89">
      <x:c r="A89" s="197" t="str">
        <x:v>BG3_membrane</x:v>
      </x:c>
      <x:c r="B89" s="197" t="str">
        <x:v>Membrane permeate pressure</x:v>
      </x:c>
      <x:c r="C89" s="197" t="str">
        <x:v>membrane_permeate_pressure_bar</x:v>
      </x:c>
      <x:c r="D89" s="205" t="n">
        <x:v>1.2</x:v>
      </x:c>
      <x:c r="E89" s="199" t="str">
        <x:v>bar</x:v>
      </x:c>
      <x:c r="F89" s="199" t="str">
        <x:v>BG3</x:v>
      </x:c>
      <x:c r="G89" s="199" t="str">
        <x:v>All</x:v>
      </x:c>
      <x:c r="H89" s="206" t="n">
        <x:v>0.000001</x:v>
      </x:c>
      <x:c r="I89" s="206" t="n">
        <x:v>100</x:v>
      </x:c>
      <x:c r="J89" s="199" t="str">
        <x:v>none</x:v>
      </x:c>
      <x:c r="K89" s="200" t="b">
        <x:v>1</x:v>
      </x:c>
      <x:c r="L89" s="201" t="str">
        <x:v>assumed</x:v>
      </x:c>
      <x:c r="M89" s="201" t="str">
        <x:v>E</x:v>
      </x:c>
      <x:c r="N89" s="199"/>
      <x:c r="O89" s="199" t="str">
        <x:v>Class-E structural placeholder; replace with measured, experimental, literature, or vendor data before scientific, design, economic, or configuration-selection interpretation.</x:v>
      </x:c>
      <x:c r="P89" s="199"/>
      <x:c r="Q89" s="199" t="str">
        <x:v>assumed</x:v>
      </x:c>
      <x:c r="R89" s="199" t="n">
        <x:v>100</x:v>
      </x:c>
      <x:c r="S89" s="202" t="b">
        <x:v>1</x:v>
      </x:c>
      <x:c r="T89" s="199" t="n">
        <x:v>6</x:v>
      </x:c>
      <x:c r="U89" s="199" t="str">
        <x:v>LIM-P6-009</x:v>
      </x:c>
    </x:row>
    <x:row r="90">
      <x:c r="A90" s="197" t="str">
        <x:v>BG3_membrane</x:v>
      </x:c>
      <x:c r="B90" s="197" t="str">
        <x:v>C621 efficiency</x:v>
      </x:c>
      <x:c r="C90" s="197" t="str">
        <x:v>membrane_compressor_efficiency</x:v>
      </x:c>
      <x:c r="D90" s="205" t="n">
        <x:v>0.75</x:v>
      </x:c>
      <x:c r="E90" s="199" t="str">
        <x:v>fraction</x:v>
      </x:c>
      <x:c r="F90" s="199" t="str">
        <x:v>BG3</x:v>
      </x:c>
      <x:c r="G90" s="199" t="str">
        <x:v>All</x:v>
      </x:c>
      <x:c r="H90" s="206" t="n">
        <x:v>0.000001</x:v>
      </x:c>
      <x:c r="I90" s="206" t="n">
        <x:v>1</x:v>
      </x:c>
      <x:c r="J90" s="199" t="str">
        <x:v>none</x:v>
      </x:c>
      <x:c r="K90" s="200" t="b">
        <x:v>1</x:v>
      </x:c>
      <x:c r="L90" s="201" t="str">
        <x:v>assumed</x:v>
      </x:c>
      <x:c r="M90" s="201" t="str">
        <x:v>E</x:v>
      </x:c>
      <x:c r="N90" s="199"/>
      <x:c r="O90" s="199" t="str">
        <x:v>Class-E structural placeholder; replace with measured, experimental, literature, or vendor data before scientific, design, economic, or configuration-selection interpretation.</x:v>
      </x:c>
      <x:c r="P90" s="199"/>
      <x:c r="Q90" s="199" t="str">
        <x:v>assumed</x:v>
      </x:c>
      <x:c r="R90" s="199" t="n">
        <x:v>100</x:v>
      </x:c>
      <x:c r="S90" s="202" t="b">
        <x:v>1</x:v>
      </x:c>
      <x:c r="T90" s="199" t="n">
        <x:v>6</x:v>
      </x:c>
      <x:c r="U90" s="199" t="str">
        <x:v>LIM-P6-009</x:v>
      </x:c>
    </x:row>
    <x:row r="91">
      <x:c r="A91" s="197" t="str">
        <x:v>BG3_membrane</x:v>
      </x:c>
      <x:c r="B91" s="197" t="str">
        <x:v>E621 outlet temperature</x:v>
      </x:c>
      <x:c r="C91" s="197" t="str">
        <x:v>membrane_aftercooler_temperature_c</x:v>
      </x:c>
      <x:c r="D91" s="205" t="n">
        <x:v>20</x:v>
      </x:c>
      <x:c r="E91" s="199" t="str">
        <x:v>degC</x:v>
      </x:c>
      <x:c r="F91" s="199" t="str">
        <x:v>BG3</x:v>
      </x:c>
      <x:c r="G91" s="199" t="str">
        <x:v>All</x:v>
      </x:c>
      <x:c r="H91" s="206" t="n">
        <x:v>-20</x:v>
      </x:c>
      <x:c r="I91" s="206" t="n">
        <x:v>100</x:v>
      </x:c>
      <x:c r="J91" s="199" t="str">
        <x:v>none</x:v>
      </x:c>
      <x:c r="K91" s="200" t="b">
        <x:v>1</x:v>
      </x:c>
      <x:c r="L91" s="201" t="str">
        <x:v>assumed</x:v>
      </x:c>
      <x:c r="M91" s="201" t="str">
        <x:v>E</x:v>
      </x:c>
      <x:c r="N91" s="199"/>
      <x:c r="O91" s="199" t="str">
        <x:v>Class-E structural placeholder; replace with measured, experimental, literature, or vendor data before scientific, design, economic, or configuration-selection interpretation.</x:v>
      </x:c>
      <x:c r="P91" s="199"/>
      <x:c r="Q91" s="199" t="str">
        <x:v>assumed</x:v>
      </x:c>
      <x:c r="R91" s="199" t="n">
        <x:v>100</x:v>
      </x:c>
      <x:c r="S91" s="202" t="b">
        <x:v>1</x:v>
      </x:c>
      <x:c r="T91" s="199" t="n">
        <x:v>6</x:v>
      </x:c>
      <x:c r="U91" s="199" t="str">
        <x:v>LIM-P6-009</x:v>
      </x:c>
    </x:row>
    <x:row r="92">
      <x:c r="A92" s="197" t="str">
        <x:v>BG3_membrane</x:v>
      </x:c>
      <x:c r="B92" s="197" t="str">
        <x:v>D621 water removal</x:v>
      </x:c>
      <x:c r="C92" s="197" t="str">
        <x:v>membrane_dryer_water_removal_fraction</x:v>
      </x:c>
      <x:c r="D92" s="205" t="n">
        <x:v>0.995</x:v>
      </x:c>
      <x:c r="E92" s="199" t="str">
        <x:v>fraction</x:v>
      </x:c>
      <x:c r="F92" s="199" t="str">
        <x:v>BG3</x:v>
      </x:c>
      <x:c r="G92" s="199" t="str">
        <x:v>All</x:v>
      </x:c>
      <x:c r="H92" s="206" t="n">
        <x:v>0</x:v>
      </x:c>
      <x:c r="I92" s="206" t="n">
        <x:v>1</x:v>
      </x:c>
      <x:c r="J92" s="199" t="str">
        <x:v>none</x:v>
      </x:c>
      <x:c r="K92" s="200" t="b">
        <x:v>1</x:v>
      </x:c>
      <x:c r="L92" s="201" t="str">
        <x:v>assumed</x:v>
      </x:c>
      <x:c r="M92" s="201" t="str">
        <x:v>E</x:v>
      </x:c>
      <x:c r="N92" s="199"/>
      <x:c r="O92" s="199" t="str">
        <x:v>Class-E structural placeholder; replace with measured, experimental, literature, or vendor data before scientific, design, economic, or configuration-selection interpretation.</x:v>
      </x:c>
      <x:c r="P92" s="199"/>
      <x:c r="Q92" s="199" t="str">
        <x:v>assumed</x:v>
      </x:c>
      <x:c r="R92" s="199" t="n">
        <x:v>100</x:v>
      </x:c>
      <x:c r="S92" s="202" t="b">
        <x:v>1</x:v>
      </x:c>
      <x:c r="T92" s="199" t="n">
        <x:v>6</x:v>
      </x:c>
      <x:c r="U92" s="199" t="str">
        <x:v>LIM-P6-008</x:v>
      </x:c>
    </x:row>
    <x:row r="93">
      <x:c r="A93" s="197" t="str">
        <x:v>BG3_membrane</x:v>
      </x:c>
      <x:c r="B93" s="197" t="str">
        <x:v>D621 pressure drop</x:v>
      </x:c>
      <x:c r="C93" s="197" t="str">
        <x:v>membrane_dryer_pressure_drop_pa</x:v>
      </x:c>
      <x:c r="D93" s="205" t="n">
        <x:v>10000</x:v>
      </x:c>
      <x:c r="E93" s="199" t="str">
        <x:v>Pa</x:v>
      </x:c>
      <x:c r="F93" s="199" t="str">
        <x:v>BG3</x:v>
      </x:c>
      <x:c r="G93" s="199" t="str">
        <x:v>All</x:v>
      </x:c>
      <x:c r="H93" s="206" t="n">
        <x:v>0</x:v>
      </x:c>
      <x:c r="I93" s="206" t="n">
        <x:v>1000000</x:v>
      </x:c>
      <x:c r="J93" s="199" t="str">
        <x:v>none</x:v>
      </x:c>
      <x:c r="K93" s="200" t="b">
        <x:v>1</x:v>
      </x:c>
      <x:c r="L93" s="201" t="str">
        <x:v>assumed</x:v>
      </x:c>
      <x:c r="M93" s="201" t="str">
        <x:v>E</x:v>
      </x:c>
      <x:c r="N93" s="199"/>
      <x:c r="O93" s="199" t="str">
        <x:v>Class-E structural placeholder; replace with measured, experimental, literature, or vendor data before scientific, design, economic, or configuration-selection interpretation.</x:v>
      </x:c>
      <x:c r="P93" s="199"/>
      <x:c r="Q93" s="199" t="str">
        <x:v>assumed</x:v>
      </x:c>
      <x:c r="R93" s="199" t="n">
        <x:v>100</x:v>
      </x:c>
      <x:c r="S93" s="202" t="b">
        <x:v>1</x:v>
      </x:c>
      <x:c r="T93" s="199" t="n">
        <x:v>6</x:v>
      </x:c>
      <x:c r="U93" s="199" t="str">
        <x:v>LIM-P6-008</x:v>
      </x:c>
    </x:row>
    <x:row r="94">
      <x:c r="A94" s="197" t="str">
        <x:v>BG3_membrane</x:v>
      </x:c>
      <x:c r="B94" s="197" t="str">
        <x:v>Number of membrane stages</x:v>
      </x:c>
      <x:c r="C94" s="197" t="str">
        <x:v>membrane_number_of_stages</x:v>
      </x:c>
      <x:c r="D94" s="205" t="n">
        <x:v>2</x:v>
      </x:c>
      <x:c r="E94" s="199" t="str">
        <x:v>count</x:v>
      </x:c>
      <x:c r="F94" s="199" t="str">
        <x:v>BG3</x:v>
      </x:c>
      <x:c r="G94" s="199" t="str">
        <x:v>All</x:v>
      </x:c>
      <x:c r="H94" s="206" t="n">
        <x:v>1</x:v>
      </x:c>
      <x:c r="I94" s="206" t="n">
        <x:v>3</x:v>
      </x:c>
      <x:c r="J94" s="199" t="str">
        <x:v>none</x:v>
      </x:c>
      <x:c r="K94" s="200" t="b">
        <x:v>1</x:v>
      </x:c>
      <x:c r="L94" s="201" t="str">
        <x:v>assumed</x:v>
      </x:c>
      <x:c r="M94" s="201" t="str">
        <x:v>E</x:v>
      </x:c>
      <x:c r="N94" s="199"/>
      <x:c r="O94" s="199" t="str">
        <x:v>Class-E structural placeholder; replace with measured, experimental, literature, or vendor data before scientific, design, economic, or configuration-selection interpretation.</x:v>
      </x:c>
      <x:c r="P94" s="199"/>
      <x:c r="Q94" s="199" t="str">
        <x:v>assumed</x:v>
      </x:c>
      <x:c r="R94" s="199" t="n">
        <x:v>100</x:v>
      </x:c>
      <x:c r="S94" s="202" t="b">
        <x:v>1</x:v>
      </x:c>
      <x:c r="T94" s="199" t="n">
        <x:v>6</x:v>
      </x:c>
      <x:c r="U94" s="199" t="str">
        <x:v>LIM-P6-009</x:v>
      </x:c>
    </x:row>
    <x:row r="95">
      <x:c r="A95" s="197" t="str">
        <x:v>BG3_membrane</x:v>
      </x:c>
      <x:c r="B95" s="197" t="str">
        <x:v>Stage 1 membrane area</x:v>
      </x:c>
      <x:c r="C95" s="197" t="str">
        <x:v>membrane_area_stage1_m2</x:v>
      </x:c>
      <x:c r="D95" s="205" t="n">
        <x:v>0.02</x:v>
      </x:c>
      <x:c r="E95" s="199" t="str">
        <x:v>m2</x:v>
      </x:c>
      <x:c r="F95" s="199" t="str">
        <x:v>BG3</x:v>
      </x:c>
      <x:c r="G95" s="199" t="str">
        <x:v>All</x:v>
      </x:c>
      <x:c r="H95" s="206" t="n">
        <x:v>0.000001</x:v>
      </x:c>
      <x:c r="I95" s="206" t="n">
        <x:v>1000000</x:v>
      </x:c>
      <x:c r="J95" s="199" t="str">
        <x:v>none</x:v>
      </x:c>
      <x:c r="K95" s="200" t="b">
        <x:v>1</x:v>
      </x:c>
      <x:c r="L95" s="201" t="str">
        <x:v>assumed</x:v>
      </x:c>
      <x:c r="M95" s="201" t="str">
        <x:v>E</x:v>
      </x:c>
      <x:c r="N95" s="199"/>
      <x:c r="O95" s="199" t="str">
        <x:v>Class-E structural placeholder; replace with measured, experimental, literature, or vendor data before scientific, design, economic, or configuration-selection interpretation.</x:v>
      </x:c>
      <x:c r="P95" s="199"/>
      <x:c r="Q95" s="199" t="str">
        <x:v>assumed</x:v>
      </x:c>
      <x:c r="R95" s="199" t="n">
        <x:v>100</x:v>
      </x:c>
      <x:c r="S95" s="202" t="b">
        <x:v>1</x:v>
      </x:c>
      <x:c r="T95" s="199" t="n">
        <x:v>6</x:v>
      </x:c>
      <x:c r="U95" s="199" t="str">
        <x:v>LIM-P6-009</x:v>
      </x:c>
    </x:row>
    <x:row r="96">
      <x:c r="A96" s="197" t="str">
        <x:v>BG3_membrane</x:v>
      </x:c>
      <x:c r="B96" s="197" t="str">
        <x:v>Stage 2 membrane area</x:v>
      </x:c>
      <x:c r="C96" s="197" t="str">
        <x:v>membrane_area_stage2_m2</x:v>
      </x:c>
      <x:c r="D96" s="205" t="n">
        <x:v>0.015</x:v>
      </x:c>
      <x:c r="E96" s="199" t="str">
        <x:v>m2</x:v>
      </x:c>
      <x:c r="F96" s="199" t="str">
        <x:v>BG3</x:v>
      </x:c>
      <x:c r="G96" s="199" t="str">
        <x:v>All</x:v>
      </x:c>
      <x:c r="H96" s="206" t="n">
        <x:v>0</x:v>
      </x:c>
      <x:c r="I96" s="206" t="n">
        <x:v>1000000</x:v>
      </x:c>
      <x:c r="J96" s="199" t="str">
        <x:v>none</x:v>
      </x:c>
      <x:c r="K96" s="200" t="b">
        <x:v>1</x:v>
      </x:c>
      <x:c r="L96" s="201" t="str">
        <x:v>assumed</x:v>
      </x:c>
      <x:c r="M96" s="201" t="str">
        <x:v>E</x:v>
      </x:c>
      <x:c r="N96" s="199"/>
      <x:c r="O96" s="199" t="str">
        <x:v>Class-E structural placeholder; replace with measured, experimental, literature, or vendor data before scientific, design, economic, or configuration-selection interpretation.</x:v>
      </x:c>
      <x:c r="P96" s="199"/>
      <x:c r="Q96" s="199" t="str">
        <x:v>assumed</x:v>
      </x:c>
      <x:c r="R96" s="199" t="n">
        <x:v>100</x:v>
      </x:c>
      <x:c r="S96" s="202" t="b">
        <x:v>1</x:v>
      </x:c>
      <x:c r="T96" s="199" t="n">
        <x:v>6</x:v>
      </x:c>
      <x:c r="U96" s="199" t="str">
        <x:v>LIM-P6-009</x:v>
      </x:c>
    </x:row>
    <x:row r="97">
      <x:c r="A97" s="197" t="str">
        <x:v>BG3_membrane</x:v>
      </x:c>
      <x:c r="B97" s="197" t="str">
        <x:v>Stage 3 membrane area</x:v>
      </x:c>
      <x:c r="C97" s="197" t="str">
        <x:v>membrane_area_stage3_m2</x:v>
      </x:c>
      <x:c r="D97" s="205" t="n">
        <x:v>0</x:v>
      </x:c>
      <x:c r="E97" s="199" t="str">
        <x:v>m2</x:v>
      </x:c>
      <x:c r="F97" s="199" t="str">
        <x:v>BG3</x:v>
      </x:c>
      <x:c r="G97" s="199" t="str">
        <x:v>All</x:v>
      </x:c>
      <x:c r="H97" s="206" t="n">
        <x:v>0</x:v>
      </x:c>
      <x:c r="I97" s="206" t="n">
        <x:v>1000000</x:v>
      </x:c>
      <x:c r="J97" s="199" t="str">
        <x:v>none</x:v>
      </x:c>
      <x:c r="K97" s="200" t="b">
        <x:v>1</x:v>
      </x:c>
      <x:c r="L97" s="201" t="str">
        <x:v>assumed</x:v>
      </x:c>
      <x:c r="M97" s="201" t="str">
        <x:v>E</x:v>
      </x:c>
      <x:c r="N97" s="199"/>
      <x:c r="O97" s="199" t="str">
        <x:v>Class-E structural placeholder; replace with measured, experimental, literature, or vendor data before scientific, design, economic, or configuration-selection interpretation.</x:v>
      </x:c>
      <x:c r="P97" s="199"/>
      <x:c r="Q97" s="199" t="str">
        <x:v>assumed</x:v>
      </x:c>
      <x:c r="R97" s="199" t="n">
        <x:v>100</x:v>
      </x:c>
      <x:c r="S97" s="202" t="b">
        <x:v>1</x:v>
      </x:c>
      <x:c r="T97" s="199" t="n">
        <x:v>6</x:v>
      </x:c>
      <x:c r="U97" s="199" t="str">
        <x:v>LIM-P6-009</x:v>
      </x:c>
    </x:row>
    <x:row r="98">
      <x:c r="A98" s="197" t="str">
        <x:v>BG3_membrane</x:v>
      </x:c>
      <x:c r="B98" s="197" t="str">
        <x:v>Area segments per stage</x:v>
      </x:c>
      <x:c r="C98" s="197" t="str">
        <x:v>membrane_segments_per_stage</x:v>
      </x:c>
      <x:c r="D98" s="205" t="n">
        <x:v>20</x:v>
      </x:c>
      <x:c r="E98" s="199" t="str">
        <x:v>count</x:v>
      </x:c>
      <x:c r="F98" s="199" t="str">
        <x:v>BG3</x:v>
      </x:c>
      <x:c r="G98" s="199" t="str">
        <x:v>All</x:v>
      </x:c>
      <x:c r="H98" s="206" t="n">
        <x:v>1</x:v>
      </x:c>
      <x:c r="I98" s="206" t="n">
        <x:v>1000</x:v>
      </x:c>
      <x:c r="J98" s="199" t="str">
        <x:v>none</x:v>
      </x:c>
      <x:c r="K98" s="200" t="b">
        <x:v>1</x:v>
      </x:c>
      <x:c r="L98" s="201" t="str">
        <x:v>assumed</x:v>
      </x:c>
      <x:c r="M98" s="201" t="str">
        <x:v>E</x:v>
      </x:c>
      <x:c r="N98" s="199"/>
      <x:c r="O98" s="199" t="str">
        <x:v>Class-E structural placeholder; replace with measured, experimental, literature, or vendor data before scientific, design, economic, or configuration-selection interpretation.</x:v>
      </x:c>
      <x:c r="P98" s="199"/>
      <x:c r="Q98" s="199" t="str">
        <x:v>assumed</x:v>
      </x:c>
      <x:c r="R98" s="199" t="n">
        <x:v>100</x:v>
      </x:c>
      <x:c r="S98" s="202" t="b">
        <x:v>1</x:v>
      </x:c>
      <x:c r="T98" s="199" t="n">
        <x:v>6</x:v>
      </x:c>
      <x:c r="U98" s="199" t="str">
        <x:v>LIM-P6-009</x:v>
      </x:c>
    </x:row>
    <x:row r="99">
      <x:c r="A99" s="197" t="str">
        <x:v>BG3_membrane</x:v>
      </x:c>
      <x:c r="B99" s="197" t="str">
        <x:v>Stage pressure drop</x:v>
      </x:c>
      <x:c r="C99" s="197" t="str">
        <x:v>membrane_stage_pressure_drop_bar</x:v>
      </x:c>
      <x:c r="D99" s="205" t="n">
        <x:v>0.1</x:v>
      </x:c>
      <x:c r="E99" s="199" t="str">
        <x:v>bar</x:v>
      </x:c>
      <x:c r="F99" s="199" t="str">
        <x:v>BG3</x:v>
      </x:c>
      <x:c r="G99" s="199" t="str">
        <x:v>All</x:v>
      </x:c>
      <x:c r="H99" s="206" t="n">
        <x:v>0</x:v>
      </x:c>
      <x:c r="I99" s="206" t="n">
        <x:v>100</x:v>
      </x:c>
      <x:c r="J99" s="199" t="str">
        <x:v>none</x:v>
      </x:c>
      <x:c r="K99" s="200" t="b">
        <x:v>1</x:v>
      </x:c>
      <x:c r="L99" s="201" t="str">
        <x:v>assumed</x:v>
      </x:c>
      <x:c r="M99" s="201" t="str">
        <x:v>E</x:v>
      </x:c>
      <x:c r="N99" s="199"/>
      <x:c r="O99" s="199" t="str">
        <x:v>Class-E structural placeholder; replace with measured, experimental, literature, or vendor data before scientific, design, economic, or configuration-selection interpretation.</x:v>
      </x:c>
      <x:c r="P99" s="199"/>
      <x:c r="Q99" s="199" t="str">
        <x:v>assumed</x:v>
      </x:c>
      <x:c r="R99" s="199" t="n">
        <x:v>100</x:v>
      </x:c>
      <x:c r="S99" s="202" t="b">
        <x:v>1</x:v>
      </x:c>
      <x:c r="T99" s="199" t="n">
        <x:v>6</x:v>
      </x:c>
      <x:c r="U99" s="199" t="str">
        <x:v>LIM-P6-009</x:v>
      </x:c>
    </x:row>
    <x:row r="100">
      <x:c r="A100" s="197" t="str">
        <x:v>BG3_membrane</x:v>
      </x:c>
      <x:c r="B100" s="197" t="str">
        <x:v>Downstream permeate recycle</x:v>
      </x:c>
      <x:c r="C100" s="197" t="str">
        <x:v>membrane_recycle_fraction</x:v>
      </x:c>
      <x:c r="D100" s="205" t="n">
        <x:v>0</x:v>
      </x:c>
      <x:c r="E100" s="199" t="str">
        <x:v>fraction</x:v>
      </x:c>
      <x:c r="F100" s="199" t="str">
        <x:v>BG3</x:v>
      </x:c>
      <x:c r="G100" s="199" t="str">
        <x:v>All</x:v>
      </x:c>
      <x:c r="H100" s="206" t="n">
        <x:v>0</x:v>
      </x:c>
      <x:c r="I100" s="206" t="n">
        <x:v>1</x:v>
      </x:c>
      <x:c r="J100" s="199" t="str">
        <x:v>none</x:v>
      </x:c>
      <x:c r="K100" s="200" t="b">
        <x:v>1</x:v>
      </x:c>
      <x:c r="L100" s="201" t="str">
        <x:v>assumed</x:v>
      </x:c>
      <x:c r="M100" s="201" t="str">
        <x:v>E</x:v>
      </x:c>
      <x:c r="N100" s="199"/>
      <x:c r="O100" s="199" t="str">
        <x:v>Class-E structural placeholder; replace with measured, experimental, literature, or vendor data before scientific, design, economic, or configuration-selection interpretation.</x:v>
      </x:c>
      <x:c r="P100" s="199"/>
      <x:c r="Q100" s="199" t="str">
        <x:v>assumed</x:v>
      </x:c>
      <x:c r="R100" s="199" t="n">
        <x:v>100</x:v>
      </x:c>
      <x:c r="S100" s="202" t="b">
        <x:v>1</x:v>
      </x:c>
      <x:c r="T100" s="199" t="n">
        <x:v>6</x:v>
      </x:c>
      <x:c r="U100" s="199" t="str">
        <x:v>LIM-P6-009</x:v>
      </x:c>
    </x:row>
    <x:row r="101">
      <x:c r="A101" s="197" t="str">
        <x:v>BG3_membrane</x:v>
      </x:c>
      <x:c r="B101" s="197" t="str">
        <x:v>Nominal area per module</x:v>
      </x:c>
      <x:c r="C101" s="197" t="str">
        <x:v>membrane_nominal_module_area_m2</x:v>
      </x:c>
      <x:c r="D101" s="205" t="n">
        <x:v>20</x:v>
      </x:c>
      <x:c r="E101" s="199" t="str">
        <x:v>m2/module</x:v>
      </x:c>
      <x:c r="F101" s="199" t="str">
        <x:v>BG3</x:v>
      </x:c>
      <x:c r="G101" s="199" t="str">
        <x:v>All</x:v>
      </x:c>
      <x:c r="H101" s="206" t="n">
        <x:v>0.000001</x:v>
      </x:c>
      <x:c r="I101" s="206" t="n">
        <x:v>100000</x:v>
      </x:c>
      <x:c r="J101" s="199" t="str">
        <x:v>none</x:v>
      </x:c>
      <x:c r="K101" s="200" t="b">
        <x:v>1</x:v>
      </x:c>
      <x:c r="L101" s="201" t="str">
        <x:v>assumed</x:v>
      </x:c>
      <x:c r="M101" s="201" t="str">
        <x:v>E</x:v>
      </x:c>
      <x:c r="N101" s="199"/>
      <x:c r="O101" s="199" t="str">
        <x:v>Class-E structural placeholder; replace with measured, experimental, literature, or vendor data before scientific, design, economic, or configuration-selection interpretation.</x:v>
      </x:c>
      <x:c r="P101" s="199"/>
      <x:c r="Q101" s="199" t="str">
        <x:v>assumed</x:v>
      </x:c>
      <x:c r="R101" s="199" t="n">
        <x:v>100</x:v>
      </x:c>
      <x:c r="S101" s="202" t="b">
        <x:v>1</x:v>
      </x:c>
      <x:c r="T101" s="199" t="n">
        <x:v>6</x:v>
      </x:c>
      <x:c r="U101" s="199" t="str">
        <x:v>LIM-P6-009</x:v>
      </x:c>
    </x:row>
    <x:row r="102">
      <x:c r="A102" s="197" t="str">
        <x:v>BG3_membrane</x:v>
      </x:c>
      <x:c r="B102" s="197" t="str">
        <x:v>Membrane lifetime</x:v>
      </x:c>
      <x:c r="C102" s="197" t="str">
        <x:v>membrane_lifetime_years</x:v>
      </x:c>
      <x:c r="D102" s="205" t="n">
        <x:v>5</x:v>
      </x:c>
      <x:c r="E102" s="199" t="str">
        <x:v>year</x:v>
      </x:c>
      <x:c r="F102" s="199" t="str">
        <x:v>BG3</x:v>
      </x:c>
      <x:c r="G102" s="199" t="str">
        <x:v>All</x:v>
      </x:c>
      <x:c r="H102" s="206" t="n">
        <x:v>0.000001</x:v>
      </x:c>
      <x:c r="I102" s="206" t="n">
        <x:v>100</x:v>
      </x:c>
      <x:c r="J102" s="199" t="str">
        <x:v>none</x:v>
      </x:c>
      <x:c r="K102" s="200" t="b">
        <x:v>1</x:v>
      </x:c>
      <x:c r="L102" s="201" t="str">
        <x:v>assumed</x:v>
      </x:c>
      <x:c r="M102" s="201" t="str">
        <x:v>E</x:v>
      </x:c>
      <x:c r="N102" s="199"/>
      <x:c r="O102" s="199" t="str">
        <x:v>Class-E structural placeholder; replace with measured, experimental, literature, or vendor data before scientific, design, economic, or configuration-selection interpretation.</x:v>
      </x:c>
      <x:c r="P102" s="199"/>
      <x:c r="Q102" s="199" t="str">
        <x:v>assumed</x:v>
      </x:c>
      <x:c r="R102" s="199" t="n">
        <x:v>100</x:v>
      </x:c>
      <x:c r="S102" s="202" t="b">
        <x:v>1</x:v>
      </x:c>
      <x:c r="T102" s="199" t="n">
        <x:v>6</x:v>
      </x:c>
      <x:c r="U102" s="199" t="str">
        <x:v>LIM-P6-009</x:v>
      </x:c>
    </x:row>
    <x:row r="103">
      <x:c r="A103" s="197" t="str">
        <x:v>BG3_membrane</x:v>
      </x:c>
      <x:c r="B103" s="197" t="str">
        <x:v>Annual membrane replacement</x:v>
      </x:c>
      <x:c r="C103" s="197" t="str">
        <x:v>membrane_annual_replacement_fraction</x:v>
      </x:c>
      <x:c r="D103" s="205" t="n">
        <x:v>0.2</x:v>
      </x:c>
      <x:c r="E103" s="199" t="str">
        <x:v>fraction/year</x:v>
      </x:c>
      <x:c r="F103" s="199" t="str">
        <x:v>BG3</x:v>
      </x:c>
      <x:c r="G103" s="199" t="str">
        <x:v>All</x:v>
      </x:c>
      <x:c r="H103" s="206" t="n">
        <x:v>0</x:v>
      </x:c>
      <x:c r="I103" s="206" t="n">
        <x:v>1</x:v>
      </x:c>
      <x:c r="J103" s="199" t="str">
        <x:v>none</x:v>
      </x:c>
      <x:c r="K103" s="200" t="b">
        <x:v>1</x:v>
      </x:c>
      <x:c r="L103" s="201" t="str">
        <x:v>assumed</x:v>
      </x:c>
      <x:c r="M103" s="201" t="str">
        <x:v>E</x:v>
      </x:c>
      <x:c r="N103" s="199"/>
      <x:c r="O103" s="199" t="str">
        <x:v>Class-E structural placeholder; replace with measured, experimental, literature, or vendor data before scientific, design, economic, or configuration-selection interpretation.</x:v>
      </x:c>
      <x:c r="P103" s="199"/>
      <x:c r="Q103" s="199" t="str">
        <x:v>assumed</x:v>
      </x:c>
      <x:c r="R103" s="199" t="n">
        <x:v>100</x:v>
      </x:c>
      <x:c r="S103" s="202" t="b">
        <x:v>1</x:v>
      </x:c>
      <x:c r="T103" s="199" t="n">
        <x:v>6</x:v>
      </x:c>
      <x:c r="U103" s="199" t="str">
        <x:v>LIM-P6-009</x:v>
      </x:c>
    </x:row>
    <x:row r="104">
      <x:c r="A104" s="197" t="str">
        <x:v>BG3_membrane</x:v>
      </x:c>
      <x:c r="B104" s="197" t="str">
        <x:v>Target stage cut (reporting only)</x:v>
      </x:c>
      <x:c r="C104" s="197" t="str">
        <x:v>membrane_target_stage_cut</x:v>
      </x:c>
      <x:c r="D104" s="205"/>
      <x:c r="E104" s="199" t="str">
        <x:v>fraction</x:v>
      </x:c>
      <x:c r="F104" s="199" t="str">
        <x:v>BG3</x:v>
      </x:c>
      <x:c r="G104" s="199" t="str">
        <x:v>All</x:v>
      </x:c>
      <x:c r="H104" s="206" t="n">
        <x:v>0</x:v>
      </x:c>
      <x:c r="I104" s="206" t="n">
        <x:v>1</x:v>
      </x:c>
      <x:c r="J104" s="199" t="str">
        <x:v>none</x:v>
      </x:c>
      <x:c r="K104" s="200" t="b">
        <x:v>0</x:v>
      </x:c>
      <x:c r="L104" s="201" t="str">
        <x:v>not_measured</x:v>
      </x:c>
      <x:c r="M104" s="201" t="str">
        <x:v>E</x:v>
      </x:c>
      <x:c r="N104" s="199"/>
      <x:c r="O104" s="199" t="str">
        <x:v>Optional reporting target. Stage cut is calculated from pressure, area, permeance, and composition and does not require this field.</x:v>
      </x:c>
      <x:c r="P104" s="199"/>
      <x:c r="Q104" s="199" t="str">
        <x:v>assumed</x:v>
      </x:c>
      <x:c r="R104" s="199" t="n">
        <x:v>100</x:v>
      </x:c>
      <x:c r="S104" s="202" t="b">
        <x:v>1</x:v>
      </x:c>
      <x:c r="T104" s="199" t="n">
        <x:v>6</x:v>
      </x:c>
      <x:c r="U104" s="199" t="str">
        <x:v>LIM-P6-009</x:v>
      </x:c>
    </x:row>
    <x:row r="105">
      <x:c r="A105" s="197" t="str">
        <x:v>BG3_permeance</x:v>
      </x:c>
      <x:c r="B105" s="197" t="str">
        <x:v>methane permeance</x:v>
      </x:c>
      <x:c r="C105" s="197" t="str">
        <x:v>membrane_methane_permeance_gpu</x:v>
      </x:c>
      <x:c r="D105" s="205" t="n">
        <x:v>30</x:v>
      </x:c>
      <x:c r="E105" s="199" t="str">
        <x:v>GPU</x:v>
      </x:c>
      <x:c r="F105" s="199" t="str">
        <x:v>BG3</x:v>
      </x:c>
      <x:c r="G105" s="199" t="str">
        <x:v>All</x:v>
      </x:c>
      <x:c r="H105" s="206" t="n">
        <x:v>0</x:v>
      </x:c>
      <x:c r="I105" s="206" t="n">
        <x:v>1000000</x:v>
      </x:c>
      <x:c r="J105" s="199" t="str">
        <x:v>none</x:v>
      </x:c>
      <x:c r="K105" s="200" t="b">
        <x:v>1</x:v>
      </x:c>
      <x:c r="L105" s="201" t="str">
        <x:v>assumed</x:v>
      </x:c>
      <x:c r="M105" s="201" t="str">
        <x:v>E</x:v>
      </x:c>
      <x:c r="N105" s="199"/>
      <x:c r="O105" s="199" t="str">
        <x:v>Class-E structural placeholder; replace with measured, experimental, literature, or vendor data before scientific, design, economic, or configuration-selection interpretation.</x:v>
      </x:c>
      <x:c r="P105" s="199"/>
      <x:c r="Q105" s="199" t="str">
        <x:v>assumed</x:v>
      </x:c>
      <x:c r="R105" s="199" t="n">
        <x:v>100</x:v>
      </x:c>
      <x:c r="S105" s="202" t="b">
        <x:v>1</x:v>
      </x:c>
      <x:c r="T105" s="199" t="n">
        <x:v>6</x:v>
      </x:c>
      <x:c r="U105" s="199" t="str">
        <x:v>LIM-P6-009</x:v>
      </x:c>
    </x:row>
    <x:row r="106">
      <x:c r="A106" s="197" t="str">
        <x:v>BG3_permeance</x:v>
      </x:c>
      <x:c r="B106" s="197" t="str">
        <x:v>carbondioxide permeance</x:v>
      </x:c>
      <x:c r="C106" s="197" t="str">
        <x:v>membrane_carbondioxide_permeance_gpu</x:v>
      </x:c>
      <x:c r="D106" s="205" t="n">
        <x:v>1000</x:v>
      </x:c>
      <x:c r="E106" s="199" t="str">
        <x:v>GPU</x:v>
      </x:c>
      <x:c r="F106" s="199" t="str">
        <x:v>BG3</x:v>
      </x:c>
      <x:c r="G106" s="199" t="str">
        <x:v>All</x:v>
      </x:c>
      <x:c r="H106" s="206" t="n">
        <x:v>0</x:v>
      </x:c>
      <x:c r="I106" s="206" t="n">
        <x:v>1000000</x:v>
      </x:c>
      <x:c r="J106" s="199" t="str">
        <x:v>none</x:v>
      </x:c>
      <x:c r="K106" s="200" t="b">
        <x:v>1</x:v>
      </x:c>
      <x:c r="L106" s="201" t="str">
        <x:v>assumed</x:v>
      </x:c>
      <x:c r="M106" s="201" t="str">
        <x:v>E</x:v>
      </x:c>
      <x:c r="N106" s="199"/>
      <x:c r="O106" s="199" t="str">
        <x:v>Class-E structural placeholder; replace with measured, experimental, literature, or vendor data before scientific, design, economic, or configuration-selection interpretation.</x:v>
      </x:c>
      <x:c r="P106" s="199"/>
      <x:c r="Q106" s="199" t="str">
        <x:v>assumed</x:v>
      </x:c>
      <x:c r="R106" s="199" t="n">
        <x:v>100</x:v>
      </x:c>
      <x:c r="S106" s="202" t="b">
        <x:v>1</x:v>
      </x:c>
      <x:c r="T106" s="199" t="n">
        <x:v>6</x:v>
      </x:c>
      <x:c r="U106" s="199" t="str">
        <x:v>LIM-P6-009</x:v>
      </x:c>
    </x:row>
    <x:row r="107">
      <x:c r="A107" s="197" t="str">
        <x:v>BG3_permeance</x:v>
      </x:c>
      <x:c r="B107" s="197" t="str">
        <x:v>hydrogen permeance</x:v>
      </x:c>
      <x:c r="C107" s="197" t="str">
        <x:v>membrane_hydrogen_permeance_gpu</x:v>
      </x:c>
      <x:c r="D107" s="205" t="n">
        <x:v>500</x:v>
      </x:c>
      <x:c r="E107" s="199" t="str">
        <x:v>GPU</x:v>
      </x:c>
      <x:c r="F107" s="199" t="str">
        <x:v>BG3</x:v>
      </x:c>
      <x:c r="G107" s="199" t="str">
        <x:v>All</x:v>
      </x:c>
      <x:c r="H107" s="206" t="n">
        <x:v>0</x:v>
      </x:c>
      <x:c r="I107" s="206" t="n">
        <x:v>1000000</x:v>
      </x:c>
      <x:c r="J107" s="199" t="str">
        <x:v>none</x:v>
      </x:c>
      <x:c r="K107" s="200" t="b">
        <x:v>1</x:v>
      </x:c>
      <x:c r="L107" s="201" t="str">
        <x:v>assumed</x:v>
      </x:c>
      <x:c r="M107" s="201" t="str">
        <x:v>E</x:v>
      </x:c>
      <x:c r="N107" s="199"/>
      <x:c r="O107" s="199" t="str">
        <x:v>Class-E structural placeholder; replace with measured, experimental, literature, or vendor data before scientific, design, economic, or configuration-selection interpretation.</x:v>
      </x:c>
      <x:c r="P107" s="199"/>
      <x:c r="Q107" s="199" t="str">
        <x:v>assumed</x:v>
      </x:c>
      <x:c r="R107" s="199" t="n">
        <x:v>100</x:v>
      </x:c>
      <x:c r="S107" s="202" t="b">
        <x:v>1</x:v>
      </x:c>
      <x:c r="T107" s="199" t="n">
        <x:v>6</x:v>
      </x:c>
      <x:c r="U107" s="199" t="str">
        <x:v>LIM-P6-009</x:v>
      </x:c>
    </x:row>
    <x:row r="108">
      <x:c r="A108" s="197" t="str">
        <x:v>BG3_permeance</x:v>
      </x:c>
      <x:c r="B108" s="197" t="str">
        <x:v>hydrogensulfide permeance</x:v>
      </x:c>
      <x:c r="C108" s="197" t="str">
        <x:v>membrane_hydrogensulfide_permeance_gpu</x:v>
      </x:c>
      <x:c r="D108" s="205" t="n">
        <x:v>1200</x:v>
      </x:c>
      <x:c r="E108" s="199" t="str">
        <x:v>GPU</x:v>
      </x:c>
      <x:c r="F108" s="199" t="str">
        <x:v>BG3</x:v>
      </x:c>
      <x:c r="G108" s="199" t="str">
        <x:v>All</x:v>
      </x:c>
      <x:c r="H108" s="206" t="n">
        <x:v>0</x:v>
      </x:c>
      <x:c r="I108" s="206" t="n">
        <x:v>1000000</x:v>
      </x:c>
      <x:c r="J108" s="199" t="str">
        <x:v>none</x:v>
      </x:c>
      <x:c r="K108" s="200" t="b">
        <x:v>1</x:v>
      </x:c>
      <x:c r="L108" s="201" t="str">
        <x:v>assumed</x:v>
      </x:c>
      <x:c r="M108" s="201" t="str">
        <x:v>E</x:v>
      </x:c>
      <x:c r="N108" s="199"/>
      <x:c r="O108" s="199" t="str">
        <x:v>Class-E structural placeholder; replace with measured, experimental, literature, or vendor data before scientific, design, economic, or configuration-selection interpretation.</x:v>
      </x:c>
      <x:c r="P108" s="199"/>
      <x:c r="Q108" s="199" t="str">
        <x:v>assumed</x:v>
      </x:c>
      <x:c r="R108" s="199" t="n">
        <x:v>100</x:v>
      </x:c>
      <x:c r="S108" s="202" t="b">
        <x:v>1</x:v>
      </x:c>
      <x:c r="T108" s="199" t="n">
        <x:v>6</x:v>
      </x:c>
      <x:c r="U108" s="199" t="str">
        <x:v>LIM-P6-009</x:v>
      </x:c>
    </x:row>
    <x:row r="109">
      <x:c r="A109" s="197" t="str">
        <x:v>BG3_permeance</x:v>
      </x:c>
      <x:c r="B109" s="197" t="str">
        <x:v>ammonia permeance</x:v>
      </x:c>
      <x:c r="C109" s="197" t="str">
        <x:v>membrane_ammonia_permeance_gpu</x:v>
      </x:c>
      <x:c r="D109" s="205" t="n">
        <x:v>1500</x:v>
      </x:c>
      <x:c r="E109" s="199" t="str">
        <x:v>GPU</x:v>
      </x:c>
      <x:c r="F109" s="199" t="str">
        <x:v>BG3</x:v>
      </x:c>
      <x:c r="G109" s="199" t="str">
        <x:v>All</x:v>
      </x:c>
      <x:c r="H109" s="206" t="n">
        <x:v>0</x:v>
      </x:c>
      <x:c r="I109" s="206" t="n">
        <x:v>1000000</x:v>
      </x:c>
      <x:c r="J109" s="199" t="str">
        <x:v>none</x:v>
      </x:c>
      <x:c r="K109" s="200" t="b">
        <x:v>1</x:v>
      </x:c>
      <x:c r="L109" s="201" t="str">
        <x:v>assumed</x:v>
      </x:c>
      <x:c r="M109" s="201" t="str">
        <x:v>E</x:v>
      </x:c>
      <x:c r="N109" s="199"/>
      <x:c r="O109" s="199" t="str">
        <x:v>Class-E structural placeholder; replace with measured, experimental, literature, or vendor data before scientific, design, economic, or configuration-selection interpretation.</x:v>
      </x:c>
      <x:c r="P109" s="199"/>
      <x:c r="Q109" s="199" t="str">
        <x:v>assumed</x:v>
      </x:c>
      <x:c r="R109" s="199" t="n">
        <x:v>100</x:v>
      </x:c>
      <x:c r="S109" s="202" t="b">
        <x:v>1</x:v>
      </x:c>
      <x:c r="T109" s="199" t="n">
        <x:v>6</x:v>
      </x:c>
      <x:c r="U109" s="199" t="str">
        <x:v>LIM-P6-009</x:v>
      </x:c>
    </x:row>
    <x:row r="110">
      <x:c r="A110" s="197" t="str">
        <x:v>BG3_permeance</x:v>
      </x:c>
      <x:c r="B110" s="197" t="str">
        <x:v>oxygen permeance</x:v>
      </x:c>
      <x:c r="C110" s="197" t="str">
        <x:v>membrane_oxygen_permeance_gpu</x:v>
      </x:c>
      <x:c r="D110" s="205" t="n">
        <x:v>80</x:v>
      </x:c>
      <x:c r="E110" s="199" t="str">
        <x:v>GPU</x:v>
      </x:c>
      <x:c r="F110" s="199" t="str">
        <x:v>BG3</x:v>
      </x:c>
      <x:c r="G110" s="199" t="str">
        <x:v>All</x:v>
      </x:c>
      <x:c r="H110" s="206" t="n">
        <x:v>0</x:v>
      </x:c>
      <x:c r="I110" s="206" t="n">
        <x:v>1000000</x:v>
      </x:c>
      <x:c r="J110" s="199" t="str">
        <x:v>none</x:v>
      </x:c>
      <x:c r="K110" s="200" t="b">
        <x:v>1</x:v>
      </x:c>
      <x:c r="L110" s="201" t="str">
        <x:v>assumed</x:v>
      </x:c>
      <x:c r="M110" s="201" t="str">
        <x:v>E</x:v>
      </x:c>
      <x:c r="N110" s="199"/>
      <x:c r="O110" s="199" t="str">
        <x:v>Class-E structural placeholder; replace with measured, experimental, literature, or vendor data before scientific, design, economic, or configuration-selection interpretation.</x:v>
      </x:c>
      <x:c r="P110" s="199"/>
      <x:c r="Q110" s="199" t="str">
        <x:v>assumed</x:v>
      </x:c>
      <x:c r="R110" s="199" t="n">
        <x:v>100</x:v>
      </x:c>
      <x:c r="S110" s="202" t="b">
        <x:v>1</x:v>
      </x:c>
      <x:c r="T110" s="199" t="n">
        <x:v>6</x:v>
      </x:c>
      <x:c r="U110" s="199" t="str">
        <x:v>LIM-P6-009</x:v>
      </x:c>
    </x:row>
    <x:row r="111">
      <x:c r="A111" s="197" t="str">
        <x:v>BG3_permeance</x:v>
      </x:c>
      <x:c r="B111" s="197" t="str">
        <x:v>nitrogen permeance</x:v>
      </x:c>
      <x:c r="C111" s="197" t="str">
        <x:v>membrane_nitrogen_permeance_gpu</x:v>
      </x:c>
      <x:c r="D111" s="205" t="n">
        <x:v>20</x:v>
      </x:c>
      <x:c r="E111" s="199" t="str">
        <x:v>GPU</x:v>
      </x:c>
      <x:c r="F111" s="199" t="str">
        <x:v>BG3</x:v>
      </x:c>
      <x:c r="G111" s="199" t="str">
        <x:v>All</x:v>
      </x:c>
      <x:c r="H111" s="206" t="n">
        <x:v>0</x:v>
      </x:c>
      <x:c r="I111" s="206" t="n">
        <x:v>1000000</x:v>
      </x:c>
      <x:c r="J111" s="199" t="str">
        <x:v>none</x:v>
      </x:c>
      <x:c r="K111" s="200" t="b">
        <x:v>1</x:v>
      </x:c>
      <x:c r="L111" s="201" t="str">
        <x:v>assumed</x:v>
      </x:c>
      <x:c r="M111" s="201" t="str">
        <x:v>E</x:v>
      </x:c>
      <x:c r="N111" s="199"/>
      <x:c r="O111" s="199" t="str">
        <x:v>Class-E structural placeholder; replace with measured, experimental, literature, or vendor data before scientific, design, economic, or configuration-selection interpretation.</x:v>
      </x:c>
      <x:c r="P111" s="199"/>
      <x:c r="Q111" s="199" t="str">
        <x:v>assumed</x:v>
      </x:c>
      <x:c r="R111" s="199" t="n">
        <x:v>100</x:v>
      </x:c>
      <x:c r="S111" s="202" t="b">
        <x:v>1</x:v>
      </x:c>
      <x:c r="T111" s="199" t="n">
        <x:v>6</x:v>
      </x:c>
      <x:c r="U111" s="199" t="str">
        <x:v>LIM-P6-009</x:v>
      </x:c>
    </x:row>
    <x:row r="112">
      <x:c r="A112" s="197" t="str">
        <x:v>BG3_permeance</x:v>
      </x:c>
      <x:c r="B112" s="197" t="str">
        <x:v>siloxanes permeance</x:v>
      </x:c>
      <x:c r="C112" s="197" t="str">
        <x:v>membrane_siloxanes_permeance_gpu</x:v>
      </x:c>
      <x:c r="D112" s="205" t="n">
        <x:v>5</x:v>
      </x:c>
      <x:c r="E112" s="199" t="str">
        <x:v>GPU</x:v>
      </x:c>
      <x:c r="F112" s="199" t="str">
        <x:v>BG3</x:v>
      </x:c>
      <x:c r="G112" s="199" t="str">
        <x:v>All</x:v>
      </x:c>
      <x:c r="H112" s="206" t="n">
        <x:v>0</x:v>
      </x:c>
      <x:c r="I112" s="206" t="n">
        <x:v>1000000</x:v>
      </x:c>
      <x:c r="J112" s="199" t="str">
        <x:v>none</x:v>
      </x:c>
      <x:c r="K112" s="200" t="b">
        <x:v>1</x:v>
      </x:c>
      <x:c r="L112" s="201" t="str">
        <x:v>assumed</x:v>
      </x:c>
      <x:c r="M112" s="201" t="str">
        <x:v>E</x:v>
      </x:c>
      <x:c r="N112" s="199"/>
      <x:c r="O112" s="199" t="str">
        <x:v>Class-E structural placeholder; replace with measured, experimental, literature, or vendor data before scientific, design, economic, or configuration-selection interpretation.</x:v>
      </x:c>
      <x:c r="P112" s="199"/>
      <x:c r="Q112" s="199" t="str">
        <x:v>assumed</x:v>
      </x:c>
      <x:c r="R112" s="199" t="n">
        <x:v>100</x:v>
      </x:c>
      <x:c r="S112" s="202" t="b">
        <x:v>1</x:v>
      </x:c>
      <x:c r="T112" s="199" t="n">
        <x:v>6</x:v>
      </x:c>
      <x:c r="U112" s="199" t="str">
        <x:v>LIM-P6-009</x:v>
      </x:c>
    </x:row>
    <x:row r="113">
      <x:c r="A113" s="197" t="str">
        <x:v>BG3_permeance</x:v>
      </x:c>
      <x:c r="B113" s="197" t="str">
        <x:v>water permeance</x:v>
      </x:c>
      <x:c r="C113" s="197" t="str">
        <x:v>membrane_water_permeance_gpu</x:v>
      </x:c>
      <x:c r="D113" s="205" t="n">
        <x:v>2000</x:v>
      </x:c>
      <x:c r="E113" s="199" t="str">
        <x:v>GPU</x:v>
      </x:c>
      <x:c r="F113" s="199" t="str">
        <x:v>BG3</x:v>
      </x:c>
      <x:c r="G113" s="199" t="str">
        <x:v>All</x:v>
      </x:c>
      <x:c r="H113" s="206" t="n">
        <x:v>0</x:v>
      </x:c>
      <x:c r="I113" s="206" t="n">
        <x:v>1000000</x:v>
      </x:c>
      <x:c r="J113" s="199" t="str">
        <x:v>none</x:v>
      </x:c>
      <x:c r="K113" s="200" t="b">
        <x:v>1</x:v>
      </x:c>
      <x:c r="L113" s="201" t="str">
        <x:v>assumed</x:v>
      </x:c>
      <x:c r="M113" s="201" t="str">
        <x:v>E</x:v>
      </x:c>
      <x:c r="N113" s="199"/>
      <x:c r="O113" s="199" t="str">
        <x:v>Class-E structural placeholder; replace with measured, experimental, literature, or vendor data before scientific, design, economic, or configuration-selection interpretation.</x:v>
      </x:c>
      <x:c r="P113" s="199"/>
      <x:c r="Q113" s="199" t="str">
        <x:v>assumed</x:v>
      </x:c>
      <x:c r="R113" s="199" t="n">
        <x:v>100</x:v>
      </x:c>
      <x:c r="S113" s="202" t="b">
        <x:v>1</x:v>
      </x:c>
      <x:c r="T113" s="199" t="n">
        <x:v>6</x:v>
      </x:c>
      <x:c r="U113" s="199" t="str">
        <x:v>LIM-P6-009</x:v>
      </x:c>
    </x:row>
    <x:row r="114">
      <x:c r="A114" s="197" t="str">
        <x:v>BG4_PSA</x:v>
      </x:c>
      <x:c r="B114" s="197" t="str">
        <x:v>PSA adsorption pressure</x:v>
      </x:c>
      <x:c r="C114" s="197" t="str">
        <x:v>psa_adsorption_pressure_bar</x:v>
      </x:c>
      <x:c r="D114" s="205" t="n">
        <x:v>6</x:v>
      </x:c>
      <x:c r="E114" s="199" t="str">
        <x:v>bar</x:v>
      </x:c>
      <x:c r="F114" s="199" t="str">
        <x:v>BG4</x:v>
      </x:c>
      <x:c r="G114" s="199" t="str">
        <x:v>All</x:v>
      </x:c>
      <x:c r="H114" s="206" t="n">
        <x:v>0.000001</x:v>
      </x:c>
      <x:c r="I114" s="206" t="n">
        <x:v>100</x:v>
      </x:c>
      <x:c r="J114" s="199" t="str">
        <x:v>none</x:v>
      </x:c>
      <x:c r="K114" s="200" t="b">
        <x:v>1</x:v>
      </x:c>
      <x:c r="L114" s="201" t="str">
        <x:v>assumed</x:v>
      </x:c>
      <x:c r="M114" s="201" t="str">
        <x:v>E</x:v>
      </x:c>
      <x:c r="N114" s="199"/>
      <x:c r="O114" s="199" t="str">
        <x:v>Class-E structural placeholder; replace with measured, experimental, literature, or vendor data before scientific, design, economic, or configuration-selection interpretation.</x:v>
      </x:c>
      <x:c r="P114" s="199"/>
      <x:c r="Q114" s="199" t="str">
        <x:v>assumed</x:v>
      </x:c>
      <x:c r="R114" s="199" t="n">
        <x:v>100</x:v>
      </x:c>
      <x:c r="S114" s="202" t="b">
        <x:v>1</x:v>
      </x:c>
      <x:c r="T114" s="199" t="n">
        <x:v>6</x:v>
      </x:c>
      <x:c r="U114" s="199" t="str">
        <x:v>LIM-P6-010</x:v>
      </x:c>
    </x:row>
    <x:row r="115">
      <x:c r="A115" s="197" t="str">
        <x:v>BG4_PSA</x:v>
      </x:c>
      <x:c r="B115" s="197" t="str">
        <x:v>PSA blowdown pressure</x:v>
      </x:c>
      <x:c r="C115" s="197" t="str">
        <x:v>psa_blowdown_pressure_bar</x:v>
      </x:c>
      <x:c r="D115" s="205" t="n">
        <x:v>1.05</x:v>
      </x:c>
      <x:c r="E115" s="199" t="str">
        <x:v>bar</x:v>
      </x:c>
      <x:c r="F115" s="199" t="str">
        <x:v>BG4</x:v>
      </x:c>
      <x:c r="G115" s="199" t="str">
        <x:v>All</x:v>
      </x:c>
      <x:c r="H115" s="206" t="n">
        <x:v>0.000001</x:v>
      </x:c>
      <x:c r="I115" s="206" t="n">
        <x:v>100</x:v>
      </x:c>
      <x:c r="J115" s="199" t="str">
        <x:v>none</x:v>
      </x:c>
      <x:c r="K115" s="200" t="b">
        <x:v>1</x:v>
      </x:c>
      <x:c r="L115" s="201" t="str">
        <x:v>assumed</x:v>
      </x:c>
      <x:c r="M115" s="201" t="str">
        <x:v>E</x:v>
      </x:c>
      <x:c r="N115" s="199"/>
      <x:c r="O115" s="199" t="str">
        <x:v>Class-E structural placeholder; replace with measured, experimental, literature, or vendor data before scientific, design, economic, or configuration-selection interpretation.</x:v>
      </x:c>
      <x:c r="P115" s="199"/>
      <x:c r="Q115" s="199" t="str">
        <x:v>assumed</x:v>
      </x:c>
      <x:c r="R115" s="199" t="n">
        <x:v>100</x:v>
      </x:c>
      <x:c r="S115" s="202" t="b">
        <x:v>1</x:v>
      </x:c>
      <x:c r="T115" s="199" t="n">
        <x:v>6</x:v>
      </x:c>
      <x:c r="U115" s="199" t="str">
        <x:v>LIM-P6-010</x:v>
      </x:c>
    </x:row>
    <x:row r="116">
      <x:c r="A116" s="197" t="str">
        <x:v>BG4_PSA</x:v>
      </x:c>
      <x:c r="B116" s="197" t="str">
        <x:v>C631 efficiency</x:v>
      </x:c>
      <x:c r="C116" s="197" t="str">
        <x:v>psa_compressor_efficiency</x:v>
      </x:c>
      <x:c r="D116" s="205" t="n">
        <x:v>0.75</x:v>
      </x:c>
      <x:c r="E116" s="199" t="str">
        <x:v>fraction</x:v>
      </x:c>
      <x:c r="F116" s="199" t="str">
        <x:v>BG4</x:v>
      </x:c>
      <x:c r="G116" s="199" t="str">
        <x:v>All</x:v>
      </x:c>
      <x:c r="H116" s="206" t="n">
        <x:v>0.000001</x:v>
      </x:c>
      <x:c r="I116" s="206" t="n">
        <x:v>1</x:v>
      </x:c>
      <x:c r="J116" s="199" t="str">
        <x:v>none</x:v>
      </x:c>
      <x:c r="K116" s="200" t="b">
        <x:v>1</x:v>
      </x:c>
      <x:c r="L116" s="201" t="str">
        <x:v>assumed</x:v>
      </x:c>
      <x:c r="M116" s="201" t="str">
        <x:v>E</x:v>
      </x:c>
      <x:c r="N116" s="199"/>
      <x:c r="O116" s="199" t="str">
        <x:v>Class-E structural placeholder; replace with measured, experimental, literature, or vendor data before scientific, design, economic, or configuration-selection interpretation.</x:v>
      </x:c>
      <x:c r="P116" s="199"/>
      <x:c r="Q116" s="199" t="str">
        <x:v>assumed</x:v>
      </x:c>
      <x:c r="R116" s="199" t="n">
        <x:v>100</x:v>
      </x:c>
      <x:c r="S116" s="202" t="b">
        <x:v>1</x:v>
      </x:c>
      <x:c r="T116" s="199" t="n">
        <x:v>6</x:v>
      </x:c>
      <x:c r="U116" s="199" t="str">
        <x:v>LIM-P6-010</x:v>
      </x:c>
    </x:row>
    <x:row r="117">
      <x:c r="A117" s="197" t="str">
        <x:v>BG4_PSA</x:v>
      </x:c>
      <x:c r="B117" s="197" t="str">
        <x:v>D631 water removal</x:v>
      </x:c>
      <x:c r="C117" s="197" t="str">
        <x:v>psa_dryer_water_removal_fraction</x:v>
      </x:c>
      <x:c r="D117" s="205" t="n">
        <x:v>0.999</x:v>
      </x:c>
      <x:c r="E117" s="199" t="str">
        <x:v>fraction</x:v>
      </x:c>
      <x:c r="F117" s="199" t="str">
        <x:v>BG4</x:v>
      </x:c>
      <x:c r="G117" s="199" t="str">
        <x:v>All</x:v>
      </x:c>
      <x:c r="H117" s="206" t="n">
        <x:v>0</x:v>
      </x:c>
      <x:c r="I117" s="206" t="n">
        <x:v>1</x:v>
      </x:c>
      <x:c r="J117" s="199" t="str">
        <x:v>none</x:v>
      </x:c>
      <x:c r="K117" s="200" t="b">
        <x:v>1</x:v>
      </x:c>
      <x:c r="L117" s="201" t="str">
        <x:v>assumed</x:v>
      </x:c>
      <x:c r="M117" s="201" t="str">
        <x:v>E</x:v>
      </x:c>
      <x:c r="N117" s="199"/>
      <x:c r="O117" s="199" t="str">
        <x:v>Class-E structural placeholder; replace with measured, experimental, literature, or vendor data before scientific, design, economic, or configuration-selection interpretation.</x:v>
      </x:c>
      <x:c r="P117" s="199"/>
      <x:c r="Q117" s="199" t="str">
        <x:v>assumed</x:v>
      </x:c>
      <x:c r="R117" s="199" t="n">
        <x:v>100</x:v>
      </x:c>
      <x:c r="S117" s="202" t="b">
        <x:v>1</x:v>
      </x:c>
      <x:c r="T117" s="199" t="n">
        <x:v>6</x:v>
      </x:c>
      <x:c r="U117" s="199" t="str">
        <x:v>LIM-P6-008</x:v>
      </x:c>
    </x:row>
    <x:row r="118">
      <x:c r="A118" s="197" t="str">
        <x:v>BG4_PSA</x:v>
      </x:c>
      <x:c r="B118" s="197" t="str">
        <x:v>D631 pressure drop</x:v>
      </x:c>
      <x:c r="C118" s="197" t="str">
        <x:v>psa_dryer_pressure_drop_pa</x:v>
      </x:c>
      <x:c r="D118" s="205" t="n">
        <x:v>10000</x:v>
      </x:c>
      <x:c r="E118" s="199" t="str">
        <x:v>Pa</x:v>
      </x:c>
      <x:c r="F118" s="199" t="str">
        <x:v>BG4</x:v>
      </x:c>
      <x:c r="G118" s="199" t="str">
        <x:v>All</x:v>
      </x:c>
      <x:c r="H118" s="206" t="n">
        <x:v>0</x:v>
      </x:c>
      <x:c r="I118" s="206" t="n">
        <x:v>1000000</x:v>
      </x:c>
      <x:c r="J118" s="199" t="str">
        <x:v>none</x:v>
      </x:c>
      <x:c r="K118" s="200" t="b">
        <x:v>1</x:v>
      </x:c>
      <x:c r="L118" s="201" t="str">
        <x:v>assumed</x:v>
      </x:c>
      <x:c r="M118" s="201" t="str">
        <x:v>E</x:v>
      </x:c>
      <x:c r="N118" s="199"/>
      <x:c r="O118" s="199" t="str">
        <x:v>Class-E structural placeholder; replace with measured, experimental, literature, or vendor data before scientific, design, economic, or configuration-selection interpretation.</x:v>
      </x:c>
      <x:c r="P118" s="199"/>
      <x:c r="Q118" s="199" t="str">
        <x:v>assumed</x:v>
      </x:c>
      <x:c r="R118" s="199" t="n">
        <x:v>100</x:v>
      </x:c>
      <x:c r="S118" s="202" t="b">
        <x:v>1</x:v>
      </x:c>
      <x:c r="T118" s="199" t="n">
        <x:v>6</x:v>
      </x:c>
      <x:c r="U118" s="199" t="str">
        <x:v>LIM-P6-008</x:v>
      </x:c>
    </x:row>
    <x:row r="119">
      <x:c r="A119" s="197" t="str">
        <x:v>BG4_PSA</x:v>
      </x:c>
      <x:c r="B119" s="197" t="str">
        <x:v>PSA reference pressure</x:v>
      </x:c>
      <x:c r="C119" s="197" t="str">
        <x:v>psa_reference_pressure_bar</x:v>
      </x:c>
      <x:c r="D119" s="205" t="n">
        <x:v>6</x:v>
      </x:c>
      <x:c r="E119" s="199" t="str">
        <x:v>bar</x:v>
      </x:c>
      <x:c r="F119" s="199" t="str">
        <x:v>BG4</x:v>
      </x:c>
      <x:c r="G119" s="199" t="str">
        <x:v>All</x:v>
      </x:c>
      <x:c r="H119" s="206" t="n">
        <x:v>0.000001</x:v>
      </x:c>
      <x:c r="I119" s="206" t="n">
        <x:v>100</x:v>
      </x:c>
      <x:c r="J119" s="199" t="str">
        <x:v>none</x:v>
      </x:c>
      <x:c r="K119" s="200" t="b">
        <x:v>1</x:v>
      </x:c>
      <x:c r="L119" s="201" t="str">
        <x:v>assumed</x:v>
      </x:c>
      <x:c r="M119" s="201" t="str">
        <x:v>E</x:v>
      </x:c>
      <x:c r="N119" s="199"/>
      <x:c r="O119" s="199" t="str">
        <x:v>Class-E structural placeholder; replace with measured, experimental, literature, or vendor data before scientific, design, economic, or configuration-selection interpretation.</x:v>
      </x:c>
      <x:c r="P119" s="199"/>
      <x:c r="Q119" s="199" t="str">
        <x:v>assumed</x:v>
      </x:c>
      <x:c r="R119" s="199" t="n">
        <x:v>100</x:v>
      </x:c>
      <x:c r="S119" s="202" t="b">
        <x:v>1</x:v>
      </x:c>
      <x:c r="T119" s="199" t="n">
        <x:v>6</x:v>
      </x:c>
      <x:c r="U119" s="199" t="str">
        <x:v>LIM-P6-010</x:v>
      </x:c>
    </x:row>
    <x:row r="120">
      <x:c r="A120" s="197" t="str">
        <x:v>BG4_adsorption</x:v>
      </x:c>
      <x:c r="B120" s="197" t="str">
        <x:v>methane cycle-average adsorption</x:v>
      </x:c>
      <x:c r="C120" s="197" t="str">
        <x:v>psa_methane_adsorption_fraction</x:v>
      </x:c>
      <x:c r="D120" s="205" t="n">
        <x:v>0.03</x:v>
      </x:c>
      <x:c r="E120" s="199" t="str">
        <x:v>fraction</x:v>
      </x:c>
      <x:c r="F120" s="199" t="str">
        <x:v>BG4</x:v>
      </x:c>
      <x:c r="G120" s="199" t="str">
        <x:v>All</x:v>
      </x:c>
      <x:c r="H120" s="206" t="n">
        <x:v>0</x:v>
      </x:c>
      <x:c r="I120" s="206" t="n">
        <x:v>1</x:v>
      </x:c>
      <x:c r="J120" s="199" t="str">
        <x:v>none</x:v>
      </x:c>
      <x:c r="K120" s="200" t="b">
        <x:v>1</x:v>
      </x:c>
      <x:c r="L120" s="201" t="str">
        <x:v>assumed</x:v>
      </x:c>
      <x:c r="M120" s="201" t="str">
        <x:v>E</x:v>
      </x:c>
      <x:c r="N120" s="199"/>
      <x:c r="O120" s="199" t="str">
        <x:v>Class-E structural placeholder; replace with measured, experimental, literature, or vendor data before scientific, design, economic, or configuration-selection interpretation.</x:v>
      </x:c>
      <x:c r="P120" s="199"/>
      <x:c r="Q120" s="199" t="str">
        <x:v>assumed</x:v>
      </x:c>
      <x:c r="R120" s="199" t="n">
        <x:v>100</x:v>
      </x:c>
      <x:c r="S120" s="202" t="b">
        <x:v>1</x:v>
      </x:c>
      <x:c r="T120" s="199" t="n">
        <x:v>6</x:v>
      </x:c>
      <x:c r="U120" s="199" t="str">
        <x:v>LIM-P6-010</x:v>
      </x:c>
    </x:row>
    <x:row r="121">
      <x:c r="A121" s="197" t="str">
        <x:v>BG4_adsorption</x:v>
      </x:c>
      <x:c r="B121" s="197" t="str">
        <x:v>carbondioxide cycle-average adsorption</x:v>
      </x:c>
      <x:c r="C121" s="197" t="str">
        <x:v>psa_carbondioxide_adsorption_fraction</x:v>
      </x:c>
      <x:c r="D121" s="205" t="n">
        <x:v>0.92</x:v>
      </x:c>
      <x:c r="E121" s="199" t="str">
        <x:v>fraction</x:v>
      </x:c>
      <x:c r="F121" s="199" t="str">
        <x:v>BG4</x:v>
      </x:c>
      <x:c r="G121" s="199" t="str">
        <x:v>All</x:v>
      </x:c>
      <x:c r="H121" s="206" t="n">
        <x:v>0</x:v>
      </x:c>
      <x:c r="I121" s="206" t="n">
        <x:v>1</x:v>
      </x:c>
      <x:c r="J121" s="199" t="str">
        <x:v>none</x:v>
      </x:c>
      <x:c r="K121" s="200" t="b">
        <x:v>1</x:v>
      </x:c>
      <x:c r="L121" s="201" t="str">
        <x:v>assumed</x:v>
      </x:c>
      <x:c r="M121" s="201" t="str">
        <x:v>E</x:v>
      </x:c>
      <x:c r="N121" s="199"/>
      <x:c r="O121" s="199" t="str">
        <x:v>Class-E structural placeholder; replace with measured, experimental, literature, or vendor data before scientific, design, economic, or configuration-selection interpretation.</x:v>
      </x:c>
      <x:c r="P121" s="199"/>
      <x:c r="Q121" s="199" t="str">
        <x:v>assumed</x:v>
      </x:c>
      <x:c r="R121" s="199" t="n">
        <x:v>100</x:v>
      </x:c>
      <x:c r="S121" s="202" t="b">
        <x:v>1</x:v>
      </x:c>
      <x:c r="T121" s="199" t="n">
        <x:v>6</x:v>
      </x:c>
      <x:c r="U121" s="199" t="str">
        <x:v>LIM-P6-010</x:v>
      </x:c>
    </x:row>
    <x:row r="122">
      <x:c r="A122" s="197" t="str">
        <x:v>BG4_adsorption</x:v>
      </x:c>
      <x:c r="B122" s="197" t="str">
        <x:v>hydrogen cycle-average adsorption</x:v>
      </x:c>
      <x:c r="C122" s="197" t="str">
        <x:v>psa_hydrogen_adsorption_fraction</x:v>
      </x:c>
      <x:c r="D122" s="205" t="n">
        <x:v>0.05</x:v>
      </x:c>
      <x:c r="E122" s="199" t="str">
        <x:v>fraction</x:v>
      </x:c>
      <x:c r="F122" s="199" t="str">
        <x:v>BG4</x:v>
      </x:c>
      <x:c r="G122" s="199" t="str">
        <x:v>All</x:v>
      </x:c>
      <x:c r="H122" s="206" t="n">
        <x:v>0</x:v>
      </x:c>
      <x:c r="I122" s="206" t="n">
        <x:v>1</x:v>
      </x:c>
      <x:c r="J122" s="199" t="str">
        <x:v>none</x:v>
      </x:c>
      <x:c r="K122" s="200" t="b">
        <x:v>1</x:v>
      </x:c>
      <x:c r="L122" s="201" t="str">
        <x:v>assumed</x:v>
      </x:c>
      <x:c r="M122" s="201" t="str">
        <x:v>E</x:v>
      </x:c>
      <x:c r="N122" s="199"/>
      <x:c r="O122" s="199" t="str">
        <x:v>Class-E structural placeholder; replace with measured, experimental, literature, or vendor data before scientific, design, economic, or configuration-selection interpretation.</x:v>
      </x:c>
      <x:c r="P122" s="199"/>
      <x:c r="Q122" s="199" t="str">
        <x:v>assumed</x:v>
      </x:c>
      <x:c r="R122" s="199" t="n">
        <x:v>100</x:v>
      </x:c>
      <x:c r="S122" s="202" t="b">
        <x:v>1</x:v>
      </x:c>
      <x:c r="T122" s="199" t="n">
        <x:v>6</x:v>
      </x:c>
      <x:c r="U122" s="199" t="str">
        <x:v>LIM-P6-010</x:v>
      </x:c>
    </x:row>
    <x:row r="123">
      <x:c r="A123" s="197" t="str">
        <x:v>BG4_adsorption</x:v>
      </x:c>
      <x:c r="B123" s="197" t="str">
        <x:v>hydrogensulfide cycle-average adsorption</x:v>
      </x:c>
      <x:c r="C123" s="197" t="str">
        <x:v>psa_hydrogensulfide_adsorption_fraction</x:v>
      </x:c>
      <x:c r="D123" s="205" t="n">
        <x:v>0.99</x:v>
      </x:c>
      <x:c r="E123" s="199" t="str">
        <x:v>fraction</x:v>
      </x:c>
      <x:c r="F123" s="199" t="str">
        <x:v>BG4</x:v>
      </x:c>
      <x:c r="G123" s="199" t="str">
        <x:v>All</x:v>
      </x:c>
      <x:c r="H123" s="206" t="n">
        <x:v>0</x:v>
      </x:c>
      <x:c r="I123" s="206" t="n">
        <x:v>1</x:v>
      </x:c>
      <x:c r="J123" s="199" t="str">
        <x:v>none</x:v>
      </x:c>
      <x:c r="K123" s="200" t="b">
        <x:v>1</x:v>
      </x:c>
      <x:c r="L123" s="201" t="str">
        <x:v>assumed</x:v>
      </x:c>
      <x:c r="M123" s="201" t="str">
        <x:v>E</x:v>
      </x:c>
      <x:c r="N123" s="199"/>
      <x:c r="O123" s="199" t="str">
        <x:v>Class-E structural placeholder; replace with measured, experimental, literature, or vendor data before scientific, design, economic, or configuration-selection interpretation.</x:v>
      </x:c>
      <x:c r="P123" s="199"/>
      <x:c r="Q123" s="199" t="str">
        <x:v>assumed</x:v>
      </x:c>
      <x:c r="R123" s="199" t="n">
        <x:v>100</x:v>
      </x:c>
      <x:c r="S123" s="202" t="b">
        <x:v>1</x:v>
      </x:c>
      <x:c r="T123" s="199" t="n">
        <x:v>6</x:v>
      </x:c>
      <x:c r="U123" s="199" t="str">
        <x:v>LIM-P6-010</x:v>
      </x:c>
    </x:row>
    <x:row r="124">
      <x:c r="A124" s="197" t="str">
        <x:v>BG4_adsorption</x:v>
      </x:c>
      <x:c r="B124" s="197" t="str">
        <x:v>ammonia cycle-average adsorption</x:v>
      </x:c>
      <x:c r="C124" s="197" t="str">
        <x:v>psa_ammonia_adsorption_fraction</x:v>
      </x:c>
      <x:c r="D124" s="205" t="n">
        <x:v>0.99</x:v>
      </x:c>
      <x:c r="E124" s="199" t="str">
        <x:v>fraction</x:v>
      </x:c>
      <x:c r="F124" s="199" t="str">
        <x:v>BG4</x:v>
      </x:c>
      <x:c r="G124" s="199" t="str">
        <x:v>All</x:v>
      </x:c>
      <x:c r="H124" s="206" t="n">
        <x:v>0</x:v>
      </x:c>
      <x:c r="I124" s="206" t="n">
        <x:v>1</x:v>
      </x:c>
      <x:c r="J124" s="199" t="str">
        <x:v>none</x:v>
      </x:c>
      <x:c r="K124" s="200" t="b">
        <x:v>1</x:v>
      </x:c>
      <x:c r="L124" s="201" t="str">
        <x:v>assumed</x:v>
      </x:c>
      <x:c r="M124" s="201" t="str">
        <x:v>E</x:v>
      </x:c>
      <x:c r="N124" s="199"/>
      <x:c r="O124" s="199" t="str">
        <x:v>Class-E structural placeholder; replace with measured, experimental, literature, or vendor data before scientific, design, economic, or configuration-selection interpretation.</x:v>
      </x:c>
      <x:c r="P124" s="199"/>
      <x:c r="Q124" s="199" t="str">
        <x:v>assumed</x:v>
      </x:c>
      <x:c r="R124" s="199" t="n">
        <x:v>100</x:v>
      </x:c>
      <x:c r="S124" s="202" t="b">
        <x:v>1</x:v>
      </x:c>
      <x:c r="T124" s="199" t="n">
        <x:v>6</x:v>
      </x:c>
      <x:c r="U124" s="199" t="str">
        <x:v>LIM-P6-010</x:v>
      </x:c>
    </x:row>
    <x:row r="125">
      <x:c r="A125" s="197" t="str">
        <x:v>BG4_adsorption</x:v>
      </x:c>
      <x:c r="B125" s="197" t="str">
        <x:v>oxygen cycle-average adsorption</x:v>
      </x:c>
      <x:c r="C125" s="197" t="str">
        <x:v>psa_oxygen_adsorption_fraction</x:v>
      </x:c>
      <x:c r="D125" s="205" t="n">
        <x:v>0.08</x:v>
      </x:c>
      <x:c r="E125" s="199" t="str">
        <x:v>fraction</x:v>
      </x:c>
      <x:c r="F125" s="199" t="str">
        <x:v>BG4</x:v>
      </x:c>
      <x:c r="G125" s="199" t="str">
        <x:v>All</x:v>
      </x:c>
      <x:c r="H125" s="206" t="n">
        <x:v>0</x:v>
      </x:c>
      <x:c r="I125" s="206" t="n">
        <x:v>1</x:v>
      </x:c>
      <x:c r="J125" s="199" t="str">
        <x:v>none</x:v>
      </x:c>
      <x:c r="K125" s="200" t="b">
        <x:v>1</x:v>
      </x:c>
      <x:c r="L125" s="201" t="str">
        <x:v>assumed</x:v>
      </x:c>
      <x:c r="M125" s="201" t="str">
        <x:v>E</x:v>
      </x:c>
      <x:c r="N125" s="199"/>
      <x:c r="O125" s="199" t="str">
        <x:v>Class-E structural placeholder; replace with measured, experimental, literature, or vendor data before scientific, design, economic, or configuration-selection interpretation.</x:v>
      </x:c>
      <x:c r="P125" s="199"/>
      <x:c r="Q125" s="199" t="str">
        <x:v>assumed</x:v>
      </x:c>
      <x:c r="R125" s="199" t="n">
        <x:v>100</x:v>
      </x:c>
      <x:c r="S125" s="202" t="b">
        <x:v>1</x:v>
      </x:c>
      <x:c r="T125" s="199" t="n">
        <x:v>6</x:v>
      </x:c>
      <x:c r="U125" s="199" t="str">
        <x:v>LIM-P6-010</x:v>
      </x:c>
    </x:row>
    <x:row r="126">
      <x:c r="A126" s="197" t="str">
        <x:v>BG4_adsorption</x:v>
      </x:c>
      <x:c r="B126" s="197" t="str">
        <x:v>nitrogen cycle-average adsorption</x:v>
      </x:c>
      <x:c r="C126" s="197" t="str">
        <x:v>psa_nitrogen_adsorption_fraction</x:v>
      </x:c>
      <x:c r="D126" s="205" t="n">
        <x:v>0.05</x:v>
      </x:c>
      <x:c r="E126" s="199" t="str">
        <x:v>fraction</x:v>
      </x:c>
      <x:c r="F126" s="199" t="str">
        <x:v>BG4</x:v>
      </x:c>
      <x:c r="G126" s="199" t="str">
        <x:v>All</x:v>
      </x:c>
      <x:c r="H126" s="206" t="n">
        <x:v>0</x:v>
      </x:c>
      <x:c r="I126" s="206" t="n">
        <x:v>1</x:v>
      </x:c>
      <x:c r="J126" s="199" t="str">
        <x:v>none</x:v>
      </x:c>
      <x:c r="K126" s="200" t="b">
        <x:v>1</x:v>
      </x:c>
      <x:c r="L126" s="201" t="str">
        <x:v>assumed</x:v>
      </x:c>
      <x:c r="M126" s="201" t="str">
        <x:v>E</x:v>
      </x:c>
      <x:c r="N126" s="199"/>
      <x:c r="O126" s="199" t="str">
        <x:v>Class-E structural placeholder; replace with measured, experimental, literature, or vendor data before scientific, design, economic, or configuration-selection interpretation.</x:v>
      </x:c>
      <x:c r="P126" s="199"/>
      <x:c r="Q126" s="199" t="str">
        <x:v>assumed</x:v>
      </x:c>
      <x:c r="R126" s="199" t="n">
        <x:v>100</x:v>
      </x:c>
      <x:c r="S126" s="202" t="b">
        <x:v>1</x:v>
      </x:c>
      <x:c r="T126" s="199" t="n">
        <x:v>6</x:v>
      </x:c>
      <x:c r="U126" s="199" t="str">
        <x:v>LIM-P6-010</x:v>
      </x:c>
    </x:row>
    <x:row r="127">
      <x:c r="A127" s="197" t="str">
        <x:v>BG4_adsorption</x:v>
      </x:c>
      <x:c r="B127" s="197" t="str">
        <x:v>siloxanes cycle-average adsorption</x:v>
      </x:c>
      <x:c r="C127" s="197" t="str">
        <x:v>psa_siloxanes_adsorption_fraction</x:v>
      </x:c>
      <x:c r="D127" s="205" t="n">
        <x:v>0.95</x:v>
      </x:c>
      <x:c r="E127" s="199" t="str">
        <x:v>fraction</x:v>
      </x:c>
      <x:c r="F127" s="199" t="str">
        <x:v>BG4</x:v>
      </x:c>
      <x:c r="G127" s="199" t="str">
        <x:v>All</x:v>
      </x:c>
      <x:c r="H127" s="206" t="n">
        <x:v>0</x:v>
      </x:c>
      <x:c r="I127" s="206" t="n">
        <x:v>1</x:v>
      </x:c>
      <x:c r="J127" s="199" t="str">
        <x:v>none</x:v>
      </x:c>
      <x:c r="K127" s="200" t="b">
        <x:v>1</x:v>
      </x:c>
      <x:c r="L127" s="201" t="str">
        <x:v>assumed</x:v>
      </x:c>
      <x:c r="M127" s="201" t="str">
        <x:v>E</x:v>
      </x:c>
      <x:c r="N127" s="199"/>
      <x:c r="O127" s="199" t="str">
        <x:v>Class-E structural placeholder; replace with measured, experimental, literature, or vendor data before scientific, design, economic, or configuration-selection interpretation.</x:v>
      </x:c>
      <x:c r="P127" s="199"/>
      <x:c r="Q127" s="199" t="str">
        <x:v>assumed</x:v>
      </x:c>
      <x:c r="R127" s="199" t="n">
        <x:v>100</x:v>
      </x:c>
      <x:c r="S127" s="202" t="b">
        <x:v>1</x:v>
      </x:c>
      <x:c r="T127" s="199" t="n">
        <x:v>6</x:v>
      </x:c>
      <x:c r="U127" s="199" t="str">
        <x:v>LIM-P6-010</x:v>
      </x:c>
    </x:row>
    <x:row r="128">
      <x:c r="A128" s="197" t="str">
        <x:v>BG4_adsorption</x:v>
      </x:c>
      <x:c r="B128" s="197" t="str">
        <x:v>water cycle-average adsorption</x:v>
      </x:c>
      <x:c r="C128" s="197" t="str">
        <x:v>psa_water_adsorption_fraction</x:v>
      </x:c>
      <x:c r="D128" s="205" t="n">
        <x:v>0.99</x:v>
      </x:c>
      <x:c r="E128" s="199" t="str">
        <x:v>fraction</x:v>
      </x:c>
      <x:c r="F128" s="199" t="str">
        <x:v>BG4</x:v>
      </x:c>
      <x:c r="G128" s="199" t="str">
        <x:v>All</x:v>
      </x:c>
      <x:c r="H128" s="206" t="n">
        <x:v>0</x:v>
      </x:c>
      <x:c r="I128" s="206" t="n">
        <x:v>1</x:v>
      </x:c>
      <x:c r="J128" s="199" t="str">
        <x:v>none</x:v>
      </x:c>
      <x:c r="K128" s="200" t="b">
        <x:v>1</x:v>
      </x:c>
      <x:c r="L128" s="201" t="str">
        <x:v>assumed</x:v>
      </x:c>
      <x:c r="M128" s="201" t="str">
        <x:v>E</x:v>
      </x:c>
      <x:c r="N128" s="199"/>
      <x:c r="O128" s="199" t="str">
        <x:v>Class-E structural placeholder; replace with measured, experimental, literature, or vendor data before scientific, design, economic, or configuration-selection interpretation.</x:v>
      </x:c>
      <x:c r="P128" s="199"/>
      <x:c r="Q128" s="199" t="str">
        <x:v>assumed</x:v>
      </x:c>
      <x:c r="R128" s="199" t="n">
        <x:v>100</x:v>
      </x:c>
      <x:c r="S128" s="202" t="b">
        <x:v>1</x:v>
      </x:c>
      <x:c r="T128" s="199" t="n">
        <x:v>6</x:v>
      </x:c>
      <x:c r="U128" s="199" t="str">
        <x:v>LIM-P6-010</x:v>
      </x:c>
    </x:row>
    <x:row r="129">
      <x:c r="A129" s="197" t="str">
        <x:v>BG4_PSA</x:v>
      </x:c>
      <x:c r="B129" s="197" t="str">
        <x:v>Product purge fraction</x:v>
      </x:c>
      <x:c r="C129" s="197" t="str">
        <x:v>psa_purge_fraction</x:v>
      </x:c>
      <x:c r="D129" s="205" t="n">
        <x:v>0.04</x:v>
      </x:c>
      <x:c r="E129" s="199" t="str">
        <x:v>fraction</x:v>
      </x:c>
      <x:c r="F129" s="199" t="str">
        <x:v>BG4</x:v>
      </x:c>
      <x:c r="G129" s="199" t="str">
        <x:v>All</x:v>
      </x:c>
      <x:c r="H129" s="206" t="n">
        <x:v>0</x:v>
      </x:c>
      <x:c r="I129" s="206" t="n">
        <x:v>1</x:v>
      </x:c>
      <x:c r="J129" s="199" t="str">
        <x:v>none</x:v>
      </x:c>
      <x:c r="K129" s="200" t="b">
        <x:v>1</x:v>
      </x:c>
      <x:c r="L129" s="201" t="str">
        <x:v>assumed</x:v>
      </x:c>
      <x:c r="M129" s="201" t="str">
        <x:v>E</x:v>
      </x:c>
      <x:c r="N129" s="199"/>
      <x:c r="O129" s="199" t="str">
        <x:v>Class-E structural placeholder; replace with measured, experimental, literature, or vendor data before scientific, design, economic, or configuration-selection interpretation.</x:v>
      </x:c>
      <x:c r="P129" s="199"/>
      <x:c r="Q129" s="199" t="str">
        <x:v>assumed</x:v>
      </x:c>
      <x:c r="R129" s="199" t="n">
        <x:v>100</x:v>
      </x:c>
      <x:c r="S129" s="202" t="b">
        <x:v>1</x:v>
      </x:c>
      <x:c r="T129" s="199" t="n">
        <x:v>6</x:v>
      </x:c>
      <x:c r="U129" s="199" t="str">
        <x:v>LIM-P6-010</x:v>
      </x:c>
    </x:row>
    <x:row r="130">
      <x:c r="A130" s="197" t="str">
        <x:v>BG4_PSA</x:v>
      </x:c>
      <x:c r="B130" s="197" t="str">
        <x:v>Purge recycle fraction</x:v>
      </x:c>
      <x:c r="C130" s="197" t="str">
        <x:v>psa_purge_recycle_fraction</x:v>
      </x:c>
      <x:c r="D130" s="205" t="n">
        <x:v>0</x:v>
      </x:c>
      <x:c r="E130" s="199" t="str">
        <x:v>fraction</x:v>
      </x:c>
      <x:c r="F130" s="199" t="str">
        <x:v>BG4</x:v>
      </x:c>
      <x:c r="G130" s="199" t="str">
        <x:v>All</x:v>
      </x:c>
      <x:c r="H130" s="206" t="n">
        <x:v>0</x:v>
      </x:c>
      <x:c r="I130" s="206" t="n">
        <x:v>1</x:v>
      </x:c>
      <x:c r="J130" s="199" t="str">
        <x:v>none</x:v>
      </x:c>
      <x:c r="K130" s="200" t="b">
        <x:v>1</x:v>
      </x:c>
      <x:c r="L130" s="201" t="str">
        <x:v>assumed</x:v>
      </x:c>
      <x:c r="M130" s="201" t="str">
        <x:v>E</x:v>
      </x:c>
      <x:c r="N130" s="199"/>
      <x:c r="O130" s="199" t="str">
        <x:v>Class-E structural placeholder; replace with measured, experimental, literature, or vendor data before scientific, design, economic, or configuration-selection interpretation.</x:v>
      </x:c>
      <x:c r="P130" s="199"/>
      <x:c r="Q130" s="199" t="str">
        <x:v>assumed</x:v>
      </x:c>
      <x:c r="R130" s="199" t="n">
        <x:v>100</x:v>
      </x:c>
      <x:c r="S130" s="202" t="b">
        <x:v>1</x:v>
      </x:c>
      <x:c r="T130" s="199" t="n">
        <x:v>6</x:v>
      </x:c>
      <x:c r="U130" s="199" t="str">
        <x:v>LIM-P6-010</x:v>
      </x:c>
    </x:row>
    <x:row r="131">
      <x:c r="A131" s="197" t="str">
        <x:v>BG4_PSA</x:v>
      </x:c>
      <x:c r="B131" s="197" t="str">
        <x:v>CO2 working capacity</x:v>
      </x:c>
      <x:c r="C131" s="197" t="str">
        <x:v>psa_working_capacity_kg_co2_per_kg_adsorbent</x:v>
      </x:c>
      <x:c r="D131" s="205" t="n">
        <x:v>0.08</x:v>
      </x:c>
      <x:c r="E131" s="199" t="str">
        <x:v>kg CO2/kg adsorbent/cycle</x:v>
      </x:c>
      <x:c r="F131" s="199" t="str">
        <x:v>BG4</x:v>
      </x:c>
      <x:c r="G131" s="199" t="str">
        <x:v>All</x:v>
      </x:c>
      <x:c r="H131" s="206" t="n">
        <x:v>0.000001</x:v>
      </x:c>
      <x:c r="I131" s="206" t="n">
        <x:v>10</x:v>
      </x:c>
      <x:c r="J131" s="199" t="str">
        <x:v>none</x:v>
      </x:c>
      <x:c r="K131" s="200" t="b">
        <x:v>1</x:v>
      </x:c>
      <x:c r="L131" s="201" t="str">
        <x:v>assumed</x:v>
      </x:c>
      <x:c r="M131" s="201" t="str">
        <x:v>E</x:v>
      </x:c>
      <x:c r="N131" s="199"/>
      <x:c r="O131" s="199" t="str">
        <x:v>Class-E structural placeholder; replace with measured, experimental, literature, or vendor data before scientific, design, economic, or configuration-selection interpretation.</x:v>
      </x:c>
      <x:c r="P131" s="199"/>
      <x:c r="Q131" s="199" t="str">
        <x:v>assumed</x:v>
      </x:c>
      <x:c r="R131" s="199" t="n">
        <x:v>100</x:v>
      </x:c>
      <x:c r="S131" s="202" t="b">
        <x:v>1</x:v>
      </x:c>
      <x:c r="T131" s="199" t="n">
        <x:v>6</x:v>
      </x:c>
      <x:c r="U131" s="199" t="str">
        <x:v>LIM-P6-010</x:v>
      </x:c>
    </x:row>
    <x:row r="132">
      <x:c r="A132" s="197" t="str">
        <x:v>BG4_PSA</x:v>
      </x:c>
      <x:c r="B132" s="197" t="str">
        <x:v>Adsorbent bulk density</x:v>
      </x:c>
      <x:c r="C132" s="197" t="str">
        <x:v>psa_adsorbent_bulk_density_kg_m3</x:v>
      </x:c>
      <x:c r="D132" s="205" t="n">
        <x:v>600</x:v>
      </x:c>
      <x:c r="E132" s="199" t="str">
        <x:v>kg/m3</x:v>
      </x:c>
      <x:c r="F132" s="199" t="str">
        <x:v>BG4</x:v>
      </x:c>
      <x:c r="G132" s="199" t="str">
        <x:v>All</x:v>
      </x:c>
      <x:c r="H132" s="206" t="n">
        <x:v>0.000001</x:v>
      </x:c>
      <x:c r="I132" s="206" t="n">
        <x:v>5000</x:v>
      </x:c>
      <x:c r="J132" s="199" t="str">
        <x:v>none</x:v>
      </x:c>
      <x:c r="K132" s="200" t="b">
        <x:v>1</x:v>
      </x:c>
      <x:c r="L132" s="201" t="str">
        <x:v>assumed</x:v>
      </x:c>
      <x:c r="M132" s="201" t="str">
        <x:v>E</x:v>
      </x:c>
      <x:c r="N132" s="199"/>
      <x:c r="O132" s="199" t="str">
        <x:v>Class-E structural placeholder; replace with measured, experimental, literature, or vendor data before scientific, design, economic, or configuration-selection interpretation.</x:v>
      </x:c>
      <x:c r="P132" s="199"/>
      <x:c r="Q132" s="199" t="str">
        <x:v>assumed</x:v>
      </x:c>
      <x:c r="R132" s="199" t="n">
        <x:v>100</x:v>
      </x:c>
      <x:c r="S132" s="202" t="b">
        <x:v>1</x:v>
      </x:c>
      <x:c r="T132" s="199" t="n">
        <x:v>6</x:v>
      </x:c>
      <x:c r="U132" s="199" t="str">
        <x:v>LIM-P6-010</x:v>
      </x:c>
    </x:row>
    <x:row r="133">
      <x:c r="A133" s="197" t="str">
        <x:v>BG4_PSA</x:v>
      </x:c>
      <x:c r="B133" s="197" t="str">
        <x:v>Number of beds</x:v>
      </x:c>
      <x:c r="C133" s="197" t="str">
        <x:v>psa_number_of_beds</x:v>
      </x:c>
      <x:c r="D133" s="205" t="n">
        <x:v>4</x:v>
      </x:c>
      <x:c r="E133" s="199" t="str">
        <x:v>count</x:v>
      </x:c>
      <x:c r="F133" s="199" t="str">
        <x:v>BG4</x:v>
      </x:c>
      <x:c r="G133" s="199" t="str">
        <x:v>All</x:v>
      </x:c>
      <x:c r="H133" s="206" t="n">
        <x:v>2</x:v>
      </x:c>
      <x:c r="I133" s="206" t="n">
        <x:v>100</x:v>
      </x:c>
      <x:c r="J133" s="199" t="str">
        <x:v>none</x:v>
      </x:c>
      <x:c r="K133" s="200" t="b">
        <x:v>1</x:v>
      </x:c>
      <x:c r="L133" s="201" t="str">
        <x:v>assumed</x:v>
      </x:c>
      <x:c r="M133" s="201" t="str">
        <x:v>E</x:v>
      </x:c>
      <x:c r="N133" s="199"/>
      <x:c r="O133" s="199" t="str">
        <x:v>Class-E structural placeholder; replace with measured, experimental, literature, or vendor data before scientific, design, economic, or configuration-selection interpretation.</x:v>
      </x:c>
      <x:c r="P133" s="199"/>
      <x:c r="Q133" s="199" t="str">
        <x:v>assumed</x:v>
      </x:c>
      <x:c r="R133" s="199" t="n">
        <x:v>100</x:v>
      </x:c>
      <x:c r="S133" s="202" t="b">
        <x:v>1</x:v>
      </x:c>
      <x:c r="T133" s="199" t="n">
        <x:v>6</x:v>
      </x:c>
      <x:c r="U133" s="199" t="str">
        <x:v>LIM-P6-010</x:v>
      </x:c>
    </x:row>
    <x:row r="134">
      <x:c r="A134" s="197" t="str">
        <x:v>BG4_PSA</x:v>
      </x:c>
      <x:c r="B134" s="197" t="str">
        <x:v>Adsorption time</x:v>
      </x:c>
      <x:c r="C134" s="197" t="str">
        <x:v>psa_adsorption_time_min</x:v>
      </x:c>
      <x:c r="D134" s="205" t="n">
        <x:v>10</x:v>
      </x:c>
      <x:c r="E134" s="199" t="str">
        <x:v>min</x:v>
      </x:c>
      <x:c r="F134" s="199" t="str">
        <x:v>BG4</x:v>
      </x:c>
      <x:c r="G134" s="199" t="str">
        <x:v>All</x:v>
      </x:c>
      <x:c r="H134" s="206" t="n">
        <x:v>0.000001</x:v>
      </x:c>
      <x:c r="I134" s="206" t="n">
        <x:v>1440</x:v>
      </x:c>
      <x:c r="J134" s="199" t="str">
        <x:v>none</x:v>
      </x:c>
      <x:c r="K134" s="200" t="b">
        <x:v>1</x:v>
      </x:c>
      <x:c r="L134" s="201" t="str">
        <x:v>assumed</x:v>
      </x:c>
      <x:c r="M134" s="201" t="str">
        <x:v>E</x:v>
      </x:c>
      <x:c r="N134" s="199"/>
      <x:c r="O134" s="199" t="str">
        <x:v>Class-E structural placeholder; replace with measured, experimental, literature, or vendor data before scientific, design, economic, or configuration-selection interpretation.</x:v>
      </x:c>
      <x:c r="P134" s="199"/>
      <x:c r="Q134" s="199" t="str">
        <x:v>assumed</x:v>
      </x:c>
      <x:c r="R134" s="199" t="n">
        <x:v>100</x:v>
      </x:c>
      <x:c r="S134" s="202" t="b">
        <x:v>1</x:v>
      </x:c>
      <x:c r="T134" s="199" t="n">
        <x:v>6</x:v>
      </x:c>
      <x:c r="U134" s="199" t="str">
        <x:v>LIM-P6-010</x:v>
      </x:c>
    </x:row>
    <x:row r="135">
      <x:c r="A135" s="197" t="str">
        <x:v>BG4_PSA</x:v>
      </x:c>
      <x:c r="B135" s="197" t="str">
        <x:v>Regeneration time</x:v>
      </x:c>
      <x:c r="C135" s="197" t="str">
        <x:v>psa_regeneration_time_min</x:v>
      </x:c>
      <x:c r="D135" s="205" t="n">
        <x:v>10</x:v>
      </x:c>
      <x:c r="E135" s="199" t="str">
        <x:v>min</x:v>
      </x:c>
      <x:c r="F135" s="199" t="str">
        <x:v>BG4</x:v>
      </x:c>
      <x:c r="G135" s="199" t="str">
        <x:v>All</x:v>
      </x:c>
      <x:c r="H135" s="206" t="n">
        <x:v>0.000001</x:v>
      </x:c>
      <x:c r="I135" s="206" t="n">
        <x:v>1440</x:v>
      </x:c>
      <x:c r="J135" s="199" t="str">
        <x:v>none</x:v>
      </x:c>
      <x:c r="K135" s="200" t="b">
        <x:v>1</x:v>
      </x:c>
      <x:c r="L135" s="201" t="str">
        <x:v>assumed</x:v>
      </x:c>
      <x:c r="M135" s="201" t="str">
        <x:v>E</x:v>
      </x:c>
      <x:c r="N135" s="199"/>
      <x:c r="O135" s="199" t="str">
        <x:v>Class-E structural placeholder; replace with measured, experimental, literature, or vendor data before scientific, design, economic, or configuration-selection interpretation.</x:v>
      </x:c>
      <x:c r="P135" s="199"/>
      <x:c r="Q135" s="199" t="str">
        <x:v>assumed</x:v>
      </x:c>
      <x:c r="R135" s="199" t="n">
        <x:v>100</x:v>
      </x:c>
      <x:c r="S135" s="202" t="b">
        <x:v>1</x:v>
      </x:c>
      <x:c r="T135" s="199" t="n">
        <x:v>6</x:v>
      </x:c>
      <x:c r="U135" s="199" t="str">
        <x:v>LIM-P6-010</x:v>
      </x:c>
    </x:row>
    <x:row r="136">
      <x:c r="A136" s="197" t="str">
        <x:v>BG4_PSA</x:v>
      </x:c>
      <x:c r="B136" s="197" t="str">
        <x:v>A631 pressure drop</x:v>
      </x:c>
      <x:c r="C136" s="197" t="str">
        <x:v>psa_pressure_drop_pa</x:v>
      </x:c>
      <x:c r="D136" s="205" t="n">
        <x:v>20000</x:v>
      </x:c>
      <x:c r="E136" s="199" t="str">
        <x:v>Pa</x:v>
      </x:c>
      <x:c r="F136" s="199" t="str">
        <x:v>BG4</x:v>
      </x:c>
      <x:c r="G136" s="199" t="str">
        <x:v>All</x:v>
      </x:c>
      <x:c r="H136" s="206" t="n">
        <x:v>0</x:v>
      </x:c>
      <x:c r="I136" s="206" t="n">
        <x:v>1000000</x:v>
      </x:c>
      <x:c r="J136" s="199" t="str">
        <x:v>none</x:v>
      </x:c>
      <x:c r="K136" s="200" t="b">
        <x:v>1</x:v>
      </x:c>
      <x:c r="L136" s="201" t="str">
        <x:v>assumed</x:v>
      </x:c>
      <x:c r="M136" s="201" t="str">
        <x:v>E</x:v>
      </x:c>
      <x:c r="N136" s="199"/>
      <x:c r="O136" s="199" t="str">
        <x:v>Class-E structural placeholder; replace with measured, experimental, literature, or vendor data before scientific, design, economic, or configuration-selection interpretation.</x:v>
      </x:c>
      <x:c r="P136" s="199"/>
      <x:c r="Q136" s="199" t="str">
        <x:v>assumed</x:v>
      </x:c>
      <x:c r="R136" s="199" t="n">
        <x:v>100</x:v>
      </x:c>
      <x:c r="S136" s="202" t="b">
        <x:v>1</x:v>
      </x:c>
      <x:c r="T136" s="199" t="n">
        <x:v>6</x:v>
      </x:c>
      <x:c r="U136" s="199" t="str">
        <x:v>LIM-P6-010</x:v>
      </x:c>
    </x:row>
    <x:row r="137">
      <x:c r="A137" s="197" t="str">
        <x:v>BG4_PSA</x:v>
      </x:c>
      <x:c r="B137" s="197" t="str">
        <x:v>Annual adsorbent attrition</x:v>
      </x:c>
      <x:c r="C137" s="197" t="str">
        <x:v>psa_annual_attrition_fraction</x:v>
      </x:c>
      <x:c r="D137" s="205" t="n">
        <x:v>0.02</x:v>
      </x:c>
      <x:c r="E137" s="199" t="str">
        <x:v>fraction/year</x:v>
      </x:c>
      <x:c r="F137" s="199" t="str">
        <x:v>BG4</x:v>
      </x:c>
      <x:c r="G137" s="199" t="str">
        <x:v>All</x:v>
      </x:c>
      <x:c r="H137" s="206" t="n">
        <x:v>0</x:v>
      </x:c>
      <x:c r="I137" s="206" t="n">
        <x:v>1</x:v>
      </x:c>
      <x:c r="J137" s="199" t="str">
        <x:v>none</x:v>
      </x:c>
      <x:c r="K137" s="200" t="b">
        <x:v>1</x:v>
      </x:c>
      <x:c r="L137" s="201" t="str">
        <x:v>assumed</x:v>
      </x:c>
      <x:c r="M137" s="201" t="str">
        <x:v>E</x:v>
      </x:c>
      <x:c r="N137" s="199"/>
      <x:c r="O137" s="199" t="str">
        <x:v>Class-E structural placeholder; replace with measured, experimental, literature, or vendor data before scientific, design, economic, or configuration-selection interpretation.</x:v>
      </x:c>
      <x:c r="P137" s="199"/>
      <x:c r="Q137" s="199" t="str">
        <x:v>assumed</x:v>
      </x:c>
      <x:c r="R137" s="199" t="n">
        <x:v>100</x:v>
      </x:c>
      <x:c r="S137" s="202" t="b">
        <x:v>1</x:v>
      </x:c>
      <x:c r="T137" s="199" t="n">
        <x:v>6</x:v>
      </x:c>
      <x:c r="U137" s="199" t="str">
        <x:v>LIM-P6-010</x:v>
      </x:c>
    </x:row>
    <x:row r="138">
      <x:c r="A138" s="197" t="str">
        <x:v>BG4_PSA</x:v>
      </x:c>
      <x:c r="B138" s="197" t="str">
        <x:v>PSA operating hours</x:v>
      </x:c>
      <x:c r="C138" s="197" t="str">
        <x:v>psa_operating_hours_per_year</x:v>
      </x:c>
      <x:c r="D138" s="205" t="n">
        <x:v>7920</x:v>
      </x:c>
      <x:c r="E138" s="199" t="str">
        <x:v>hr/year</x:v>
      </x:c>
      <x:c r="F138" s="199" t="str">
        <x:v>BG4</x:v>
      </x:c>
      <x:c r="G138" s="199" t="str">
        <x:v>All</x:v>
      </x:c>
      <x:c r="H138" s="206" t="n">
        <x:v>0.000001</x:v>
      </x:c>
      <x:c r="I138" s="206" t="n">
        <x:v>8784</x:v>
      </x:c>
      <x:c r="J138" s="199" t="str">
        <x:v>none</x:v>
      </x:c>
      <x:c r="K138" s="200" t="b">
        <x:v>1</x:v>
      </x:c>
      <x:c r="L138" s="201" t="str">
        <x:v>assumed</x:v>
      </x:c>
      <x:c r="M138" s="201" t="str">
        <x:v>E</x:v>
      </x:c>
      <x:c r="N138" s="199"/>
      <x:c r="O138" s="199" t="str">
        <x:v>Class-E structural placeholder; replace with measured, experimental, literature, or vendor data before scientific, design, economic, or configuration-selection interpretation.</x:v>
      </x:c>
      <x:c r="P138" s="199"/>
      <x:c r="Q138" s="199" t="str">
        <x:v>assumed</x:v>
      </x:c>
      <x:c r="R138" s="199" t="n">
        <x:v>100</x:v>
      </x:c>
      <x:c r="S138" s="202" t="b">
        <x:v>1</x:v>
      </x:c>
      <x:c r="T138" s="199" t="n">
        <x:v>6</x:v>
      </x:c>
      <x:c r="U138" s="199" t="str">
        <x:v>LIM-P6-010</x:v>
      </x:c>
    </x:row>
    <x:row r="139">
      <x:c r="A139" s="197" t="str">
        <x:v>BG4_PSA</x:v>
      </x:c>
      <x:c r="B139" s="197" t="str">
        <x:v>Vacuum electricity factor</x:v>
      </x:c>
      <x:c r="C139" s="197" t="str">
        <x:v>psa_vacuum_electricity_kwh_nm3_offgas</x:v>
      </x:c>
      <x:c r="D139" s="205" t="n">
        <x:v>0</x:v>
      </x:c>
      <x:c r="E139" s="199" t="str">
        <x:v>kWh/Nm3 offgas</x:v>
      </x:c>
      <x:c r="F139" s="199" t="str">
        <x:v>BG4</x:v>
      </x:c>
      <x:c r="G139" s="199" t="str">
        <x:v>All</x:v>
      </x:c>
      <x:c r="H139" s="206" t="n">
        <x:v>0</x:v>
      </x:c>
      <x:c r="I139" s="206" t="n">
        <x:v>10</x:v>
      </x:c>
      <x:c r="J139" s="199" t="str">
        <x:v>none</x:v>
      </x:c>
      <x:c r="K139" s="200" t="b">
        <x:v>1</x:v>
      </x:c>
      <x:c r="L139" s="201" t="str">
        <x:v>assumed</x:v>
      </x:c>
      <x:c r="M139" s="201" t="str">
        <x:v>E</x:v>
      </x:c>
      <x:c r="N139" s="199"/>
      <x:c r="O139" s="199" t="str">
        <x:v>Class-E structural placeholder; replace with measured, experimental, literature, or vendor data before scientific, design, economic, or configuration-selection interpretation.</x:v>
      </x:c>
      <x:c r="P139" s="199"/>
      <x:c r="Q139" s="199" t="str">
        <x:v>assumed</x:v>
      </x:c>
      <x:c r="R139" s="199" t="n">
        <x:v>100</x:v>
      </x:c>
      <x:c r="S139" s="202" t="b">
        <x:v>1</x:v>
      </x:c>
      <x:c r="T139" s="199" t="n">
        <x:v>6</x:v>
      </x:c>
      <x:c r="U139" s="199" t="str">
        <x:v>LIM-P6-010</x:v>
      </x:c>
    </x:row>
    <x:row r="140">
      <x:c r="A140" s="197" t="str">
        <x:v>BG5_MEA</x:v>
      </x:c>
      <x:c r="B140" s="197" t="str">
        <x:v>MEA absorber pressure</x:v>
      </x:c>
      <x:c r="C140" s="197" t="str">
        <x:v>mea_absorber_pressure_bar</x:v>
      </x:c>
      <x:c r="D140" s="205" t="n">
        <x:v>2</x:v>
      </x:c>
      <x:c r="E140" s="199" t="str">
        <x:v>bar</x:v>
      </x:c>
      <x:c r="F140" s="199" t="str">
        <x:v>BG5</x:v>
      </x:c>
      <x:c r="G140" s="199" t="str">
        <x:v>All</x:v>
      </x:c>
      <x:c r="H140" s="206" t="n">
        <x:v>0.000001</x:v>
      </x:c>
      <x:c r="I140" s="206" t="n">
        <x:v>100</x:v>
      </x:c>
      <x:c r="J140" s="199" t="str">
        <x:v>none</x:v>
      </x:c>
      <x:c r="K140" s="200" t="b">
        <x:v>1</x:v>
      </x:c>
      <x:c r="L140" s="201" t="str">
        <x:v>assumed</x:v>
      </x:c>
      <x:c r="M140" s="201" t="str">
        <x:v>E</x:v>
      </x:c>
      <x:c r="N140" s="199"/>
      <x:c r="O140" s="199" t="str">
        <x:v>Class-E structural placeholder; replace with measured, experimental, literature, or vendor data before scientific, design, economic, or configuration-selection interpretation.</x:v>
      </x:c>
      <x:c r="P140" s="199"/>
      <x:c r="Q140" s="199" t="str">
        <x:v>assumed</x:v>
      </x:c>
      <x:c r="R140" s="199" t="n">
        <x:v>100</x:v>
      </x:c>
      <x:c r="S140" s="202" t="b">
        <x:v>1</x:v>
      </x:c>
      <x:c r="T140" s="199" t="n">
        <x:v>6</x:v>
      </x:c>
      <x:c r="U140" s="199" t="str">
        <x:v>LIM-P6-011</x:v>
      </x:c>
    </x:row>
    <x:row r="141">
      <x:c r="A141" s="197" t="str">
        <x:v>BG5_MEA</x:v>
      </x:c>
      <x:c r="B141" s="197" t="str">
        <x:v>C641 efficiency</x:v>
      </x:c>
      <x:c r="C141" s="197" t="str">
        <x:v>mea_compressor_efficiency</x:v>
      </x:c>
      <x:c r="D141" s="205" t="n">
        <x:v>0.75</x:v>
      </x:c>
      <x:c r="E141" s="199" t="str">
        <x:v>fraction</x:v>
      </x:c>
      <x:c r="F141" s="199" t="str">
        <x:v>BG5</x:v>
      </x:c>
      <x:c r="G141" s="199" t="str">
        <x:v>All</x:v>
      </x:c>
      <x:c r="H141" s="206" t="n">
        <x:v>0.000001</x:v>
      </x:c>
      <x:c r="I141" s="206" t="n">
        <x:v>1</x:v>
      </x:c>
      <x:c r="J141" s="199" t="str">
        <x:v>none</x:v>
      </x:c>
      <x:c r="K141" s="200" t="b">
        <x:v>1</x:v>
      </x:c>
      <x:c r="L141" s="201" t="str">
        <x:v>assumed</x:v>
      </x:c>
      <x:c r="M141" s="201" t="str">
        <x:v>E</x:v>
      </x:c>
      <x:c r="N141" s="199"/>
      <x:c r="O141" s="199" t="str">
        <x:v>Class-E structural placeholder; replace with measured, experimental, literature, or vendor data before scientific, design, economic, or configuration-selection interpretation.</x:v>
      </x:c>
      <x:c r="P141" s="199"/>
      <x:c r="Q141" s="199" t="str">
        <x:v>assumed</x:v>
      </x:c>
      <x:c r="R141" s="199" t="n">
        <x:v>100</x:v>
      </x:c>
      <x:c r="S141" s="202" t="b">
        <x:v>1</x:v>
      </x:c>
      <x:c r="T141" s="199" t="n">
        <x:v>6</x:v>
      </x:c>
      <x:c r="U141" s="199" t="str">
        <x:v>LIM-P6-011</x:v>
      </x:c>
    </x:row>
    <x:row r="142">
      <x:c r="A142" s="197" t="str">
        <x:v>BG5_MEA</x:v>
      </x:c>
      <x:c r="B142" s="197" t="str">
        <x:v>MEA absorber temperature</x:v>
      </x:c>
      <x:c r="C142" s="197" t="str">
        <x:v>mea_absorber_temperature_c</x:v>
      </x:c>
      <x:c r="D142" s="205" t="n">
        <x:v>40</x:v>
      </x:c>
      <x:c r="E142" s="199" t="str">
        <x:v>degC</x:v>
      </x:c>
      <x:c r="F142" s="199" t="str">
        <x:v>BG5</x:v>
      </x:c>
      <x:c r="G142" s="199" t="str">
        <x:v>All</x:v>
      </x:c>
      <x:c r="H142" s="206" t="n">
        <x:v>0</x:v>
      </x:c>
      <x:c r="I142" s="206" t="n">
        <x:v>100</x:v>
      </x:c>
      <x:c r="J142" s="199" t="str">
        <x:v>none</x:v>
      </x:c>
      <x:c r="K142" s="200" t="b">
        <x:v>1</x:v>
      </x:c>
      <x:c r="L142" s="201" t="str">
        <x:v>assumed</x:v>
      </x:c>
      <x:c r="M142" s="201" t="str">
        <x:v>E</x:v>
      </x:c>
      <x:c r="N142" s="199"/>
      <x:c r="O142" s="199" t="str">
        <x:v>Class-E structural placeholder; replace with measured, experimental, literature, or vendor data before scientific, design, economic, or configuration-selection interpretation.</x:v>
      </x:c>
      <x:c r="P142" s="199"/>
      <x:c r="Q142" s="199" t="str">
        <x:v>assumed</x:v>
      </x:c>
      <x:c r="R142" s="199" t="n">
        <x:v>100</x:v>
      </x:c>
      <x:c r="S142" s="202" t="b">
        <x:v>1</x:v>
      </x:c>
      <x:c r="T142" s="199" t="n">
        <x:v>6</x:v>
      </x:c>
      <x:c r="U142" s="199" t="str">
        <x:v>LIM-P6-011</x:v>
      </x:c>
    </x:row>
    <x:row r="143">
      <x:c r="A143" s="197" t="str">
        <x:v>BG5_MEA</x:v>
      </x:c>
      <x:c r="B143" s="197" t="str">
        <x:v>MEA CO2 capture</x:v>
      </x:c>
      <x:c r="C143" s="197" t="str">
        <x:v>mea_co2_capture_fraction</x:v>
      </x:c>
      <x:c r="D143" s="205" t="n">
        <x:v>0.95</x:v>
      </x:c>
      <x:c r="E143" s="199" t="str">
        <x:v>fraction</x:v>
      </x:c>
      <x:c r="F143" s="199" t="str">
        <x:v>BG5</x:v>
      </x:c>
      <x:c r="G143" s="199" t="str">
        <x:v>All</x:v>
      </x:c>
      <x:c r="H143" s="206" t="n">
        <x:v>0</x:v>
      </x:c>
      <x:c r="I143" s="206" t="n">
        <x:v>1</x:v>
      </x:c>
      <x:c r="J143" s="199" t="str">
        <x:v>none</x:v>
      </x:c>
      <x:c r="K143" s="200" t="b">
        <x:v>1</x:v>
      </x:c>
      <x:c r="L143" s="201" t="str">
        <x:v>assumed</x:v>
      </x:c>
      <x:c r="M143" s="201" t="str">
        <x:v>E</x:v>
      </x:c>
      <x:c r="N143" s="199"/>
      <x:c r="O143" s="199" t="str">
        <x:v>Class-E structural placeholder; replace with measured, experimental, literature, or vendor data before scientific, design, economic, or configuration-selection interpretation.</x:v>
      </x:c>
      <x:c r="P143" s="199"/>
      <x:c r="Q143" s="199" t="str">
        <x:v>assumed</x:v>
      </x:c>
      <x:c r="R143" s="199" t="n">
        <x:v>100</x:v>
      </x:c>
      <x:c r="S143" s="202" t="b">
        <x:v>1</x:v>
      </x:c>
      <x:c r="T143" s="199" t="n">
        <x:v>6</x:v>
      </x:c>
      <x:c r="U143" s="199" t="str">
        <x:v>LIM-P6-011</x:v>
      </x:c>
    </x:row>
    <x:row r="144">
      <x:c r="A144" s="197" t="str">
        <x:v>BG5_MEA</x:v>
      </x:c>
      <x:c r="B144" s="197" t="str">
        <x:v>MEA methane absorption</x:v>
      </x:c>
      <x:c r="C144" s="197" t="str">
        <x:v>mea_methane_absorption_fraction</x:v>
      </x:c>
      <x:c r="D144" s="205" t="n">
        <x:v>0.002</x:v>
      </x:c>
      <x:c r="E144" s="199" t="str">
        <x:v>fraction</x:v>
      </x:c>
      <x:c r="F144" s="199" t="str">
        <x:v>BG5</x:v>
      </x:c>
      <x:c r="G144" s="199" t="str">
        <x:v>All</x:v>
      </x:c>
      <x:c r="H144" s="206" t="n">
        <x:v>0</x:v>
      </x:c>
      <x:c r="I144" s="206" t="n">
        <x:v>1</x:v>
      </x:c>
      <x:c r="J144" s="199" t="str">
        <x:v>none</x:v>
      </x:c>
      <x:c r="K144" s="200" t="b">
        <x:v>1</x:v>
      </x:c>
      <x:c r="L144" s="201" t="str">
        <x:v>assumed</x:v>
      </x:c>
      <x:c r="M144" s="201" t="str">
        <x:v>E</x:v>
      </x:c>
      <x:c r="N144" s="199"/>
      <x:c r="O144" s="199" t="str">
        <x:v>Class-E structural placeholder; replace with measured, experimental, literature, or vendor data before scientific, design, economic, or configuration-selection interpretation.</x:v>
      </x:c>
      <x:c r="P144" s="199"/>
      <x:c r="Q144" s="199" t="str">
        <x:v>assumed</x:v>
      </x:c>
      <x:c r="R144" s="199" t="n">
        <x:v>100</x:v>
      </x:c>
      <x:c r="S144" s="202" t="b">
        <x:v>1</x:v>
      </x:c>
      <x:c r="T144" s="199" t="n">
        <x:v>6</x:v>
      </x:c>
      <x:c r="U144" s="199" t="str">
        <x:v>LIM-P6-011</x:v>
      </x:c>
    </x:row>
    <x:row r="145">
      <x:c r="A145" s="197" t="str">
        <x:v>BG5_MEA</x:v>
      </x:c>
      <x:c r="B145" s="197" t="str">
        <x:v>MEA H2S capture</x:v>
      </x:c>
      <x:c r="C145" s="197" t="str">
        <x:v>mea_h2s_capture_fraction</x:v>
      </x:c>
      <x:c r="D145" s="205" t="n">
        <x:v>0.99</x:v>
      </x:c>
      <x:c r="E145" s="199" t="str">
        <x:v>fraction</x:v>
      </x:c>
      <x:c r="F145" s="199" t="str">
        <x:v>BG5</x:v>
      </x:c>
      <x:c r="G145" s="199" t="str">
        <x:v>All</x:v>
      </x:c>
      <x:c r="H145" s="206" t="n">
        <x:v>0</x:v>
      </x:c>
      <x:c r="I145" s="206" t="n">
        <x:v>1</x:v>
      </x:c>
      <x:c r="J145" s="199" t="str">
        <x:v>none</x:v>
      </x:c>
      <x:c r="K145" s="200" t="b">
        <x:v>1</x:v>
      </x:c>
      <x:c r="L145" s="201" t="str">
        <x:v>assumed</x:v>
      </x:c>
      <x:c r="M145" s="201" t="str">
        <x:v>E</x:v>
      </x:c>
      <x:c r="N145" s="199"/>
      <x:c r="O145" s="199" t="str">
        <x:v>Class-E structural placeholder; replace with measured, experimental, literature, or vendor data before scientific, design, economic, or configuration-selection interpretation.</x:v>
      </x:c>
      <x:c r="P145" s="199"/>
      <x:c r="Q145" s="199" t="str">
        <x:v>assumed</x:v>
      </x:c>
      <x:c r="R145" s="199" t="n">
        <x:v>100</x:v>
      </x:c>
      <x:c r="S145" s="202" t="b">
        <x:v>1</x:v>
      </x:c>
      <x:c r="T145" s="199" t="n">
        <x:v>6</x:v>
      </x:c>
      <x:c r="U145" s="199" t="str">
        <x:v>LIM-P6-011</x:v>
      </x:c>
    </x:row>
    <x:row r="146">
      <x:c r="A146" s="197" t="str">
        <x:v>BG5_MEA</x:v>
      </x:c>
      <x:c r="B146" s="197" t="str">
        <x:v>Lean CO2 loading</x:v>
      </x:c>
      <x:c r="C146" s="197" t="str">
        <x:v>mea_lean_loading_mol_co2_per_mol_mea</x:v>
      </x:c>
      <x:c r="D146" s="205" t="n">
        <x:v>0.2</x:v>
      </x:c>
      <x:c r="E146" s="199" t="str">
        <x:v>mol CO2/mol MEA</x:v>
      </x:c>
      <x:c r="F146" s="199" t="str">
        <x:v>BG5</x:v>
      </x:c>
      <x:c r="G146" s="199" t="str">
        <x:v>All</x:v>
      </x:c>
      <x:c r="H146" s="206" t="n">
        <x:v>0</x:v>
      </x:c>
      <x:c r="I146" s="206" t="n">
        <x:v>2</x:v>
      </x:c>
      <x:c r="J146" s="199" t="str">
        <x:v>none</x:v>
      </x:c>
      <x:c r="K146" s="200" t="b">
        <x:v>1</x:v>
      </x:c>
      <x:c r="L146" s="201" t="str">
        <x:v>assumed</x:v>
      </x:c>
      <x:c r="M146" s="201" t="str">
        <x:v>E</x:v>
      </x:c>
      <x:c r="N146" s="199"/>
      <x:c r="O146" s="199" t="str">
        <x:v>Class-E structural placeholder; replace with measured, experimental, literature, or vendor data before scientific, design, economic, or configuration-selection interpretation.</x:v>
      </x:c>
      <x:c r="P146" s="199"/>
      <x:c r="Q146" s="199" t="str">
        <x:v>assumed</x:v>
      </x:c>
      <x:c r="R146" s="199" t="n">
        <x:v>100</x:v>
      </x:c>
      <x:c r="S146" s="202" t="b">
        <x:v>1</x:v>
      </x:c>
      <x:c r="T146" s="199" t="n">
        <x:v>6</x:v>
      </x:c>
      <x:c r="U146" s="199" t="str">
        <x:v>LIM-P6-011</x:v>
      </x:c>
    </x:row>
    <x:row r="147">
      <x:c r="A147" s="197" t="str">
        <x:v>BG5_MEA</x:v>
      </x:c>
      <x:c r="B147" s="197" t="str">
        <x:v>Rich CO2 loading</x:v>
      </x:c>
      <x:c r="C147" s="197" t="str">
        <x:v>mea_rich_loading_mol_co2_per_mol_mea</x:v>
      </x:c>
      <x:c r="D147" s="205" t="n">
        <x:v>0.45</x:v>
      </x:c>
      <x:c r="E147" s="199" t="str">
        <x:v>mol CO2/mol MEA</x:v>
      </x:c>
      <x:c r="F147" s="199" t="str">
        <x:v>BG5</x:v>
      </x:c>
      <x:c r="G147" s="199" t="str">
        <x:v>All</x:v>
      </x:c>
      <x:c r="H147" s="206" t="n">
        <x:v>0.000001</x:v>
      </x:c>
      <x:c r="I147" s="206" t="n">
        <x:v>2</x:v>
      </x:c>
      <x:c r="J147" s="199" t="str">
        <x:v>none</x:v>
      </x:c>
      <x:c r="K147" s="200" t="b">
        <x:v>1</x:v>
      </x:c>
      <x:c r="L147" s="201" t="str">
        <x:v>assumed</x:v>
      </x:c>
      <x:c r="M147" s="201" t="str">
        <x:v>E</x:v>
      </x:c>
      <x:c r="N147" s="199"/>
      <x:c r="O147" s="199" t="str">
        <x:v>Class-E structural placeholder; replace with measured, experimental, literature, or vendor data before scientific, design, economic, or configuration-selection interpretation.</x:v>
      </x:c>
      <x:c r="P147" s="199"/>
      <x:c r="Q147" s="199" t="str">
        <x:v>assumed</x:v>
      </x:c>
      <x:c r="R147" s="199" t="n">
        <x:v>100</x:v>
      </x:c>
      <x:c r="S147" s="202" t="b">
        <x:v>1</x:v>
      </x:c>
      <x:c r="T147" s="199" t="n">
        <x:v>6</x:v>
      </x:c>
      <x:c r="U147" s="199" t="str">
        <x:v>LIM-P6-011</x:v>
      </x:c>
    </x:row>
    <x:row r="148">
      <x:c r="A148" s="197" t="str">
        <x:v>BG5_MEA</x:v>
      </x:c>
      <x:c r="B148" s="197" t="str">
        <x:v>MEA solution mass fraction</x:v>
      </x:c>
      <x:c r="C148" s="197" t="str">
        <x:v>mea_solution_mass_fraction</x:v>
      </x:c>
      <x:c r="D148" s="205" t="n">
        <x:v>0.3</x:v>
      </x:c>
      <x:c r="E148" s="199" t="str">
        <x:v>kg MEA/kg solution</x:v>
      </x:c>
      <x:c r="F148" s="199" t="str">
        <x:v>BG5</x:v>
      </x:c>
      <x:c r="G148" s="199" t="str">
        <x:v>All</x:v>
      </x:c>
      <x:c r="H148" s="206" t="n">
        <x:v>0.000001</x:v>
      </x:c>
      <x:c r="I148" s="206" t="n">
        <x:v>1</x:v>
      </x:c>
      <x:c r="J148" s="199" t="str">
        <x:v>none</x:v>
      </x:c>
      <x:c r="K148" s="200" t="b">
        <x:v>1</x:v>
      </x:c>
      <x:c r="L148" s="201" t="str">
        <x:v>assumed</x:v>
      </x:c>
      <x:c r="M148" s="201" t="str">
        <x:v>E</x:v>
      </x:c>
      <x:c r="N148" s="199"/>
      <x:c r="O148" s="199" t="str">
        <x:v>Class-E structural placeholder; replace with measured, experimental, literature, or vendor data before scientific, design, economic, or configuration-selection interpretation.</x:v>
      </x:c>
      <x:c r="P148" s="199"/>
      <x:c r="Q148" s="199" t="str">
        <x:v>assumed</x:v>
      </x:c>
      <x:c r="R148" s="199" t="n">
        <x:v>100</x:v>
      </x:c>
      <x:c r="S148" s="202" t="b">
        <x:v>1</x:v>
      </x:c>
      <x:c r="T148" s="199" t="n">
        <x:v>6</x:v>
      </x:c>
      <x:c r="U148" s="199" t="str">
        <x:v>LIM-P6-011</x:v>
      </x:c>
    </x:row>
    <x:row r="149">
      <x:c r="A149" s="197" t="str">
        <x:v>BG5_MEA</x:v>
      </x:c>
      <x:c r="B149" s="197" t="str">
        <x:v>A641 pressure drop</x:v>
      </x:c>
      <x:c r="C149" s="197" t="str">
        <x:v>mea_absorber_pressure_drop_pa</x:v>
      </x:c>
      <x:c r="D149" s="205" t="n">
        <x:v>10000</x:v>
      </x:c>
      <x:c r="E149" s="199" t="str">
        <x:v>Pa</x:v>
      </x:c>
      <x:c r="F149" s="199" t="str">
        <x:v>BG5</x:v>
      </x:c>
      <x:c r="G149" s="199" t="str">
        <x:v>All</x:v>
      </x:c>
      <x:c r="H149" s="206" t="n">
        <x:v>0</x:v>
      </x:c>
      <x:c r="I149" s="206" t="n">
        <x:v>1000000</x:v>
      </x:c>
      <x:c r="J149" s="199" t="str">
        <x:v>none</x:v>
      </x:c>
      <x:c r="K149" s="200" t="b">
        <x:v>1</x:v>
      </x:c>
      <x:c r="L149" s="201" t="str">
        <x:v>assumed</x:v>
      </x:c>
      <x:c r="M149" s="201" t="str">
        <x:v>E</x:v>
      </x:c>
      <x:c r="N149" s="199"/>
      <x:c r="O149" s="199" t="str">
        <x:v>Class-E structural placeholder; replace with measured, experimental, literature, or vendor data before scientific, design, economic, or configuration-selection interpretation.</x:v>
      </x:c>
      <x:c r="P149" s="199"/>
      <x:c r="Q149" s="199" t="str">
        <x:v>assumed</x:v>
      </x:c>
      <x:c r="R149" s="199" t="n">
        <x:v>100</x:v>
      </x:c>
      <x:c r="S149" s="202" t="b">
        <x:v>1</x:v>
      </x:c>
      <x:c r="T149" s="199" t="n">
        <x:v>6</x:v>
      </x:c>
      <x:c r="U149" s="199" t="str">
        <x:v>LIM-P6-011</x:v>
      </x:c>
    </x:row>
    <x:row r="150">
      <x:c r="A150" s="197" t="str">
        <x:v>BG5_MEA</x:v>
      </x:c>
      <x:c r="B150" s="197" t="str">
        <x:v>Heat of CO2 absorption</x:v>
      </x:c>
      <x:c r="C150" s="197" t="str">
        <x:v>mea_absorption_heat_kj_per_mol_co2</x:v>
      </x:c>
      <x:c r="D150" s="205" t="n">
        <x:v>85</x:v>
      </x:c>
      <x:c r="E150" s="199" t="str">
        <x:v>kJ/mol CO2</x:v>
      </x:c>
      <x:c r="F150" s="199" t="str">
        <x:v>BG5</x:v>
      </x:c>
      <x:c r="G150" s="199" t="str">
        <x:v>All</x:v>
      </x:c>
      <x:c r="H150" s="206" t="n">
        <x:v>0.000001</x:v>
      </x:c>
      <x:c r="I150" s="206" t="n">
        <x:v>1000</x:v>
      </x:c>
      <x:c r="J150" s="199" t="str">
        <x:v>none</x:v>
      </x:c>
      <x:c r="K150" s="200" t="b">
        <x:v>1</x:v>
      </x:c>
      <x:c r="L150" s="201" t="str">
        <x:v>assumed</x:v>
      </x:c>
      <x:c r="M150" s="201" t="str">
        <x:v>E</x:v>
      </x:c>
      <x:c r="N150" s="199"/>
      <x:c r="O150" s="199" t="str">
        <x:v>Class-E structural placeholder; replace with measured, experimental, literature, or vendor data before scientific, design, economic, or configuration-selection interpretation.</x:v>
      </x:c>
      <x:c r="P150" s="199"/>
      <x:c r="Q150" s="199" t="str">
        <x:v>assumed</x:v>
      </x:c>
      <x:c r="R150" s="199" t="n">
        <x:v>100</x:v>
      </x:c>
      <x:c r="S150" s="202" t="b">
        <x:v>1</x:v>
      </x:c>
      <x:c r="T150" s="199" t="n">
        <x:v>6</x:v>
      </x:c>
      <x:c r="U150" s="199" t="str">
        <x:v>LIM-P6-011</x:v>
      </x:c>
    </x:row>
    <x:row r="151">
      <x:c r="A151" s="197" t="str">
        <x:v>BG5_MEA</x:v>
      </x:c>
      <x:c r="B151" s="197" t="str">
        <x:v>Rich/lean heat recovery</x:v>
      </x:c>
      <x:c r="C151" s="197" t="str">
        <x:v>mea_rich_lean_heat_recovery_fraction</x:v>
      </x:c>
      <x:c r="D151" s="205" t="n">
        <x:v>0.75</x:v>
      </x:c>
      <x:c r="E151" s="199" t="str">
        <x:v>fraction</x:v>
      </x:c>
      <x:c r="F151" s="199" t="str">
        <x:v>BG5</x:v>
      </x:c>
      <x:c r="G151" s="199" t="str">
        <x:v>All</x:v>
      </x:c>
      <x:c r="H151" s="206" t="n">
        <x:v>0</x:v>
      </x:c>
      <x:c r="I151" s="206" t="n">
        <x:v>1</x:v>
      </x:c>
      <x:c r="J151" s="199" t="str">
        <x:v>none</x:v>
      </x:c>
      <x:c r="K151" s="200" t="b">
        <x:v>1</x:v>
      </x:c>
      <x:c r="L151" s="201" t="str">
        <x:v>assumed</x:v>
      </x:c>
      <x:c r="M151" s="201" t="str">
        <x:v>E</x:v>
      </x:c>
      <x:c r="N151" s="199"/>
      <x:c r="O151" s="199" t="str">
        <x:v>Class-E structural placeholder; replace with measured, experimental, literature, or vendor data before scientific, design, economic, or configuration-selection interpretation.</x:v>
      </x:c>
      <x:c r="P151" s="199"/>
      <x:c r="Q151" s="199" t="str">
        <x:v>assumed</x:v>
      </x:c>
      <x:c r="R151" s="199" t="n">
        <x:v>100</x:v>
      </x:c>
      <x:c r="S151" s="202" t="b">
        <x:v>1</x:v>
      </x:c>
      <x:c r="T151" s="199" t="n">
        <x:v>6</x:v>
      </x:c>
      <x:c r="U151" s="199" t="str">
        <x:v>LIM-P6-012</x:v>
      </x:c>
    </x:row>
    <x:row r="152">
      <x:c r="A152" s="197" t="str">
        <x:v>BG5_MEA</x:v>
      </x:c>
      <x:c r="B152" s="197" t="str">
        <x:v>Solvent heat capacity</x:v>
      </x:c>
      <x:c r="C152" s="197" t="str">
        <x:v>mea_solvent_heat_capacity_kj_kg_k</x:v>
      </x:c>
      <x:c r="D152" s="205" t="n">
        <x:v>3.6</x:v>
      </x:c>
      <x:c r="E152" s="199" t="str">
        <x:v>kJ/kg/K</x:v>
      </x:c>
      <x:c r="F152" s="199" t="str">
        <x:v>BG5</x:v>
      </x:c>
      <x:c r="G152" s="199" t="str">
        <x:v>All</x:v>
      </x:c>
      <x:c r="H152" s="206" t="n">
        <x:v>0.000001</x:v>
      </x:c>
      <x:c r="I152" s="206" t="n">
        <x:v>10</x:v>
      </x:c>
      <x:c r="J152" s="199" t="str">
        <x:v>none</x:v>
      </x:c>
      <x:c r="K152" s="200" t="b">
        <x:v>1</x:v>
      </x:c>
      <x:c r="L152" s="201" t="str">
        <x:v>assumed</x:v>
      </x:c>
      <x:c r="M152" s="201" t="str">
        <x:v>E</x:v>
      </x:c>
      <x:c r="N152" s="199"/>
      <x:c r="O152" s="199" t="str">
        <x:v>Class-E structural placeholder; replace with measured, experimental, literature, or vendor data before scientific, design, economic, or configuration-selection interpretation.</x:v>
      </x:c>
      <x:c r="P152" s="199"/>
      <x:c r="Q152" s="199" t="str">
        <x:v>assumed</x:v>
      </x:c>
      <x:c r="R152" s="199" t="n">
        <x:v>100</x:v>
      </x:c>
      <x:c r="S152" s="202" t="b">
        <x:v>1</x:v>
      </x:c>
      <x:c r="T152" s="199" t="n">
        <x:v>6</x:v>
      </x:c>
      <x:c r="U152" s="199" t="str">
        <x:v>LIM-P6-012</x:v>
      </x:c>
    </x:row>
    <x:row r="153">
      <x:c r="A153" s="197" t="str">
        <x:v>BG5_MEA</x:v>
      </x:c>
      <x:c r="B153" s="197" t="str">
        <x:v>Stripper temperature</x:v>
      </x:c>
      <x:c r="C153" s="197" t="str">
        <x:v>mea_stripper_temperature_c</x:v>
      </x:c>
      <x:c r="D153" s="205" t="n">
        <x:v>120</x:v>
      </x:c>
      <x:c r="E153" s="199" t="str">
        <x:v>degC</x:v>
      </x:c>
      <x:c r="F153" s="199" t="str">
        <x:v>BG5</x:v>
      </x:c>
      <x:c r="G153" s="199" t="str">
        <x:v>All</x:v>
      </x:c>
      <x:c r="H153" s="206" t="n">
        <x:v>50</x:v>
      </x:c>
      <x:c r="I153" s="206" t="n">
        <x:v>200</x:v>
      </x:c>
      <x:c r="J153" s="199" t="str">
        <x:v>none</x:v>
      </x:c>
      <x:c r="K153" s="200" t="b">
        <x:v>1</x:v>
      </x:c>
      <x:c r="L153" s="201" t="str">
        <x:v>assumed</x:v>
      </x:c>
      <x:c r="M153" s="201" t="str">
        <x:v>E</x:v>
      </x:c>
      <x:c r="N153" s="199"/>
      <x:c r="O153" s="199" t="str">
        <x:v>Class-E structural placeholder; replace with measured, experimental, literature, or vendor data before scientific, design, economic, or configuration-selection interpretation.</x:v>
      </x:c>
      <x:c r="P153" s="199"/>
      <x:c r="Q153" s="199" t="str">
        <x:v>assumed</x:v>
      </x:c>
      <x:c r="R153" s="199" t="n">
        <x:v>100</x:v>
      </x:c>
      <x:c r="S153" s="202" t="b">
        <x:v>1</x:v>
      </x:c>
      <x:c r="T153" s="199" t="n">
        <x:v>6</x:v>
      </x:c>
      <x:c r="U153" s="199" t="str">
        <x:v>LIM-P6-012</x:v>
      </x:c>
    </x:row>
    <x:row r="154">
      <x:c r="A154" s="197" t="str">
        <x:v>BG5_MEA</x:v>
      </x:c>
      <x:c r="B154" s="197" t="str">
        <x:v>Stripper pressure</x:v>
      </x:c>
      <x:c r="C154" s="197" t="str">
        <x:v>mea_stripper_pressure_bar</x:v>
      </x:c>
      <x:c r="D154" s="205" t="n">
        <x:v>1.8</x:v>
      </x:c>
      <x:c r="E154" s="199" t="str">
        <x:v>bar</x:v>
      </x:c>
      <x:c r="F154" s="199" t="str">
        <x:v>BG5</x:v>
      </x:c>
      <x:c r="G154" s="199" t="str">
        <x:v>All</x:v>
      </x:c>
      <x:c r="H154" s="206" t="n">
        <x:v>0.000001</x:v>
      </x:c>
      <x:c r="I154" s="206" t="n">
        <x:v>100</x:v>
      </x:c>
      <x:c r="J154" s="199" t="str">
        <x:v>none</x:v>
      </x:c>
      <x:c r="K154" s="200" t="b">
        <x:v>1</x:v>
      </x:c>
      <x:c r="L154" s="201" t="str">
        <x:v>assumed</x:v>
      </x:c>
      <x:c r="M154" s="201" t="str">
        <x:v>E</x:v>
      </x:c>
      <x:c r="N154" s="199"/>
      <x:c r="O154" s="199" t="str">
        <x:v>Class-E structural placeholder; replace with measured, experimental, literature, or vendor data before scientific, design, economic, or configuration-selection interpretation.</x:v>
      </x:c>
      <x:c r="P154" s="199"/>
      <x:c r="Q154" s="199" t="str">
        <x:v>assumed</x:v>
      </x:c>
      <x:c r="R154" s="199" t="n">
        <x:v>100</x:v>
      </x:c>
      <x:c r="S154" s="202" t="b">
        <x:v>1</x:v>
      </x:c>
      <x:c r="T154" s="199" t="n">
        <x:v>6</x:v>
      </x:c>
      <x:c r="U154" s="199" t="str">
        <x:v>LIM-P6-012</x:v>
      </x:c>
    </x:row>
    <x:row r="155">
      <x:c r="A155" s="197" t="str">
        <x:v>BG5_MEA</x:v>
      </x:c>
      <x:c r="B155" s="197" t="str">
        <x:v>Specific regeneration energy</x:v>
      </x:c>
      <x:c r="C155" s="197" t="str">
        <x:v>mea_regeneration_energy_mj_per_kg_co2</x:v>
      </x:c>
      <x:c r="D155" s="205" t="n">
        <x:v>3.6</x:v>
      </x:c>
      <x:c r="E155" s="199" t="str">
        <x:v>MJ/kg CO2</x:v>
      </x:c>
      <x:c r="F155" s="199" t="str">
        <x:v>BG5</x:v>
      </x:c>
      <x:c r="G155" s="199" t="str">
        <x:v>All</x:v>
      </x:c>
      <x:c r="H155" s="206" t="n">
        <x:v>0.000001</x:v>
      </x:c>
      <x:c r="I155" s="206" t="n">
        <x:v>100</x:v>
      </x:c>
      <x:c r="J155" s="199" t="str">
        <x:v>none</x:v>
      </x:c>
      <x:c r="K155" s="200" t="b">
        <x:v>1</x:v>
      </x:c>
      <x:c r="L155" s="201" t="str">
        <x:v>assumed</x:v>
      </x:c>
      <x:c r="M155" s="201" t="str">
        <x:v>E</x:v>
      </x:c>
      <x:c r="N155" s="199"/>
      <x:c r="O155" s="199" t="str">
        <x:v>Class-E structural placeholder; replace with measured, experimental, literature, or vendor data before scientific, design, economic, or configuration-selection interpretation.</x:v>
      </x:c>
      <x:c r="P155" s="199"/>
      <x:c r="Q155" s="199" t="str">
        <x:v>assumed</x:v>
      </x:c>
      <x:c r="R155" s="199" t="n">
        <x:v>100</x:v>
      </x:c>
      <x:c r="S155" s="202" t="b">
        <x:v>1</x:v>
      </x:c>
      <x:c r="T155" s="199" t="n">
        <x:v>6</x:v>
      </x:c>
      <x:c r="U155" s="199" t="str">
        <x:v>LIM-P6-012</x:v>
      </x:c>
    </x:row>
    <x:row r="156">
      <x:c r="A156" s="197" t="str">
        <x:v>BG5_MEA</x:v>
      </x:c>
      <x:c r="B156" s="197" t="str">
        <x:v>H2S regeneration fraction</x:v>
      </x:c>
      <x:c r="C156" s="197" t="str">
        <x:v>mea_h2s_regeneration_fraction</x:v>
      </x:c>
      <x:c r="D156" s="205" t="n">
        <x:v>0.8</x:v>
      </x:c>
      <x:c r="E156" s="199" t="str">
        <x:v>fraction</x:v>
      </x:c>
      <x:c r="F156" s="199" t="str">
        <x:v>BG5</x:v>
      </x:c>
      <x:c r="G156" s="199" t="str">
        <x:v>All</x:v>
      </x:c>
      <x:c r="H156" s="206" t="n">
        <x:v>0</x:v>
      </x:c>
      <x:c r="I156" s="206" t="n">
        <x:v>1</x:v>
      </x:c>
      <x:c r="J156" s="199" t="str">
        <x:v>none</x:v>
      </x:c>
      <x:c r="K156" s="200" t="b">
        <x:v>1</x:v>
      </x:c>
      <x:c r="L156" s="201" t="str">
        <x:v>assumed</x:v>
      </x:c>
      <x:c r="M156" s="201" t="str">
        <x:v>E</x:v>
      </x:c>
      <x:c r="N156" s="199"/>
      <x:c r="O156" s="199" t="str">
        <x:v>Class-E structural placeholder; replace with measured, experimental, literature, or vendor data before scientific, design, economic, or configuration-selection interpretation.</x:v>
      </x:c>
      <x:c r="P156" s="199"/>
      <x:c r="Q156" s="199" t="str">
        <x:v>assumed</x:v>
      </x:c>
      <x:c r="R156" s="199" t="n">
        <x:v>100</x:v>
      </x:c>
      <x:c r="S156" s="202" t="b">
        <x:v>1</x:v>
      </x:c>
      <x:c r="T156" s="199" t="n">
        <x:v>6</x:v>
      </x:c>
      <x:c r="U156" s="199" t="str">
        <x:v>LIM-P6-011</x:v>
      </x:c>
    </x:row>
    <x:row r="157">
      <x:c r="A157" s="197" t="str">
        <x:v>BG5_MEA</x:v>
      </x:c>
      <x:c r="B157" s="197" t="str">
        <x:v>Water to regenerator overhead</x:v>
      </x:c>
      <x:c r="C157" s="197" t="str">
        <x:v>mea_water_overhead_fraction</x:v>
      </x:c>
      <x:c r="D157" s="205" t="n">
        <x:v>0.02</x:v>
      </x:c>
      <x:c r="E157" s="199" t="str">
        <x:v>fraction</x:v>
      </x:c>
      <x:c r="F157" s="199" t="str">
        <x:v>BG5</x:v>
      </x:c>
      <x:c r="G157" s="199" t="str">
        <x:v>All</x:v>
      </x:c>
      <x:c r="H157" s="206" t="n">
        <x:v>0</x:v>
      </x:c>
      <x:c r="I157" s="206" t="n">
        <x:v>1</x:v>
      </x:c>
      <x:c r="J157" s="199" t="str">
        <x:v>none</x:v>
      </x:c>
      <x:c r="K157" s="200" t="b">
        <x:v>1</x:v>
      </x:c>
      <x:c r="L157" s="201" t="str">
        <x:v>assumed</x:v>
      </x:c>
      <x:c r="M157" s="201" t="str">
        <x:v>E</x:v>
      </x:c>
      <x:c r="N157" s="199"/>
      <x:c r="O157" s="199" t="str">
        <x:v>Class-E structural placeholder; replace with measured, experimental, literature, or vendor data before scientific, design, economic, or configuration-selection interpretation.</x:v>
      </x:c>
      <x:c r="P157" s="199"/>
      <x:c r="Q157" s="199" t="str">
        <x:v>assumed</x:v>
      </x:c>
      <x:c r="R157" s="199" t="n">
        <x:v>100</x:v>
      </x:c>
      <x:c r="S157" s="202" t="b">
        <x:v>1</x:v>
      </x:c>
      <x:c r="T157" s="199" t="n">
        <x:v>6</x:v>
      </x:c>
      <x:c r="U157" s="199" t="str">
        <x:v>LIM-P6-012</x:v>
      </x:c>
    </x:row>
    <x:row r="158">
      <x:c r="A158" s="197" t="str">
        <x:v>BG5_MEA</x:v>
      </x:c>
      <x:c r="B158" s="197" t="str">
        <x:v>Condenser reflux fraction</x:v>
      </x:c>
      <x:c r="C158" s="197" t="str">
        <x:v>mea_reflux_fraction</x:v>
      </x:c>
      <x:c r="D158" s="205" t="n">
        <x:v>0.95</x:v>
      </x:c>
      <x:c r="E158" s="199" t="str">
        <x:v>fraction</x:v>
      </x:c>
      <x:c r="F158" s="199" t="str">
        <x:v>BG5</x:v>
      </x:c>
      <x:c r="G158" s="199" t="str">
        <x:v>All</x:v>
      </x:c>
      <x:c r="H158" s="206" t="n">
        <x:v>0</x:v>
      </x:c>
      <x:c r="I158" s="206" t="n">
        <x:v>1</x:v>
      </x:c>
      <x:c r="J158" s="199" t="str">
        <x:v>none</x:v>
      </x:c>
      <x:c r="K158" s="200" t="b">
        <x:v>1</x:v>
      </x:c>
      <x:c r="L158" s="201" t="str">
        <x:v>assumed</x:v>
      </x:c>
      <x:c r="M158" s="201" t="str">
        <x:v>E</x:v>
      </x:c>
      <x:c r="N158" s="199"/>
      <x:c r="O158" s="199" t="str">
        <x:v>Class-E structural placeholder; replace with measured, experimental, literature, or vendor data before scientific, design, economic, or configuration-selection interpretation.</x:v>
      </x:c>
      <x:c r="P158" s="199"/>
      <x:c r="Q158" s="199" t="str">
        <x:v>assumed</x:v>
      </x:c>
      <x:c r="R158" s="199" t="n">
        <x:v>100</x:v>
      </x:c>
      <x:c r="S158" s="202" t="b">
        <x:v>1</x:v>
      </x:c>
      <x:c r="T158" s="199" t="n">
        <x:v>6</x:v>
      </x:c>
      <x:c r="U158" s="199" t="str">
        <x:v>LIM-P6-012</x:v>
      </x:c>
    </x:row>
    <x:row r="159">
      <x:c r="A159" s="197" t="str">
        <x:v>BG5_MEA</x:v>
      </x:c>
      <x:c r="B159" s="197" t="str">
        <x:v>Physical solvent loss</x:v>
      </x:c>
      <x:c r="C159" s="197" t="str">
        <x:v>mea_solvent_loss_fraction</x:v>
      </x:c>
      <x:c r="D159" s="205" t="n">
        <x:v>0.0002</x:v>
      </x:c>
      <x:c r="E159" s="199" t="str">
        <x:v>fraction/pass</x:v>
      </x:c>
      <x:c r="F159" s="199" t="str">
        <x:v>BG5</x:v>
      </x:c>
      <x:c r="G159" s="199" t="str">
        <x:v>All</x:v>
      </x:c>
      <x:c r="H159" s="206" t="n">
        <x:v>0</x:v>
      </x:c>
      <x:c r="I159" s="206" t="n">
        <x:v>1</x:v>
      </x:c>
      <x:c r="J159" s="199" t="str">
        <x:v>none</x:v>
      </x:c>
      <x:c r="K159" s="200" t="b">
        <x:v>1</x:v>
      </x:c>
      <x:c r="L159" s="201" t="str">
        <x:v>assumed</x:v>
      </x:c>
      <x:c r="M159" s="201" t="str">
        <x:v>E</x:v>
      </x:c>
      <x:c r="N159" s="199"/>
      <x:c r="O159" s="199" t="str">
        <x:v>Class-E structural placeholder; replace with measured, experimental, literature, or vendor data before scientific, design, economic, or configuration-selection interpretation.</x:v>
      </x:c>
      <x:c r="P159" s="199"/>
      <x:c r="Q159" s="199" t="str">
        <x:v>assumed</x:v>
      </x:c>
      <x:c r="R159" s="199" t="n">
        <x:v>100</x:v>
      </x:c>
      <x:c r="S159" s="202" t="b">
        <x:v>1</x:v>
      </x:c>
      <x:c r="T159" s="199" t="n">
        <x:v>6</x:v>
      </x:c>
      <x:c r="U159" s="199" t="str">
        <x:v>LIM-P6-013</x:v>
      </x:c>
    </x:row>
    <x:row r="160">
      <x:c r="A160" s="197" t="str">
        <x:v>BG5_MEA</x:v>
      </x:c>
      <x:c r="B160" s="197" t="str">
        <x:v>MEA degradation</x:v>
      </x:c>
      <x:c r="C160" s="197" t="str">
        <x:v>mea_degradation_fraction</x:v>
      </x:c>
      <x:c r="D160" s="205" t="n">
        <x:v>0.0001</x:v>
      </x:c>
      <x:c r="E160" s="199" t="str">
        <x:v>fraction/pass</x:v>
      </x:c>
      <x:c r="F160" s="199" t="str">
        <x:v>BG5</x:v>
      </x:c>
      <x:c r="G160" s="199" t="str">
        <x:v>All</x:v>
      </x:c>
      <x:c r="H160" s="206" t="n">
        <x:v>0</x:v>
      </x:c>
      <x:c r="I160" s="206" t="n">
        <x:v>1</x:v>
      </x:c>
      <x:c r="J160" s="199" t="str">
        <x:v>none</x:v>
      </x:c>
      <x:c r="K160" s="200" t="b">
        <x:v>1</x:v>
      </x:c>
      <x:c r="L160" s="201" t="str">
        <x:v>assumed</x:v>
      </x:c>
      <x:c r="M160" s="201" t="str">
        <x:v>E</x:v>
      </x:c>
      <x:c r="N160" s="199"/>
      <x:c r="O160" s="199" t="str">
        <x:v>Class-E structural placeholder; replace with measured, experimental, literature, or vendor data before scientific, design, economic, or configuration-selection interpretation.</x:v>
      </x:c>
      <x:c r="P160" s="199"/>
      <x:c r="Q160" s="199" t="str">
        <x:v>assumed</x:v>
      </x:c>
      <x:c r="R160" s="199" t="n">
        <x:v>100</x:v>
      </x:c>
      <x:c r="S160" s="202" t="b">
        <x:v>1</x:v>
      </x:c>
      <x:c r="T160" s="199" t="n">
        <x:v>6</x:v>
      </x:c>
      <x:c r="U160" s="199" t="str">
        <x:v>LIM-P6-013</x:v>
      </x:c>
    </x:row>
    <x:row r="161">
      <x:c r="A161" s="197" t="str">
        <x:v>BG5_MEA</x:v>
      </x:c>
      <x:c r="B161" s="197" t="str">
        <x:v>Optional antifoam dose</x:v>
      </x:c>
      <x:c r="C161" s="197" t="str">
        <x:v>mea_antifoam_kg_per_kg_mea</x:v>
      </x:c>
      <x:c r="D161" s="205"/>
      <x:c r="E161" s="199" t="str">
        <x:v>kg/kg MEA</x:v>
      </x:c>
      <x:c r="F161" s="199" t="str">
        <x:v>BG5</x:v>
      </x:c>
      <x:c r="G161" s="199" t="str">
        <x:v>All</x:v>
      </x:c>
      <x:c r="H161" s="206" t="n">
        <x:v>0</x:v>
      </x:c>
      <x:c r="I161" s="206" t="n">
        <x:v>1</x:v>
      </x:c>
      <x:c r="J161" s="199" t="str">
        <x:v>none</x:v>
      </x:c>
      <x:c r="K161" s="200" t="b">
        <x:v>0</x:v>
      </x:c>
      <x:c r="L161" s="201" t="str">
        <x:v>not_measured</x:v>
      </x:c>
      <x:c r="M161" s="201" t="str">
        <x:v>E</x:v>
      </x:c>
      <x:c r="N161" s="199"/>
      <x:c r="O161" s="199" t="str">
        <x:v>Optional. Blank is interpreted as zero and does not break simulation.</x:v>
      </x:c>
      <x:c r="P161" s="199"/>
      <x:c r="Q161" s="199" t="str">
        <x:v>assumed</x:v>
      </x:c>
      <x:c r="R161" s="199" t="n">
        <x:v>100</x:v>
      </x:c>
      <x:c r="S161" s="202" t="b">
        <x:v>1</x:v>
      </x:c>
      <x:c r="T161" s="199" t="n">
        <x:v>6</x:v>
      </x:c>
      <x:c r="U161" s="199" t="str">
        <x:v>LIM-P6-013</x:v>
      </x:c>
    </x:row>
    <x:row r="162">
      <x:c r="A162" s="197" t="str">
        <x:v>BG5_MEA</x:v>
      </x:c>
      <x:c r="B162" s="197" t="str">
        <x:v>Lean-solvent cooler outlet</x:v>
      </x:c>
      <x:c r="C162" s="197" t="str">
        <x:v>mea_lean_cooler_temperature_c</x:v>
      </x:c>
      <x:c r="D162" s="205" t="n">
        <x:v>40</x:v>
      </x:c>
      <x:c r="E162" s="199" t="str">
        <x:v>degC</x:v>
      </x:c>
      <x:c r="F162" s="199" t="str">
        <x:v>BG5</x:v>
      </x:c>
      <x:c r="G162" s="199" t="str">
        <x:v>All</x:v>
      </x:c>
      <x:c r="H162" s="206" t="n">
        <x:v>0</x:v>
      </x:c>
      <x:c r="I162" s="206" t="n">
        <x:v>100</x:v>
      </x:c>
      <x:c r="J162" s="199" t="str">
        <x:v>none</x:v>
      </x:c>
      <x:c r="K162" s="200" t="b">
        <x:v>1</x:v>
      </x:c>
      <x:c r="L162" s="201" t="str">
        <x:v>assumed</x:v>
      </x:c>
      <x:c r="M162" s="201" t="str">
        <x:v>E</x:v>
      </x:c>
      <x:c r="N162" s="199"/>
      <x:c r="O162" s="199" t="str">
        <x:v>Class-E structural placeholder; replace with measured, experimental, literature, or vendor data before scientific, design, economic, or configuration-selection interpretation.</x:v>
      </x:c>
      <x:c r="P162" s="199"/>
      <x:c r="Q162" s="199" t="str">
        <x:v>assumed</x:v>
      </x:c>
      <x:c r="R162" s="199" t="n">
        <x:v>100</x:v>
      </x:c>
      <x:c r="S162" s="202" t="b">
        <x:v>1</x:v>
      </x:c>
      <x:c r="T162" s="199" t="n">
        <x:v>6</x:v>
      </x:c>
      <x:c r="U162" s="199" t="str">
        <x:v>LIM-P6-012</x:v>
      </x:c>
    </x:row>
    <x:row r="163">
      <x:c r="A163" s="197" t="str">
        <x:v>BG5_MEA</x:v>
      </x:c>
      <x:c r="B163" s="197" t="str">
        <x:v>P641 discharge pressure</x:v>
      </x:c>
      <x:c r="C163" s="197" t="str">
        <x:v>mea_pump_pressure_bar</x:v>
      </x:c>
      <x:c r="D163" s="205" t="n">
        <x:v>2</x:v>
      </x:c>
      <x:c r="E163" s="199" t="str">
        <x:v>bar</x:v>
      </x:c>
      <x:c r="F163" s="199" t="str">
        <x:v>BG5</x:v>
      </x:c>
      <x:c r="G163" s="199" t="str">
        <x:v>All</x:v>
      </x:c>
      <x:c r="H163" s="206" t="n">
        <x:v>0.000001</x:v>
      </x:c>
      <x:c r="I163" s="206" t="n">
        <x:v>100</x:v>
      </x:c>
      <x:c r="J163" s="199" t="str">
        <x:v>none</x:v>
      </x:c>
      <x:c r="K163" s="200" t="b">
        <x:v>1</x:v>
      </x:c>
      <x:c r="L163" s="201" t="str">
        <x:v>assumed</x:v>
      </x:c>
      <x:c r="M163" s="201" t="str">
        <x:v>E</x:v>
      </x:c>
      <x:c r="N163" s="199"/>
      <x:c r="O163" s="199" t="str">
        <x:v>Class-E structural placeholder; replace with measured, experimental, literature, or vendor data before scientific, design, economic, or configuration-selection interpretation.</x:v>
      </x:c>
      <x:c r="P163" s="199"/>
      <x:c r="Q163" s="199" t="str">
        <x:v>assumed</x:v>
      </x:c>
      <x:c r="R163" s="199" t="n">
        <x:v>100</x:v>
      </x:c>
      <x:c r="S163" s="202" t="b">
        <x:v>1</x:v>
      </x:c>
      <x:c r="T163" s="199" t="n">
        <x:v>6</x:v>
      </x:c>
      <x:c r="U163" s="199" t="str">
        <x:v>LIM-P6-011</x:v>
      </x:c>
    </x:row>
    <x:row r="164">
      <x:c r="A164" s="197" t="str">
        <x:v>BG5_design</x:v>
      </x:c>
      <x:c r="B164" s="197" t="str">
        <x:v>Absorber gas velocity</x:v>
      </x:c>
      <x:c r="C164" s="197" t="str">
        <x:v>mea_absorber_velocity_m_s</x:v>
      </x:c>
      <x:c r="D164" s="205" t="n">
        <x:v>1.2</x:v>
      </x:c>
      <x:c r="E164" s="199" t="str">
        <x:v>m/s</x:v>
      </x:c>
      <x:c r="F164" s="199" t="str">
        <x:v>BG5</x:v>
      </x:c>
      <x:c r="G164" s="199" t="str">
        <x:v>All</x:v>
      </x:c>
      <x:c r="H164" s="206" t="n">
        <x:v>0.000001</x:v>
      </x:c>
      <x:c r="I164" s="206" t="n">
        <x:v>20</x:v>
      </x:c>
      <x:c r="J164" s="199" t="str">
        <x:v>none</x:v>
      </x:c>
      <x:c r="K164" s="200" t="b">
        <x:v>1</x:v>
      </x:c>
      <x:c r="L164" s="201" t="str">
        <x:v>assumed</x:v>
      </x:c>
      <x:c r="M164" s="201" t="str">
        <x:v>E</x:v>
      </x:c>
      <x:c r="N164" s="199"/>
      <x:c r="O164" s="199" t="str">
        <x:v>Class-E structural placeholder; replace with measured, experimental, literature, or vendor data before scientific, design, economic, or configuration-selection interpretation.</x:v>
      </x:c>
      <x:c r="P164" s="199"/>
      <x:c r="Q164" s="199" t="str">
        <x:v>assumed</x:v>
      </x:c>
      <x:c r="R164" s="199" t="n">
        <x:v>100</x:v>
      </x:c>
      <x:c r="S164" s="202" t="b">
        <x:v>1</x:v>
      </x:c>
      <x:c r="T164" s="199" t="n">
        <x:v>6</x:v>
      </x:c>
      <x:c r="U164" s="199" t="str">
        <x:v>LIM-P6-011</x:v>
      </x:c>
    </x:row>
    <x:row r="165">
      <x:c r="A165" s="197" t="str">
        <x:v>BG5_design</x:v>
      </x:c>
      <x:c r="B165" s="197" t="str">
        <x:v>Absorber packing height</x:v>
      </x:c>
      <x:c r="C165" s="197" t="str">
        <x:v>mea_absorber_packing_height_m</x:v>
      </x:c>
      <x:c r="D165" s="205" t="n">
        <x:v>10</x:v>
      </x:c>
      <x:c r="E165" s="199" t="str">
        <x:v>m</x:v>
      </x:c>
      <x:c r="F165" s="199" t="str">
        <x:v>BG5</x:v>
      </x:c>
      <x:c r="G165" s="199" t="str">
        <x:v>All</x:v>
      </x:c>
      <x:c r="H165" s="206" t="n">
        <x:v>0.000001</x:v>
      </x:c>
      <x:c r="I165" s="206" t="n">
        <x:v>100</x:v>
      </x:c>
      <x:c r="J165" s="199" t="str">
        <x:v>none</x:v>
      </x:c>
      <x:c r="K165" s="200" t="b">
        <x:v>1</x:v>
      </x:c>
      <x:c r="L165" s="201" t="str">
        <x:v>assumed</x:v>
      </x:c>
      <x:c r="M165" s="201" t="str">
        <x:v>E</x:v>
      </x:c>
      <x:c r="N165" s="199"/>
      <x:c r="O165" s="199" t="str">
        <x:v>Class-E structural placeholder; replace with measured, experimental, literature, or vendor data before scientific, design, economic, or configuration-selection interpretation.</x:v>
      </x:c>
      <x:c r="P165" s="199"/>
      <x:c r="Q165" s="199" t="str">
        <x:v>assumed</x:v>
      </x:c>
      <x:c r="R165" s="199" t="n">
        <x:v>100</x:v>
      </x:c>
      <x:c r="S165" s="202" t="b">
        <x:v>1</x:v>
      </x:c>
      <x:c r="T165" s="199" t="n">
        <x:v>6</x:v>
      </x:c>
      <x:c r="U165" s="199" t="str">
        <x:v>LIM-P6-011</x:v>
      </x:c>
    </x:row>
    <x:row r="166">
      <x:c r="A166" s="197" t="str">
        <x:v>BG5_design</x:v>
      </x:c>
      <x:c r="B166" s="197" t="str">
        <x:v>Stripper gas velocity</x:v>
      </x:c>
      <x:c r="C166" s="197" t="str">
        <x:v>mea_stripper_velocity_m_s</x:v>
      </x:c>
      <x:c r="D166" s="205" t="n">
        <x:v>1</x:v>
      </x:c>
      <x:c r="E166" s="199" t="str">
        <x:v>m/s</x:v>
      </x:c>
      <x:c r="F166" s="199" t="str">
        <x:v>BG5</x:v>
      </x:c>
      <x:c r="G166" s="199" t="str">
        <x:v>All</x:v>
      </x:c>
      <x:c r="H166" s="206" t="n">
        <x:v>0.000001</x:v>
      </x:c>
      <x:c r="I166" s="206" t="n">
        <x:v>20</x:v>
      </x:c>
      <x:c r="J166" s="199" t="str">
        <x:v>none</x:v>
      </x:c>
      <x:c r="K166" s="200" t="b">
        <x:v>1</x:v>
      </x:c>
      <x:c r="L166" s="201" t="str">
        <x:v>assumed</x:v>
      </x:c>
      <x:c r="M166" s="201" t="str">
        <x:v>E</x:v>
      </x:c>
      <x:c r="N166" s="199"/>
      <x:c r="O166" s="199" t="str">
        <x:v>Class-E structural placeholder; replace with measured, experimental, literature, or vendor data before scientific, design, economic, or configuration-selection interpretation.</x:v>
      </x:c>
      <x:c r="P166" s="199"/>
      <x:c r="Q166" s="199" t="str">
        <x:v>assumed</x:v>
      </x:c>
      <x:c r="R166" s="199" t="n">
        <x:v>100</x:v>
      </x:c>
      <x:c r="S166" s="202" t="b">
        <x:v>1</x:v>
      </x:c>
      <x:c r="T166" s="199" t="n">
        <x:v>6</x:v>
      </x:c>
      <x:c r="U166" s="199" t="str">
        <x:v>LIM-P6-011</x:v>
      </x:c>
    </x:row>
    <x:row r="167">
      <x:c r="A167" s="197" t="str">
        <x:v>BG5_design</x:v>
      </x:c>
      <x:c r="B167" s="197" t="str">
        <x:v>Stripper packing height</x:v>
      </x:c>
      <x:c r="C167" s="197" t="str">
        <x:v>mea_stripper_packing_height_m</x:v>
      </x:c>
      <x:c r="D167" s="205" t="n">
        <x:v>8</x:v>
      </x:c>
      <x:c r="E167" s="199" t="str">
        <x:v>m</x:v>
      </x:c>
      <x:c r="F167" s="199" t="str">
        <x:v>BG5</x:v>
      </x:c>
      <x:c r="G167" s="199" t="str">
        <x:v>All</x:v>
      </x:c>
      <x:c r="H167" s="206" t="n">
        <x:v>0.000001</x:v>
      </x:c>
      <x:c r="I167" s="206" t="n">
        <x:v>100</x:v>
      </x:c>
      <x:c r="J167" s="199" t="str">
        <x:v>none</x:v>
      </x:c>
      <x:c r="K167" s="200" t="b">
        <x:v>1</x:v>
      </x:c>
      <x:c r="L167" s="201" t="str">
        <x:v>assumed</x:v>
      </x:c>
      <x:c r="M167" s="201" t="str">
        <x:v>E</x:v>
      </x:c>
      <x:c r="N167" s="199"/>
      <x:c r="O167" s="199" t="str">
        <x:v>Class-E structural placeholder; replace with measured, experimental, literature, or vendor data before scientific, design, economic, or configuration-selection interpretation.</x:v>
      </x:c>
      <x:c r="P167" s="199"/>
      <x:c r="Q167" s="199" t="str">
        <x:v>assumed</x:v>
      </x:c>
      <x:c r="R167" s="199" t="n">
        <x:v>100</x:v>
      </x:c>
      <x:c r="S167" s="202" t="b">
        <x:v>1</x:v>
      </x:c>
      <x:c r="T167" s="199" t="n">
        <x:v>6</x:v>
      </x:c>
      <x:c r="U167" s="199" t="str">
        <x:v>LIM-P6-011</x:v>
      </x:c>
    </x:row>
  </x:sheetData>
  <x:dataValidations count="4">
    <x:dataValidation type="list" sqref="F2:F167">
      <x:formula1>"All,BG0,BG1,BG2,BG3,BG4,BG5,BG6"</x:formula1>
    </x:dataValidation>
    <x:dataValidation type="list" sqref="K2:K167">
      <x:formula1>"true,false"</x:formula1>
    </x:dataValidation>
    <x:dataValidation type="list" sqref="L2:L167">
      <x:formula1>"measured,estimated,assumed,not_measured,not_applicable"</x:formula1>
    </x:dataValidation>
    <x:dataValidation type="list" sqref="M2:M167">
      <x:formula1>"A,B,C,D,E"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93dbd8c221a453a"/>
  </x:tableParts>
</x:worksheet>
</file>