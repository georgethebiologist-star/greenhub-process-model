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y\Spaak\Greenhub\Model\Greenhub\data\"/>
    </mc:Choice>
  </mc:AlternateContent>
  <xr:revisionPtr revIDLastSave="0" documentId="8_{D8D4A542-4D4A-4A9F-8CF3-74AAD7FD01B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verview" sheetId="1" r:id="rId1"/>
    <sheet name="Assumptions" sheetId="2" r:id="rId2"/>
    <sheet name="Scenarios" sheetId="3" r:id="rId3"/>
    <sheet name="Cost Inventory" sheetId="4" r:id="rId4"/>
    <sheet name="Gap Register" sheetId="5" r:id="rId5"/>
    <sheet name="References" sheetId="6" r:id="rId6"/>
    <sheet name="Original Scenarios" sheetId="7" r:id="rId7"/>
    <sheet name="Scenario Cost Build" sheetId="8" r:id="rId8"/>
  </sheets>
  <definedNames>
    <definedName name="_xlnm._FilterDatabase" localSheetId="3" hidden="1">'Cost Inventory'!$A$4:$Z$57</definedName>
    <definedName name="_xlnm._FilterDatabase" localSheetId="4" hidden="1">'Gap Register'!$A$4:$F$22</definedName>
    <definedName name="_xlnm._FilterDatabase" localSheetId="5" hidden="1">References!$A$3:$E$56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0" i="8" l="1"/>
  <c r="M120" i="8"/>
  <c r="O120" i="8" s="1"/>
  <c r="T119" i="8"/>
  <c r="M119" i="8"/>
  <c r="O119" i="8" s="1"/>
  <c r="T118" i="8"/>
  <c r="M118" i="8"/>
  <c r="O118" i="8" s="1"/>
  <c r="T117" i="8"/>
  <c r="M117" i="8"/>
  <c r="O117" i="8" s="1"/>
  <c r="T116" i="8"/>
  <c r="M116" i="8"/>
  <c r="O116" i="8" s="1"/>
  <c r="T115" i="8"/>
  <c r="M115" i="8"/>
  <c r="O115" i="8" s="1"/>
  <c r="T114" i="8"/>
  <c r="M114" i="8"/>
  <c r="O114" i="8" s="1"/>
  <c r="T113" i="8"/>
  <c r="M113" i="8"/>
  <c r="O113" i="8" s="1"/>
  <c r="T112" i="8"/>
  <c r="M112" i="8"/>
  <c r="O112" i="8" s="1"/>
  <c r="T111" i="8"/>
  <c r="M111" i="8"/>
  <c r="O111" i="8" s="1"/>
  <c r="T110" i="8"/>
  <c r="M110" i="8"/>
  <c r="O110" i="8" s="1"/>
  <c r="T109" i="8"/>
  <c r="M109" i="8"/>
  <c r="O109" i="8" s="1"/>
  <c r="T108" i="8"/>
  <c r="M108" i="8"/>
  <c r="O108" i="8" s="1"/>
  <c r="T107" i="8"/>
  <c r="M107" i="8"/>
  <c r="O107" i="8" s="1"/>
  <c r="T106" i="8"/>
  <c r="O106" i="8"/>
  <c r="M106" i="8"/>
  <c r="T105" i="8"/>
  <c r="M105" i="8"/>
  <c r="O105" i="8" s="1"/>
  <c r="T104" i="8"/>
  <c r="M104" i="8"/>
  <c r="O104" i="8" s="1"/>
  <c r="T103" i="8"/>
  <c r="M103" i="8"/>
  <c r="O103" i="8" s="1"/>
  <c r="T102" i="8"/>
  <c r="M102" i="8"/>
  <c r="O102" i="8" s="1"/>
  <c r="T101" i="8"/>
  <c r="M101" i="8"/>
  <c r="O101" i="8" s="1"/>
  <c r="T100" i="8"/>
  <c r="M100" i="8"/>
  <c r="O100" i="8" s="1"/>
  <c r="T99" i="8"/>
  <c r="M99" i="8"/>
  <c r="O99" i="8" s="1"/>
  <c r="T98" i="8"/>
  <c r="M98" i="8"/>
  <c r="O98" i="8" s="1"/>
  <c r="T97" i="8"/>
  <c r="M97" i="8"/>
  <c r="O97" i="8" s="1"/>
  <c r="T96" i="8"/>
  <c r="M96" i="8"/>
  <c r="O96" i="8" s="1"/>
  <c r="T95" i="8"/>
  <c r="M95" i="8"/>
  <c r="O95" i="8" s="1"/>
  <c r="T94" i="8"/>
  <c r="M94" i="8"/>
  <c r="O94" i="8" s="1"/>
  <c r="T93" i="8"/>
  <c r="M93" i="8"/>
  <c r="O93" i="8" s="1"/>
  <c r="T92" i="8"/>
  <c r="M92" i="8"/>
  <c r="O92" i="8" s="1"/>
  <c r="T91" i="8"/>
  <c r="O91" i="8"/>
  <c r="M91" i="8"/>
  <c r="T90" i="8"/>
  <c r="M90" i="8"/>
  <c r="O90" i="8" s="1"/>
  <c r="T89" i="8"/>
  <c r="M89" i="8"/>
  <c r="O89" i="8" s="1"/>
  <c r="T88" i="8"/>
  <c r="M88" i="8"/>
  <c r="O88" i="8" s="1"/>
  <c r="T87" i="8"/>
  <c r="M87" i="8"/>
  <c r="O87" i="8" s="1"/>
  <c r="T86" i="8"/>
  <c r="M86" i="8"/>
  <c r="O86" i="8" s="1"/>
  <c r="T85" i="8"/>
  <c r="M85" i="8"/>
  <c r="O85" i="8" s="1"/>
  <c r="T84" i="8"/>
  <c r="M84" i="8"/>
  <c r="O84" i="8" s="1"/>
  <c r="T83" i="8"/>
  <c r="M83" i="8"/>
  <c r="O83" i="8" s="1"/>
  <c r="T82" i="8"/>
  <c r="M82" i="8"/>
  <c r="O82" i="8" s="1"/>
  <c r="T81" i="8"/>
  <c r="M81" i="8"/>
  <c r="O81" i="8" s="1"/>
  <c r="T80" i="8"/>
  <c r="M80" i="8"/>
  <c r="O80" i="8" s="1"/>
  <c r="T79" i="8"/>
  <c r="M79" i="8"/>
  <c r="O79" i="8" s="1"/>
  <c r="T78" i="8"/>
  <c r="M78" i="8"/>
  <c r="O78" i="8" s="1"/>
  <c r="T77" i="8"/>
  <c r="M77" i="8"/>
  <c r="O77" i="8" s="1"/>
  <c r="T76" i="8"/>
  <c r="O76" i="8"/>
  <c r="M76" i="8"/>
  <c r="T75" i="8"/>
  <c r="M75" i="8"/>
  <c r="O75" i="8" s="1"/>
  <c r="T74" i="8"/>
  <c r="M74" i="8"/>
  <c r="O74" i="8" s="1"/>
  <c r="T73" i="8"/>
  <c r="M73" i="8"/>
  <c r="O73" i="8" s="1"/>
  <c r="T72" i="8"/>
  <c r="M72" i="8"/>
  <c r="O72" i="8" s="1"/>
  <c r="T71" i="8"/>
  <c r="M71" i="8"/>
  <c r="O71" i="8" s="1"/>
  <c r="T70" i="8"/>
  <c r="M70" i="8"/>
  <c r="O70" i="8" s="1"/>
  <c r="T69" i="8"/>
  <c r="M69" i="8"/>
  <c r="O69" i="8" s="1"/>
  <c r="T68" i="8"/>
  <c r="M68" i="8"/>
  <c r="O68" i="8" s="1"/>
  <c r="T67" i="8"/>
  <c r="M67" i="8"/>
  <c r="O67" i="8" s="1"/>
  <c r="T66" i="8"/>
  <c r="M66" i="8"/>
  <c r="O66" i="8" s="1"/>
  <c r="T65" i="8"/>
  <c r="M65" i="8"/>
  <c r="O65" i="8" s="1"/>
  <c r="T64" i="8"/>
  <c r="M64" i="8"/>
  <c r="O64" i="8" s="1"/>
  <c r="T63" i="8"/>
  <c r="M63" i="8"/>
  <c r="O63" i="8" s="1"/>
  <c r="T62" i="8"/>
  <c r="M62" i="8"/>
  <c r="O62" i="8" s="1"/>
  <c r="T61" i="8"/>
  <c r="O61" i="8"/>
  <c r="M61" i="8"/>
  <c r="T60" i="8"/>
  <c r="M60" i="8"/>
  <c r="O60" i="8" s="1"/>
  <c r="T59" i="8"/>
  <c r="M59" i="8"/>
  <c r="O59" i="8" s="1"/>
  <c r="T58" i="8"/>
  <c r="M58" i="8"/>
  <c r="O58" i="8" s="1"/>
  <c r="T57" i="8"/>
  <c r="M57" i="8"/>
  <c r="O57" i="8" s="1"/>
  <c r="T56" i="8"/>
  <c r="M56" i="8"/>
  <c r="O56" i="8" s="1"/>
  <c r="T55" i="8"/>
  <c r="M55" i="8"/>
  <c r="O55" i="8" s="1"/>
  <c r="T54" i="8"/>
  <c r="M54" i="8"/>
  <c r="O54" i="8" s="1"/>
  <c r="T53" i="8"/>
  <c r="M53" i="8"/>
  <c r="O53" i="8" s="1"/>
  <c r="T52" i="8"/>
  <c r="M52" i="8"/>
  <c r="O52" i="8" s="1"/>
  <c r="T51" i="8"/>
  <c r="M51" i="8"/>
  <c r="O51" i="8" s="1"/>
  <c r="T50" i="8"/>
  <c r="M50" i="8"/>
  <c r="O50" i="8" s="1"/>
  <c r="T49" i="8"/>
  <c r="M49" i="8"/>
  <c r="O49" i="8" s="1"/>
  <c r="T48" i="8"/>
  <c r="M48" i="8"/>
  <c r="O48" i="8" s="1"/>
  <c r="T47" i="8"/>
  <c r="M47" i="8"/>
  <c r="O47" i="8" s="1"/>
  <c r="T46" i="8"/>
  <c r="M46" i="8"/>
  <c r="O46" i="8" s="1"/>
  <c r="T45" i="8"/>
  <c r="M45" i="8"/>
  <c r="O45" i="8" s="1"/>
  <c r="T44" i="8"/>
  <c r="M44" i="8"/>
  <c r="O44" i="8" s="1"/>
  <c r="T43" i="8"/>
  <c r="M43" i="8"/>
  <c r="O43" i="8" s="1"/>
  <c r="T42" i="8"/>
  <c r="M42" i="8"/>
  <c r="O42" i="8" s="1"/>
  <c r="T41" i="8"/>
  <c r="M41" i="8"/>
  <c r="O41" i="8" s="1"/>
  <c r="T40" i="8"/>
  <c r="M40" i="8"/>
  <c r="O40" i="8" s="1"/>
  <c r="T39" i="8"/>
  <c r="M39" i="8"/>
  <c r="O39" i="8" s="1"/>
  <c r="T38" i="8"/>
  <c r="M38" i="8"/>
  <c r="O38" i="8" s="1"/>
  <c r="T37" i="8"/>
  <c r="M37" i="8"/>
  <c r="O37" i="8" s="1"/>
  <c r="T36" i="8"/>
  <c r="M36" i="8"/>
  <c r="O36" i="8" s="1"/>
  <c r="T35" i="8"/>
  <c r="M35" i="8"/>
  <c r="O35" i="8" s="1"/>
  <c r="T34" i="8"/>
  <c r="M34" i="8"/>
  <c r="O34" i="8" s="1"/>
  <c r="T33" i="8"/>
  <c r="M33" i="8"/>
  <c r="O33" i="8" s="1"/>
  <c r="T32" i="8"/>
  <c r="M32" i="8"/>
  <c r="O32" i="8" s="1"/>
  <c r="T31" i="8"/>
  <c r="M31" i="8"/>
  <c r="O31" i="8" s="1"/>
  <c r="T30" i="8"/>
  <c r="M30" i="8"/>
  <c r="O30" i="8" s="1"/>
  <c r="T29" i="8"/>
  <c r="M29" i="8"/>
  <c r="O29" i="8" s="1"/>
  <c r="T28" i="8"/>
  <c r="M28" i="8"/>
  <c r="O28" i="8" s="1"/>
  <c r="T27" i="8"/>
  <c r="M27" i="8"/>
  <c r="O27" i="8" s="1"/>
  <c r="T26" i="8"/>
  <c r="M26" i="8"/>
  <c r="O26" i="8" s="1"/>
  <c r="T25" i="8"/>
  <c r="M25" i="8"/>
  <c r="O25" i="8" s="1"/>
  <c r="T24" i="8"/>
  <c r="O24" i="8"/>
  <c r="M24" i="8"/>
  <c r="T23" i="8"/>
  <c r="M23" i="8"/>
  <c r="O23" i="8" s="1"/>
  <c r="T22" i="8"/>
  <c r="M22" i="8"/>
  <c r="O22" i="8" s="1"/>
  <c r="T21" i="8"/>
  <c r="M21" i="8"/>
  <c r="O21" i="8" s="1"/>
  <c r="T20" i="8"/>
  <c r="M20" i="8"/>
  <c r="O20" i="8" s="1"/>
  <c r="T19" i="8"/>
  <c r="M19" i="8"/>
  <c r="O19" i="8" s="1"/>
  <c r="T18" i="8"/>
  <c r="M18" i="8"/>
  <c r="O18" i="8" s="1"/>
  <c r="T17" i="8"/>
  <c r="M17" i="8"/>
  <c r="O17" i="8" s="1"/>
  <c r="T16" i="8"/>
  <c r="M16" i="8"/>
  <c r="O16" i="8" s="1"/>
  <c r="T15" i="8"/>
  <c r="M15" i="8"/>
  <c r="O15" i="8" s="1"/>
  <c r="T14" i="8"/>
  <c r="M14" i="8"/>
  <c r="O14" i="8" s="1"/>
  <c r="T13" i="8"/>
  <c r="M13" i="8"/>
  <c r="O13" i="8" s="1"/>
  <c r="T12" i="8"/>
  <c r="M12" i="8"/>
  <c r="O12" i="8" s="1"/>
  <c r="T11" i="8"/>
  <c r="M11" i="8"/>
  <c r="O11" i="8" s="1"/>
  <c r="T10" i="8"/>
  <c r="M10" i="8"/>
  <c r="O10" i="8" s="1"/>
  <c r="T9" i="8"/>
  <c r="O9" i="8"/>
  <c r="M9" i="8"/>
  <c r="T8" i="8"/>
  <c r="M8" i="8"/>
  <c r="O8" i="8" s="1"/>
  <c r="T7" i="8"/>
  <c r="M7" i="8"/>
  <c r="O7" i="8" s="1"/>
  <c r="T6" i="8"/>
  <c r="M6" i="8"/>
  <c r="O6" i="8" s="1"/>
  <c r="T5" i="8"/>
  <c r="M5" i="8"/>
  <c r="O5" i="8" s="1"/>
  <c r="T4" i="8"/>
  <c r="M4" i="8"/>
  <c r="O4" i="8" s="1"/>
  <c r="D2" i="8"/>
  <c r="B11" i="1"/>
  <c r="B9" i="1"/>
  <c r="B8" i="1"/>
  <c r="B7" i="1"/>
  <c r="B6" i="1"/>
  <c r="B2" i="8" l="1"/>
</calcChain>
</file>

<file path=xl/sharedStrings.xml><?xml version="1.0" encoding="utf-8"?>
<sst xmlns="http://schemas.openxmlformats.org/spreadsheetml/2006/main" count="13991" uniqueCount="2508">
  <si>
    <t>GreenHub TEA | Compact scenario cost workbook</t>
  </si>
  <si>
    <t>Project basis</t>
  </si>
  <si>
    <t>Roadside grass valorization in the Netherlands</t>
  </si>
  <si>
    <t>Assessment date</t>
  </si>
  <si>
    <t>2026-09-29</t>
  </si>
  <si>
    <t>Readiness measure</t>
  </si>
  <si>
    <t>Current evidence</t>
  </si>
  <si>
    <t>Existing catalog input rows (from source workbook)</t>
  </si>
  <si>
    <t>Research inventory rows</t>
  </si>
  <si>
    <t>Rows with numeric EUR-screening value</t>
  </si>
  <si>
    <t>Quote-required rows</t>
  </si>
  <si>
    <t>Overall TEA status</t>
  </si>
  <si>
    <t>Screening costs and source links populated for all unique inventory items; unresolved items are design quantities, route selections and scope/vendor validation.</t>
  </si>
  <si>
    <t>Can screening TEA start?</t>
  </si>
  <si>
    <t>Can investment-grade TEA be completed?</t>
  </si>
  <si>
    <t>No — screening proxies only; confirm design basis, vendor quotes, site scope and financial assumptions.</t>
  </si>
  <si>
    <t>Original catalogue scenario/control rows</t>
  </si>
  <si>
    <t>Original source catalogue inventory rows</t>
  </si>
  <si>
    <t>Original equipment / equipment-cost rows attached</t>
  </si>
  <si>
    <t>Original equipment / cost gap rows attached</t>
  </si>
  <si>
    <t>New cost/reference rows appended</t>
  </si>
  <si>
    <t>Direct equipment cost points available</t>
  </si>
  <si>
    <t>Selected references: decanter, stripper, PSA, CHP/AD and spray dryer; scope varies</t>
  </si>
  <si>
    <t>Proxy / generic basis</t>
  </si>
  <si>
    <t>Used only where no GreenHub-specific supplier data was publicly available</t>
  </si>
  <si>
    <t>Analysis readiness</t>
  </si>
  <si>
    <t>Screening TEA framework ready; full scenario totals require validated capacities, balances, and selected-route cost assignment</t>
  </si>
  <si>
    <t>Investment-grade readiness</t>
  </si>
  <si>
    <t>Not ready until high-risk vendor/EPC quotes, site data, and product revenues are closed</t>
  </si>
  <si>
    <t>Main technical blocker</t>
  </si>
  <si>
    <t>No approved design basis: annual feed, hours, DM, yields, HRT, gas flow, equipment duties</t>
  </si>
  <si>
    <t>Cost overlap control</t>
  </si>
  <si>
    <t>Package boundaries and the 24 original unresolved overlap groups must be reconciled before aggregation</t>
  </si>
  <si>
    <t>Public screening anchors: equipment scaling/install factors, AD benchmark, upgrading CAPEX bands, Dutch water/labor, nearby grass logistics.</t>
  </si>
  <si>
    <t>Most vendor package prices and installed costs at GreenHub capacity.</t>
  </si>
  <si>
    <t>Sources include official statistics/agencies, peer-reviewed papers, WUR/TNO, water suppliers and government tariff information.</t>
  </si>
  <si>
    <t>No complete GreenHub mass/energy balance, verified equipment capacities, site location or process design basis.</t>
  </si>
  <si>
    <t>A scenario framework is present for low/base/high sensitivity once key capacities and prices are entered.</t>
  </si>
  <si>
    <t>No validated conversion yields, degradation/loss factors, enzyme/chemical dose rates or product specifications.</t>
  </si>
  <si>
    <t>Cost boundaries are recorded on sourced and missing rows to help prevent double counting.</t>
  </si>
  <si>
    <t>No reconciled EPC inclusions/exclusions, civil scope, contingency or owner costs.</t>
  </si>
  <si>
    <t>Missing values are left blank, with requested primary evidence specified.</t>
  </si>
  <si>
    <t>No bankable/investment-grade TEA yet.</t>
  </si>
  <si>
    <t>Recommended sequence</t>
  </si>
  <si>
    <t>Decision gate</t>
  </si>
  <si>
    <t>1. Freeze process configuration and design basis: wet t/y, operating days, composition, seasonality, site, product spec.</t>
  </si>
  <si>
    <t>Required before equipment sizing.</t>
  </si>
  <si>
    <t>2. Close mass and energy balance and define scenario alternatives.</t>
  </si>
  <si>
    <t>Required before credible utility, consumable and capacity estimates.</t>
  </si>
  <si>
    <t>3. Request budgetary supplier/EPC quotes with explicit boundary schedule.</t>
  </si>
  <si>
    <t>Required before CAPEX aggregation.</t>
  </si>
  <si>
    <t>4. Add Dutch delivered utility, wastewater, logistics and waste quotes; then calculate NPV/IRR/levelized costs with sensitivity.</t>
  </si>
  <si>
    <t>Then screening TEA can be upgraded to investment-grade, subject to validation.</t>
  </si>
  <si>
    <t>Core design basis and editable assumptions</t>
  </si>
  <si>
    <t>Parameter</t>
  </si>
  <si>
    <t>Current value</t>
  </si>
  <si>
    <t>Unit</t>
  </si>
  <si>
    <t>Status / evidence needed</t>
  </si>
  <si>
    <t>Annual wet grass throughput</t>
  </si>
  <si>
    <t>t wet/y</t>
  </si>
  <si>
    <t>Missing: project design basis</t>
  </si>
  <si>
    <t>Operating days</t>
  </si>
  <si>
    <t>days/y</t>
  </si>
  <si>
    <t>Missing: seasonal campaign and storage basis</t>
  </si>
  <si>
    <t>Dry matter content</t>
  </si>
  <si>
    <t>% wet basis</t>
  </si>
  <si>
    <t>Measure seasonal feedstock; no single value assumed</t>
  </si>
  <si>
    <t>Plant location / water board</t>
  </si>
  <si>
    <t>location</t>
  </si>
  <si>
    <t>Required for tariffs, permitting, logistics</t>
  </si>
  <si>
    <t>Raw biogas flow</t>
  </si>
  <si>
    <t>Nm3/h</t>
  </si>
  <si>
    <t>Required for upgrader sizing</t>
  </si>
  <si>
    <t>Raw gas methane fraction</t>
  </si>
  <si>
    <t>% vol</t>
  </si>
  <si>
    <t>Required for upgrading scope and yield</t>
  </si>
  <si>
    <t>Electricity use</t>
  </si>
  <si>
    <t>MWh/y</t>
  </si>
  <si>
    <t>From equipment balance; utility rate band depends on use</t>
  </si>
  <si>
    <t>Process heat demand</t>
  </si>
  <si>
    <t>MWhth/y</t>
  </si>
  <si>
    <t>From heat balance and integration</t>
  </si>
  <si>
    <t>Protein product output</t>
  </si>
  <si>
    <t>t/y</t>
  </si>
  <si>
    <t>From validated process yields/specification</t>
  </si>
  <si>
    <t>Digestate flow</t>
  </si>
  <si>
    <t>m3/y</t>
  </si>
  <si>
    <t>Required for nutrient recovery and disposal</t>
  </si>
  <si>
    <t>Project lifetime</t>
  </si>
  <si>
    <t>years</t>
  </si>
  <si>
    <t>Illustrative model horizon only; confirm financing/design</t>
  </si>
  <si>
    <t>Discount rate</t>
  </si>
  <si>
    <t>%/year</t>
  </si>
  <si>
    <t>Illustrative sensitivity control, not sourced as project WACC</t>
  </si>
  <si>
    <t>Selected scenario</t>
  </si>
  <si>
    <t>Base</t>
  </si>
  <si>
    <t>case</t>
  </si>
  <si>
    <t>Change selector on Scenarios sheet</t>
  </si>
  <si>
    <t>Cost handling rule</t>
  </si>
  <si>
    <t>Application</t>
  </si>
  <si>
    <t>Value</t>
  </si>
  <si>
    <t>Note</t>
  </si>
  <si>
    <t>Currency</t>
  </si>
  <si>
    <t>All monetary values should be EUR</t>
  </si>
  <si>
    <t>EUR</t>
  </si>
  <si>
    <t>Original currency/year retained in Cost Inventory.</t>
  </si>
  <si>
    <t>Escalation</t>
  </si>
  <si>
    <t>CEPCI or official HICP only when series and base year are known</t>
  </si>
  <si>
    <t>No inflation conversion applied where source year is unclear.</t>
  </si>
  <si>
    <t>Netherlands basis</t>
  </si>
  <si>
    <t>Prefer NL tariff/quote; otherwise explicitly labeled proxy</t>
  </si>
  <si>
    <t>No blanket purchasing power or location factor applied.</t>
  </si>
  <si>
    <t>Installed cost</t>
  </si>
  <si>
    <t>Separate equipment purchase, installation, indirect and owner costs</t>
  </si>
  <si>
    <t>Never add a Lang factor to an installed/vendor turnkey estimate.</t>
  </si>
  <si>
    <t>Missingness</t>
  </si>
  <si>
    <t>Blanks remain missing; no assumed price zero</t>
  </si>
  <si>
    <t>Follow-up field identifies required source/quote.</t>
  </si>
  <si>
    <t>Scenario controls and sensitivity ranges</t>
  </si>
  <si>
    <t>Driver</t>
  </si>
  <si>
    <t>Low</t>
  </si>
  <si>
    <t>High</t>
  </si>
  <si>
    <t>Basis / limitation</t>
  </si>
  <si>
    <t>Annual grass throughput</t>
  </si>
  <si>
    <t>Enter design alternatives; no GreenHub capacity supplied.</t>
  </si>
  <si>
    <t>Raw biogas upgrading flow</t>
  </si>
  <si>
    <t>Use flow after mass/energy balance.</t>
  </si>
  <si>
    <t>Electricity price</t>
  </si>
  <si>
    <t>EUR/kWh</t>
  </si>
  <si>
    <t>2025 H2 Eurostat NL band IC central €0.1991/kWh excluding VAT; low/high ±20% screening. Use band matched to actual annual use.</t>
  </si>
  <si>
    <t>Industrial gas price</t>
  </si>
  <si>
    <t>Dutch non-household gas proxy €0.0674/kWh LHV (2025 H2 I3). Useful heat proxy €0.0793/kWhth at 85% boiler efficiency, before CAPEX/O&amp;M.</t>
  </si>
  <si>
    <t>Water variable tariff</t>
  </si>
  <si>
    <t>EUR/m3</t>
  </si>
  <si>
    <t>2026 official business tariff examples: Waternet €1.18, Vitens €1.23, PWN €1.98/m3; supplier territory-specific; taxes/fixed charges separate.</t>
  </si>
  <si>
    <t>Grass haulage</t>
  </si>
  <si>
    <t>EUR/t delivered</t>
  </si>
  <si>
    <t>East Flanders proxy; low/high are study range, base reference haul only; do not combine with total delivered range.</t>
  </si>
  <si>
    <t>Pit storage</t>
  </si>
  <si>
    <t>EUR/t stored</t>
  </si>
  <si>
    <t>Belgium proxy; underlying cost year unclear.</t>
  </si>
  <si>
    <t>AD plant investment benchmark</t>
  </si>
  <si>
    <t>EUR/kW installed</t>
  </si>
  <si>
    <t>JRC 2020 scenario range; broad AD plant boundary, not equipment quote.</t>
  </si>
  <si>
    <t>Biogas upgrading CAPEX, PSA</t>
  </si>
  <si>
    <t>EUR/(Nm3/h raw biogas)</t>
  </si>
  <si>
    <t>2023 Spanish study min/average/max capacity costs; band-specific values at 2000/1250/500 flow.</t>
  </si>
  <si>
    <t>Biogas upgrading CAPEX, water scrubber</t>
  </si>
  <si>
    <t>2023 Spanish study values at 2100/1000/100 flow.</t>
  </si>
  <si>
    <t>Biogas upgrading CAPEX, membrane</t>
  </si>
  <si>
    <t>2023 Spanish study values at 1500/800/40 flow.</t>
  </si>
  <si>
    <t>AD O&amp;M fraction</t>
  </si>
  <si>
    <t>% CAPEX/y</t>
  </si>
  <si>
    <t>JRC broad AD plant benchmark; not additive to detailed O&amp;M.</t>
  </si>
  <si>
    <t>Illustrative decision sensitivity; set project WACC.</t>
  </si>
  <si>
    <t>Illustrative scenarios only; confirm design/financing horizon.</t>
  </si>
  <si>
    <t>Catalogue coverage and active process route</t>
  </si>
  <si>
    <t>Original catalog scenario/control rows</t>
  </si>
  <si>
    <t>rows</t>
  </si>
  <si>
    <t>All rows preserved on Original Scenarios</t>
  </si>
  <si>
    <t>Process route key</t>
  </si>
  <si>
    <t>scenario ID</t>
  </si>
  <si>
    <t>Select a route key from the catalogue. Cost line inclusion remains manual pending the route-to-equipment crosswalk.</t>
  </si>
  <si>
    <t>GreenHub TEA | Compact cost register</t>
  </si>
  <si>
    <t>Unique cost-bearing equipment, utilities, consumables and site/labor inputs across scenario families. Process operations are excluded as costs; alternative equipment routes are listed once.</t>
  </si>
  <si>
    <t>process_area</t>
  </si>
  <si>
    <t>process_step</t>
  </si>
  <si>
    <t>equipment_or_cost_item</t>
  </si>
  <si>
    <t>item_category</t>
  </si>
  <si>
    <t>evidence_status</t>
  </si>
  <si>
    <t>screening_value</t>
  </si>
  <si>
    <t>screening_unit</t>
  </si>
  <si>
    <t>currency</t>
  </si>
  <si>
    <t>cost_year</t>
  </si>
  <si>
    <t>region</t>
  </si>
  <si>
    <t>converted_value_eur</t>
  </si>
  <si>
    <t>converted_unit</t>
  </si>
  <si>
    <t>NL_adjustment / price basis</t>
  </si>
  <si>
    <t>scaling_exponent</t>
  </si>
  <si>
    <t>reference_capacity</t>
  </si>
  <si>
    <t>capacity_basis</t>
  </si>
  <si>
    <t>cost_boundary_includes</t>
  </si>
  <si>
    <t>cost_boundary_excludes</t>
  </si>
  <si>
    <t>expected_lifetime_years</t>
  </si>
  <si>
    <t>replacement_frequency</t>
  </si>
  <si>
    <t>source_title</t>
  </si>
  <si>
    <t>source_url</t>
  </si>
  <si>
    <t>source_year</t>
  </si>
  <si>
    <t>confidence</t>
  </si>
  <si>
    <t>assumption / proxy notes</t>
  </si>
  <si>
    <t>next quote / measurement needed</t>
  </si>
  <si>
    <t>feedstock reception</t>
  </si>
  <si>
    <t>Receiving and weighing</t>
  </si>
  <si>
    <t>Reception bunker, weighbridge, conveyors and contaminant removal</t>
  </si>
  <si>
    <t>equipment</t>
  </si>
  <si>
    <t>proxy; assumption flagged</t>
  </si>
  <si>
    <t>EUR/package; proxy; nominal 15 m3 feeder package + weighbridge/conveyance allowance</t>
  </si>
  <si>
    <t>2024 proposal; current screening proxy</t>
  </si>
  <si>
    <t>EU vendor proposal; weighbridge EU</t>
  </si>
  <si>
    <t>Nominal; see notes; no general NL factor applied</t>
  </si>
  <si>
    <t>wet t/day; bunker m3</t>
  </si>
  <si>
    <t>wet t/day</t>
  </si>
  <si>
    <t>Receiving, weighing and bulk conveying; capacity designed from peak deliveries.</t>
  </si>
  <si>
    <t>Civil works, site road, commissioning and electrical connection unless quote includes them.</t>
  </si>
  <si>
    <t>ZORG Biogas 75 kt/y plant proposal: 9 m3 feeder €94k and conveyor €125k; Captels weighbridge guide €20–40k</t>
  </si>
  <si>
    <t>https://zorg-biogas.com/uploads/1/7329-proposal_75_000_tonne_straw_and_20_000_tonne_manure_into_biomethane_20_mln_m3.pdf</t>
  </si>
  <si>
    <t>Proxy arithmetic: €94k feeder + €125k conveying allowance + €30k weighbridge = €249k rounded €250k; no allowance for civil works or contaminant removal; capacity mismatch and package scope uncertain.</t>
  </si>
  <si>
    <t>Get EPC/vendor budget quote.</t>
  </si>
  <si>
    <t>feedstock storage</t>
  </si>
  <si>
    <t>Covered storage</t>
  </si>
  <si>
    <t>Silo/pit/bunker storage with cover, leachate capture and reclaim</t>
  </si>
  <si>
    <t>EUR/m3 usable storage; proxy; construction</t>
  </si>
  <si>
    <t>2024</t>
  </si>
  <si>
    <t>Germany; grass/maize silage</t>
  </si>
  <si>
    <t>usable m3 and storage days</t>
  </si>
  <si>
    <t>Covered storage and reclaim; volume from t/day × storage days / 0.22 t/m3 assumed bulk density.</t>
  </si>
  <si>
    <t>Land, foundations, leachate treatment and biomass loss cost.</t>
  </si>
  <si>
    <t>Landwirtschaftskammer Niedersachsen, silage bunker cost ~€60/m3 at 2.5m height</t>
  </si>
  <si>
    <t>https://www.lwk-niedersachsen.de/lwk/news/33475_Fahrsiloanlagen_planen_und_bauen</t>
  </si>
  <si>
    <t>Medium</t>
  </si>
  <si>
    <t>Published €60/m3 silage storage cost; treat as bunker construction proxy only; cover, leachate capture and reclaim may be excluded. Scale against volume using exponent 0.7.</t>
  </si>
  <si>
    <t>Confirm density, campaign storage duration and siting.</t>
  </si>
  <si>
    <t>feedstock preparation</t>
  </si>
  <si>
    <t>Cleaning and size reduction</t>
  </si>
  <si>
    <t>Stone trap, washer/screen, chopper/shredder/wet mill/refiner</t>
  </si>
  <si>
    <t>EUR/package; proxy at ~1 t/h</t>
  </si>
  <si>
    <t>2024; proxy budget</t>
  </si>
  <si>
    <t>Netherlands / EU</t>
  </si>
  <si>
    <t>wet t/h; target particle size; wash m3/h</t>
  </si>
  <si>
    <t>wet t/h</t>
  </si>
  <si>
    <t>One selected mechanical preparation train. Chopper, shredder and mill are alternative/combined elements only when route requires.</t>
  </si>
  <si>
    <t>Feedstock logistics, wastewater treatment and building.</t>
  </si>
  <si>
    <t>RICHI grass forage hammer mill €18k at 0.8–1.4 t/h + MCR washer €8k; allowance for stone trap and integration</t>
  </si>
  <si>
    <t>https://www.pellet-richi.com/single-pellet-machine-cases/hammer-mill-for-dairy-cow-forage-in-the-Netherlands.html</t>
  </si>
  <si>
    <t>Bundled equipment estimate: €18k hammer mill + €8k washer + €24k allowance for stone trap, screen, integration/controls. Do not add alternate wet mill/shredder prices unless separately selected.</t>
  </si>
  <si>
    <t>Vendor quote for grass with grit/metal/plastics.</t>
  </si>
  <si>
    <t>Pressing</t>
  </si>
  <si>
    <t>Screw press or belt press</t>
  </si>
  <si>
    <t>EUR/unit; proxy; used Bauer PP855</t>
  </si>
  <si>
    <t>2026 listing; used market reference</t>
  </si>
  <si>
    <t>EU; slurry/digestate</t>
  </si>
  <si>
    <t>wet t/h; cake dry matter; juice recovery</t>
  </si>
  <si>
    <t>Press frame, drive and standard separation package.</t>
  </si>
  <si>
    <t>Downstream centrifuge, cake handling and spare screens unless specified.</t>
  </si>
  <si>
    <t>European listing for Bauer Plug&amp;Play 855 screw-press separator; manure/digestate analogue</t>
  </si>
  <si>
    <t>https://protesca.com/en-de/products/separator-bauer-pp-855</t>
  </si>
  <si>
    <t>Low-medium</t>
  </si>
  <si>
    <t>Direct reference price €66,899 is used-market list for a comparable manure/digestate separator; 855 model throughput up to 40m3/h per Bauer. New hygienic grass-juice press likely differs. Treat as budget proxy, excluding downstream centrifuge.</t>
  </si>
  <si>
    <t>Quote at grass flow and solids capture.</t>
  </si>
  <si>
    <t>PEF</t>
  </si>
  <si>
    <t>Continuous pulsed-electric-field skid</t>
  </si>
  <si>
    <t>sourced / proxy</t>
  </si>
  <si>
    <t>EUR/system; proxy</t>
  </si>
  <si>
    <t>2025</t>
  </si>
  <si>
    <t>Food-processing proxy</t>
  </si>
  <si>
    <t>L/h; pulse power kW</t>
  </si>
  <si>
    <t>L/h</t>
  </si>
  <si>
    <t>One continuous food-process PEF unit; specific article benchmark.</t>
  </si>
  <si>
    <t>Grass-feed adaptation, upstream press, electrical supply, cooling, installation and building unless included.</t>
  </si>
  <si>
    <t>Comparative PEF/thermal treatment TEA</t>
  </si>
  <si>
    <t>https://pmc.ncbi.nlm.nih.gov/articles/PMC12248458/</t>
  </si>
  <si>
    <t>€680k reported for food-process PEF case (2024 approx); broad review range €75k–400k/system conflicts, retain as sensitivity/reference in notes. Strongly feed- and capacity-dependent.</t>
  </si>
  <si>
    <t>Resolve price spread with supplier quote; do not add review range to point estimate.</t>
  </si>
  <si>
    <t>Ultrasound</t>
  </si>
  <si>
    <t>Ultrasound treatment skid</t>
  </si>
  <si>
    <t>EUR/package; proxy; 4 kW industrial unit</t>
  </si>
  <si>
    <t>2026 proxy</t>
  </si>
  <si>
    <t>Germany / EU equipment specification</t>
  </si>
  <si>
    <t>slurry L/h; acoustic kW; residence min</t>
  </si>
  <si>
    <t>slurry L/h</t>
  </si>
  <si>
    <t>Ultrasound reactor/generator when route selected.</t>
  </si>
  <si>
    <t>Cooling, sonotrodes replacements, installation.</t>
  </si>
  <si>
    <t>Hielscher UIP4000hdT industrial sonicator: 4kW industrial processor; vendor quote requested; budget allowance benchmarked to 4kW process skid</t>
  </si>
  <si>
    <t>https://www.hielscher.com/uip4000hdt-4kw-high-performance-ultrasonics.htm</t>
  </si>
  <si>
    <t>No public list price. €80k is a budgetary analyst allowance for generator, flow cell, sonotrode, controls and cooling integration at 4kW; assumption, not supplier quote. Replace after vendor quotation.</t>
  </si>
  <si>
    <t>Supplier quote.</t>
  </si>
  <si>
    <t>pretreatment</t>
  </si>
  <si>
    <t>Thermal/enzymatic treatment</t>
  </si>
  <si>
    <t>Heated stirred reactor, heat exchanger and dosing</t>
  </si>
  <si>
    <t>EUR/package; proxy per 5m3 vessel</t>
  </si>
  <si>
    <t>2026 listing and analyst allowance</t>
  </si>
  <si>
    <t>Germany / EU</t>
  </si>
  <si>
    <t>working volume m3 = flow × residence time / uptime</t>
  </si>
  <si>
    <t>Vessel, agitation and heat exchange when thermal/enzymatic route selected.</t>
  </si>
  <si>
    <t>Enzymes, utility OPEX, boiler and controls if not packaged.</t>
  </si>
  <si>
    <t>Used EU 5,000L jacketed stirred vessel listed for €4,900; allowance for new vessel, heat exchange, dosing and controls</t>
  </si>
  <si>
    <t>https://www.behaelter-kg.de/en/5000-liter-heat-coolable-tank-with-6-8-kw-ekato-blade-stirrer-ex-proof-6169-2.html</t>
  </si>
  <si>
    <t>Used €4,900 vessel listing is a lower-bound bare asset; €25k allowance assumes new process vessel plus instrumentation, basic heat exchanger and dosing. Does not include utility plant or enzyme consumables.</t>
  </si>
  <si>
    <t>Quote at working volume, temperature, pressure and materials.</t>
  </si>
  <si>
    <t>protein recovery</t>
  </si>
  <si>
    <t>Precipitation and neutralization</t>
  </si>
  <si>
    <t>Acid/base dosing and precipitation tanks</t>
  </si>
  <si>
    <t>EUR/package; proxy per 5m3 tank + dosing</t>
  </si>
  <si>
    <t>working volume m3; batch count; residence h</t>
  </si>
  <si>
    <t>working volume m3</t>
  </si>
  <si>
    <t>Tank(s), agitator and dosing equipment for pH shift/heat precipitation.</t>
  </si>
  <si>
    <t>Chemical consumables, downstream separator and clean-in-place.</t>
  </si>
  <si>
    <t>Used 5,000L jacketed tank listing €4,900; added pump, agitator refurbishment/controls, acid/base dosing allowance</t>
  </si>
  <si>
    <t>€30k allowance combines 5m3 agitated tank, metering pumps, pH controls and installation allowance. Duplicate scenario tanks consolidated; validate hygienic/material spec.</t>
  </si>
  <si>
    <t>Quote after pH, batch and hygienic specification.</t>
  </si>
  <si>
    <t>Solid-liquid separation</t>
  </si>
  <si>
    <t>Decanter / disc-stack centrifuge / hydrocyclone</t>
  </si>
  <si>
    <t>EUR/unit; proxy from 2 m3/h decanter</t>
  </si>
  <si>
    <t>2021</t>
  </si>
  <si>
    <t>EU digestate/nutrient recovery proxy</t>
  </si>
  <si>
    <t>m3/h; dry solids kg/h</t>
  </si>
  <si>
    <t>m3/h</t>
  </si>
  <si>
    <t>Decanter capacity point: €86,333 at 2 m3/h from SYSTEMIC; use relevant chosen centrifuge type.</t>
  </si>
  <si>
    <t>Multiple separator trains and polymer dosing unless selected.</t>
  </si>
  <si>
    <t>SYSTEMIC D3.2 nutrient recovery equipment cost points</t>
  </si>
  <si>
    <t>https://systemicproject.eu/wp-content/uploads/D3.2-Report-Schemes-and-Scenarios_update2021-website-BDP.pdf</t>
  </si>
  <si>
    <t>Cost points exist at 2–90 m3/h but are noisy/nonmonotonic; use only matched points or €86,333 at 2 m3/h as an indicative anchor; exponent is rough.</t>
  </si>
  <si>
    <t>Check source capacity points against selected separator technology.</t>
  </si>
  <si>
    <t>Membrane concentration</t>
  </si>
  <si>
    <t>UF/MF/RO skid and CIP</t>
  </si>
  <si>
    <t>EUR/package; proxy per ~5m3/h process skid</t>
  </si>
  <si>
    <t>2026 market range</t>
  </si>
  <si>
    <t>EU; industrial water treatment</t>
  </si>
  <si>
    <t>membrane area m2; feed/permeate m3/h</t>
  </si>
  <si>
    <t>membrane area m2</t>
  </si>
  <si>
    <t>One selected membrane separation skid, with standard CIP if specified.</t>
  </si>
  <si>
    <t>Replacement elements and chemicals (listed separately), pretreatment, reject handling.</t>
  </si>
  <si>
    <t>Veolia UFLEX skids 5.8–27.1m3/h; IndexBox market quote range €50k–€500k+ for complete industrial UF skids</t>
  </si>
  <si>
    <t>https://www.veoliawatertechnologies.nl/en/technologies/uflex</t>
  </si>
  <si>
    <t>Select €75k low-end installed screening allowance for ~5m3/h skid; market range broad and secondary source. UF/MF/RO are process alternatives, not all simultaneous; excludes membrane replacement and reject treatment.</t>
  </si>
  <si>
    <t>Supplier budget quote and membrane area/flux.</t>
  </si>
  <si>
    <t>Drying</t>
  </si>
  <si>
    <t>Spray dryer</t>
  </si>
  <si>
    <t>EUR/unit; WUR proxy</t>
  </si>
  <si>
    <t>2018</t>
  </si>
  <si>
    <t>Netherlands biobased processing proxy</t>
  </si>
  <si>
    <t>500 kg water evaporated/h</t>
  </si>
  <si>
    <t>WUR report benchmark: €600,000 at 500 kg water/h evaporation.</t>
  </si>
  <si>
    <t>Feed concentration, heat/air treatment, dust/odor controls, building and installation if not included.</t>
  </si>
  <si>
    <t>WUR industrial spray dryer investment benchmark</t>
  </si>
  <si>
    <t>https://edepot.wur.nl/455358</t>
  </si>
  <si>
    <t>Capacity-specific WUR screening reference; retain only if spray drying scenario selected.</t>
  </si>
  <si>
    <t>Confirm report basis and quote for product quality.</t>
  </si>
  <si>
    <t>Drying alternative</t>
  </si>
  <si>
    <t>Freeze dryer</t>
  </si>
  <si>
    <t>EUR/unit; 50 kg/batch listed price</t>
  </si>
  <si>
    <t>2026 list price</t>
  </si>
  <si>
    <t>EU commercial food processing equipment</t>
  </si>
  <si>
    <t>kg water removed/batch; chamber m3</t>
  </si>
  <si>
    <t>kg water removed/batch</t>
  </si>
  <si>
    <t>Alternative to spray dryer for freeze-drying route only.</t>
  </si>
  <si>
    <t>Refrigeration, vacuum, batch labor and installation if not included.</t>
  </si>
  <si>
    <t>FrostX 50 commercial freeze dryer listing €44,250 excluding VAT</t>
  </si>
  <si>
    <t>https://freeze-drying.tech/product/frostx-50/</t>
  </si>
  <si>
    <t>Direct European retail/list price for 50 kg/batch class; capacity/product cycle may be unsuitable for the scenario. Excludes VAT, site utilities and installation.</t>
  </si>
  <si>
    <t>Supplier quote; pilot scale may differ greatly.</t>
  </si>
  <si>
    <t>anaerobic digestion</t>
  </si>
  <si>
    <t>Digester</t>
  </si>
  <si>
    <t>CSTR / PFR / thermophilic / two-stage digester package</t>
  </si>
  <si>
    <t>EUR/kWe installed; plant-level proxy</t>
  </si>
  <si>
    <t>2020 cost projection</t>
  </si>
  <si>
    <t>EU/global literature</t>
  </si>
  <si>
    <t>kWe installed; vessel working volume = daily feed × HRT</t>
  </si>
  <si>
    <t>kWe installed</t>
  </si>
  <si>
    <t>JRC 2020 generic AD plant-level CAPEX anchor €2,600–3,000/kWe; use €2,930/kWe central. Scenario-specific vessel configuration is selected in Scenarios sheet.</t>
  </si>
  <si>
    <t>Do not add separate vessel CAPEX to this plant-total benchmark. If building bottom-up, exclude total benchmark and price vessel/mixing/heating/gas handling separately.</t>
  </si>
  <si>
    <t>JRC Cost development of low carbon energy technologies, Table 38</t>
  </si>
  <si>
    <t>https://publications.jrc.ec.europa.eu/repository/bitstream/JRC109894/cost_development_of_low_carbon_energy_technologies_v2.2_final_online.pdf</t>
  </si>
  <si>
    <t>Broad total plant boundary; not grass-specific, not a vessel-only price. This avoids double counting the digester and balance-of-plant.</t>
  </si>
  <si>
    <t>Use either plant-total proxy OR bottom-up equipment estimates, never both.</t>
  </si>
  <si>
    <t>Mixing and heat loop</t>
  </si>
  <si>
    <t>Digester mixers, pumps and heat exchangers</t>
  </si>
  <si>
    <t>EUR/package; proxy per 1000m3 digester working volume</t>
  </si>
  <si>
    <t>2020 cost basis; analyst allowance</t>
  </si>
  <si>
    <t>EU/global AD</t>
  </si>
  <si>
    <t>working volume m3; kW mixer/heat</t>
  </si>
  <si>
    <t>Only for bottom-up plant estimate or where excluded from plant total.</t>
  </si>
  <si>
    <t>Included in JRC plant-total CAPEX proxy unless boundary is adjusted.</t>
  </si>
  <si>
    <t>Top-down 2% of JRC plant CAPEX benchmark (already 2% O&amp;M/y for whole plant) converted to bottom-up equipment proxy; mixers/pumps/heat exchangers allowance</t>
  </si>
  <si>
    <t>€100k per 1,000m3 working-volume proxy is an analyst screening assumption, not separately quoted. If the €2,930/kWe whole-plant digester benchmark is used, do not add this bottom-up row.</t>
  </si>
  <si>
    <t>Quote after OLR/HRT and heat balance.</t>
  </si>
  <si>
    <t>biogas handling</t>
  </si>
  <si>
    <t>Gas safety and conditioning</t>
  </si>
  <si>
    <t>Gas holder, condensate traps, flare, H2S removal, drying and filters</t>
  </si>
  <si>
    <t>EUR/package; proxy; 100Nm3/h gas basis</t>
  </si>
  <si>
    <t>2025 proposal</t>
  </si>
  <si>
    <t>EU vendor project proposal</t>
  </si>
  <si>
    <t>Nm3/h; storage m3; H2S ppmv; dewpoint</t>
  </si>
  <si>
    <t>Common conditioning/safety package as selected route requires.</t>
  </si>
  <si>
    <t>Upgrader package elements already included by vendor; avoid overlap.</t>
  </si>
  <si>
    <t>ZORG biogas proposal lists 2,905m3 gasholder €125k, 1,000kg carbon desulphurization column €55k, 4,600m3/h flare €290k; scaled allowance for small plant components</t>
  </si>
  <si>
    <t>https://zorg-biogas.com/uploads/1/7423-proposal_napier_grass_chp_16_20mw.pdf</t>
  </si>
  <si>
    <t>€250k nominal at 100Nm3/h: holder, gas conditioning, flare, drying and valves/instrumentation package allowance. Large-project proposal components scaled/downward with 0.7 exponent; highly uncertain and excludes upgrading compressor.</t>
  </si>
  <si>
    <t>Quote gas quality/flow and package boundary.</t>
  </si>
  <si>
    <t>Compression</t>
  </si>
  <si>
    <t>Raw/product gas compressor and blower</t>
  </si>
  <si>
    <t>EUR/package; proxy; 100Nm3/h</t>
  </si>
  <si>
    <t>2026 publication</t>
  </si>
  <si>
    <t>EU/international literature proxy</t>
  </si>
  <si>
    <t>Nm3/h; inlet/outlet bara; motor kW</t>
  </si>
  <si>
    <t>Separate only when not integrated in upgrading or gas handling package.</t>
  </si>
  <si>
    <t>Do not double count compressor within turnkey upgrader.</t>
  </si>
  <si>
    <t>Biogas upgrading cost literature identifies compressor as major cost; proxy allowance based on 500Nm3/h VPSA plant CAPEX €1.4m excluding product compressor</t>
  </si>
  <si>
    <t>https://www.sciencedirect.com/science/article/pii/S0016236126005818</t>
  </si>
  <si>
    <t>€150k at 100Nm3/h analyst allowance for raw/product compressor and blower package; derives from literature scale context, not a priced package. Pressure endpoints and gas composition drive cost.</t>
  </si>
  <si>
    <t>Vendor package boundary and pressure.</t>
  </si>
  <si>
    <t>biogas upgrading</t>
  </si>
  <si>
    <t>Upgrader alternative</t>
  </si>
  <si>
    <t>PSA / membrane / water scrubbing / amine upgrader package</t>
  </si>
  <si>
    <t>EUR/(Nm3/h raw gas); PSA central proxy</t>
  </si>
  <si>
    <t>2023 publication; price year unstated</t>
  </si>
  <si>
    <t>Castile and Leon, Spain</t>
  </si>
  <si>
    <t>Nm3/h raw gas; methane recovery; outlet spec</t>
  </si>
  <si>
    <t>Nm3/h raw gas</t>
  </si>
  <si>
    <t>Select exactly one process package. Indicative source points: PSA €1,200–3,000/(Nm3/h) at 2,000–500; water scrubber €1,300–5,100 at 2,100–100; membrane €1,800–6,000 at 1,500–40. Central placeholder uses PSA €1,750 at 1,250 Nm3/h.</t>
  </si>
  <si>
    <t>Feed gas pretreatment, compression, grid injection, civil works, installation and engineering may be excluded; verify package boundary.</t>
  </si>
  <si>
    <t>Spanish biogas upgrading cost model, capacity cost points</t>
  </si>
  <si>
    <t>https://pmc.ncbi.nlm.nih.gov/articles/PMC9821904/</t>
  </si>
  <si>
    <t>Spanish 2023 case-study cost points; scale and geography proxy. Route-specific alternative costs are shown in Notes; do not add together.</t>
  </si>
  <si>
    <t>Select route/flow and replace with vendor budget quote.</t>
  </si>
  <si>
    <t>biogas and utilities</t>
  </si>
  <si>
    <t>CHP alternative</t>
  </si>
  <si>
    <t>Reciprocating engine / gas turbine / microturbine with heat recovery</t>
  </si>
  <si>
    <t>EUR/kWe; installed benchmark</t>
  </si>
  <si>
    <t>2015 source; normalized benchmark</t>
  </si>
  <si>
    <t>US technology proxy</t>
  </si>
  <si>
    <t>kWe electric</t>
  </si>
  <si>
    <t>Select one generator type. EPA catalogue cost points retained for reference: reciprocating €1,514–3,065/kWe (100–9,341 kWe); turbine €1,319–3,467/kWe (3,304–44,488 kWe); microturbine €2,642–4,544/kWe (950–28 kWe). Mid-size reciprocating anchor €2,500/kWe at 1,121 kWe.</t>
  </si>
  <si>
    <t>Do not include if CHP is not selected; no double count with grid export; maintenance separate.</t>
  </si>
  <si>
    <t>US EPA Catalog of CHP Technologies</t>
  </si>
  <si>
    <t>https://www.epa.gov/sites/default/files/2015-07/documents/catalog_of_chp_technologies.pdf</t>
  </si>
  <si>
    <t>EPA benchmark normalized in source workbook to 2024 EUR; US context, nominal screening only. CHP is route alternative to upgrading for biomethane.</t>
  </si>
  <si>
    <t>Vendor quote, gas derating, heat-use and emissions spec.</t>
  </si>
  <si>
    <t>digestate separation</t>
  </si>
  <si>
    <t>Digestate screw press / decanter / filter press</t>
  </si>
  <si>
    <t>EUR/unit; proxy at 2 m3/h decanter</t>
  </si>
  <si>
    <t>m3/h; dry matter; solids capture</t>
  </si>
  <si>
    <t>One selected digestate separation unit if included in process route; shared equipment may serve upstream protein separator only if flows/spec compatible.</t>
  </si>
  <si>
    <t>Do not duplicate the protein recovery separator if one unit genuinely serves both streams.</t>
  </si>
  <si>
    <t>Use decanter points listed above; screw press/filter press lacks numeric fit; generic proxy.</t>
  </si>
  <si>
    <t>Confirm route, flow and solids capture.</t>
  </si>
  <si>
    <t>nutrient recovery</t>
  </si>
  <si>
    <t>Ammonia recovery</t>
  </si>
  <si>
    <t>Stripper plus acid absorber/scrubber</t>
  </si>
  <si>
    <t>EUR/package at 3 m3/h</t>
  </si>
  <si>
    <t>2023</t>
  </si>
  <si>
    <t>EU digestate project</t>
  </si>
  <si>
    <t>m3/h digestate liquid; kg NH4-N/h</t>
  </si>
  <si>
    <t>m3/h digestate liquid</t>
  </si>
  <si>
    <t>Detricon source package €300k at 3 m3/h, €550k at 8 m3/h.</t>
  </si>
  <si>
    <t>Acid reagent, heat, transport and product finishing if not included.</t>
  </si>
  <si>
    <t>EU CAP Network Detricon digestate nitrogen recovery practice</t>
  </si>
  <si>
    <t>https://eu-cap-network.ec.europa.eu/projects/practice-abstracts/technology-n-recovery-inorganic-fertilizer-starting-liquid-fraction_en</t>
  </si>
  <si>
    <t>Direct EU project practice proxy, manure/digestate analogue. Use points to interpolate rather than treating as a universal quote.</t>
  </si>
  <si>
    <t>Confirm NH4 load and process package scope.</t>
  </si>
  <si>
    <t>Ion exchange</t>
  </si>
  <si>
    <t>Columns, resin and regeneration skid</t>
  </si>
  <si>
    <t>EUR/package; proxy; 5m3/h IX skid</t>
  </si>
  <si>
    <t>Industrial wastewater; secondary market estimate</t>
  </si>
  <si>
    <t>working bed volume m3; BV/h; resin capacity</t>
  </si>
  <si>
    <t>working bed volume m3</t>
  </si>
  <si>
    <t>Columns and skid for ion-exchange route.</t>
  </si>
  <si>
    <t>Resin makeup/regeneration consumables listed separately.</t>
  </si>
  <si>
    <t>Industrial ion-exchange polishing skid range $40k–$350k for 5–50m3/h; select lower-end 5m3/h proxy; resin cost separately</t>
  </si>
  <si>
    <t>https://hydropurewater.com/blog/6644-ion-exchange-system-for-glass-manufacturing-wastewater-2026-engineering.html</t>
  </si>
  <si>
    <t>Use $40k starting-range converted to ~€37k then budget €80k for EU skid/instrumentation; broad unverified market envelope. Resin and regenerants are separate consumables.</t>
  </si>
  <si>
    <t>Vendor quote based on target ion and capacity.</t>
  </si>
  <si>
    <t>Phosphorus recovery</t>
  </si>
  <si>
    <t>Struvite reactor/crystallizer, dosing, separator and dryer</t>
  </si>
  <si>
    <t>EUR/package; proxy; 3m3/h side-stream nutrient recovery</t>
  </si>
  <si>
    <t>2023 study; 2018 vendor baseline</t>
  </si>
  <si>
    <t>US livestock digestate proxy</t>
  </si>
  <si>
    <t>working volume m3; kg P/h; Mg:P molar ratio</t>
  </si>
  <si>
    <t>Complete process package if route selected.</t>
  </si>
  <si>
    <t>Mg reagent and dryer energy unless package contains these.</t>
  </si>
  <si>
    <t>US techno-economic assessment struvite fluidized-bed unit: up to 48,000kg digestate/day at $625k plus shared $420k dryer; scaled to small 3m3/h train</t>
  </si>
  <si>
    <t>https://pmc.ncbi.nlm.nih.gov/articles/PMC10659086/</t>
  </si>
  <si>
    <t>Scaled from large livestock installation to 3m3/h using 0.6 exponent and EUR/USD≈0.92; nominal €150k includes reactor, dosing, separator and basic dewatering; excludes dryer, reagent, permits. Very uncertain.</t>
  </si>
  <si>
    <t>Quote P load, target recovery and product spec.</t>
  </si>
  <si>
    <t>Water/nutrient concentration</t>
  </si>
  <si>
    <t>RO/NF/ED/evaporator concentration train</t>
  </si>
  <si>
    <t>EUR/package; proxy; 5m3/h concentration train</t>
  </si>
  <si>
    <t>2026 market estimate</t>
  </si>
  <si>
    <t>EU industrial wastewater proxy</t>
  </si>
  <si>
    <t>m3/h; recovery; membrane area or kg water evaporated/h</t>
  </si>
  <si>
    <t>Choose compatible single concentration route/package.</t>
  </si>
  <si>
    <t>Do not cost RO/NF/ED and evaporation simultaneously unless the flowsheet includes multiple stages.</t>
  </si>
  <si>
    <t>Industrial RO package 4–5m3/h shown by Ecosoft and market envelope for installed industrial RO €600–1,200 per m3/day; select 120m3/day × €833/day</t>
  </si>
  <si>
    <t>https://hydropurewater.com/blog/6047-industrial-wastewater-treatment-in-d-sseldorf-2026-buyer-s-guide.html</t>
  </si>
  <si>
    <t>Budget at €100k for 5m3/h RO/NF-equivalent installed package. Evaporator/ED variant may be several times higher; treat as a proxy for one selected route only.</t>
  </si>
  <si>
    <t>Quote selected route and duty.</t>
  </si>
  <si>
    <t>utilities</t>
  </si>
  <si>
    <t>Heat supply</t>
  </si>
  <si>
    <t>Boiler/steam generator, heat pump or recovered heat system</t>
  </si>
  <si>
    <t>EUR/package; proxy; 500kWth boiler/heat-pump plant</t>
  </si>
  <si>
    <t>2025 price / analyst CAPEX allowance</t>
  </si>
  <si>
    <t>Netherlands</t>
  </si>
  <si>
    <t>kWth; steam t/h; supply/return temperatures</t>
  </si>
  <si>
    <t>kWth</t>
  </si>
  <si>
    <t>Selected heat supply only; include heat recovery when process integration allows.</t>
  </si>
  <si>
    <t>Biogas boiler fuel not external gas; heat demand not measured.</t>
  </si>
  <si>
    <t>Process-heat package analyst allowance, scoped using 500kWth thermal duty and Dutch 2025 non-household gas price; no public plant quote</t>
  </si>
  <si>
    <t>https://energyboard.eu/en/netherlands/business-gas-prices/</t>
  </si>
  <si>
    <t>€250k at 500kWth placeholder for packaged boiler/steam supply, heat exchangers and controls; assumes purchased-natural-gas boiler. Heat pump or waste-heat network route requires separate vendor quote.</t>
  </si>
  <si>
    <t>Size from heat balance; vendor quote.</t>
  </si>
  <si>
    <t>Cooling</t>
  </si>
  <si>
    <t>Cooling tower/chiller and cooling loop</t>
  </si>
  <si>
    <t>EUR/package; proxy; 100kW cooling</t>
  </si>
  <si>
    <t>2026 supplier specification</t>
  </si>
  <si>
    <t>EU industrial chiller</t>
  </si>
  <si>
    <t>kW cooling; process temperatures</t>
  </si>
  <si>
    <t>kW cooling</t>
  </si>
  <si>
    <t>Only if required after heat integration.</t>
  </si>
  <si>
    <t>Existing cooling system or packaged equipment already counted.</t>
  </si>
  <si>
    <t>100kW industrial process chiller supplier specification; budget allowance for industrial chiller, cooling loop and commissioning</t>
  </si>
  <si>
    <t>https://www.coldtech.eu/en/cumpara/100-kw-chiller-industrial-cooling-applications-7150153</t>
  </si>
  <si>
    <t>€75k at 100kW cooling analyst allowance; supplier publishes capacity but not price. Includes packaged chiller and pumps/controls allowance; cooling tower/loop site tie-ins may be extra.</t>
  </si>
  <si>
    <t>Quote cooling balance.</t>
  </si>
  <si>
    <t>site</t>
  </si>
  <si>
    <t>Buildings and civil works</t>
  </si>
  <si>
    <t>Process hall, lab, workshop, civil works and site infrastructure</t>
  </si>
  <si>
    <t>installation</t>
  </si>
  <si>
    <t>EUR/m2 gross floor area; bare building proxy</t>
  </si>
  <si>
    <t>2025/2026 pricebook</t>
  </si>
  <si>
    <t>Netherlands / EU process industry</t>
  </si>
  <si>
    <t>m2 gross floor area; plot m2</t>
  </si>
  <si>
    <t>m2 gross floor area</t>
  </si>
  <si>
    <t>Separate site/building cost where not in equipment package/installed factor.</t>
  </si>
  <si>
    <t>Avoid overlap with Lang factor or turnkey package installed cost.</t>
  </si>
  <si>
    <t>DACE process-industry pricebook: industrial buildings €600–1,050/m2 with basic installation; use €900/m2 midpoint</t>
  </si>
  <si>
    <t>https://www.dacepricebooklet.com/table-costs/industrial-buildings-manufacturing-and-workshop-buildings-0</t>
  </si>
  <si>
    <t>€900/m2 is a bare/basic industrial building proxy; excludes process equipment, plot, major site remediation and extraordinary hygienic/HVAC build. Civil/utility tie-ins still site dependent.</t>
  </si>
  <si>
    <t>FEED/civil estimate.</t>
  </si>
  <si>
    <t>Land purchase</t>
  </si>
  <si>
    <t>Industrial plot purchase proxy (Maastricht example)</t>
  </si>
  <si>
    <t>indirect_cost</t>
  </si>
  <si>
    <t>EUR/m2 plot</t>
  </si>
  <si>
    <t>Maastricht, NL</t>
  </si>
  <si>
    <t>plot area m2</t>
  </si>
  <si>
    <t>2025 Maastricht Hazendans municipal industrial plot reference €150/m2 excl VAT.</t>
  </si>
  <si>
    <t>Site preparation, taxes/fees, lease financing and regional variation.</t>
  </si>
  <si>
    <t>Municipality of Maastricht industrial land prices 2025</t>
  </si>
  <si>
    <t>https://zoek.officielebekendmakingen.nl/gmb-2025-142758.html</t>
  </si>
  <si>
    <t>Location example only; not national average. Could be leased instead, requiring annual rent assumption.</t>
  </si>
  <si>
    <t>Confirm location and plot footprint.</t>
  </si>
  <si>
    <t>project development</t>
  </si>
  <si>
    <t>Engineering and EPC</t>
  </si>
  <si>
    <t>Engineering, permitting, EPC management and contingency</t>
  </si>
  <si>
    <t>% direct CAPEX; proxy engineering/EPC/contingency</t>
  </si>
  <si>
    <t>2023 JRC / cost estimate guidance</t>
  </si>
  <si>
    <t>EU / generic</t>
  </si>
  <si>
    <t>% or EPC quotation</t>
  </si>
  <si>
    <t>Separate indirect cost allowance after direct costs and scope boundaries are known.</t>
  </si>
  <si>
    <t>Do not stack with complete EPC price or global installed factor.</t>
  </si>
  <si>
    <t>JRC component split: 3% project development; cost-estimation references indicate 20–30% engineering and 15–30% contingency for preliminary estimates</t>
  </si>
  <si>
    <t>https://publications.jrc.ec.europa.eu/repository/bitstream/JRC134591/JRC134591_01.pdf</t>
  </si>
  <si>
    <t>35% of direct installed CAPEX screening allowance = 25% engineering/EPC plus 10% contingency. Do not stack with turnkey/EPC or Lang installed-factor costs. Permitting/owner costs may remain additional.</t>
  </si>
  <si>
    <t>FEED estimate and contingency class.</t>
  </si>
  <si>
    <t>operations</t>
  </si>
  <si>
    <t>Labor</t>
  </si>
  <si>
    <t>Operators, maintenance, laboratory and management</t>
  </si>
  <si>
    <t>labor</t>
  </si>
  <si>
    <t>EUR/paid hour</t>
  </si>
  <si>
    <t>FTE × paid hours/year</t>
  </si>
  <si>
    <t>2025 Dutch economy-wide employer labor cost benchmark; base provisional loaded hourly cost. Annual OPEX = FTE × paid hours × rate.</t>
  </si>
  <si>
    <t>Contractor/shift premiums and separate maintenance contracts where duplicated.</t>
  </si>
  <si>
    <t>Eurostat 2025 hourly labour cost; Netherlands</t>
  </si>
  <si>
    <t>https://ec.europa.eu/eurostat/web/products-eurostat-news/w/ddn-20260331-2</t>
  </si>
  <si>
    <t>Not role-specific; use staffing plan and shift coverage.</t>
  </si>
  <si>
    <t>Estimate FTE by operating schedule.</t>
  </si>
  <si>
    <t>Routine maintenance</t>
  </si>
  <si>
    <t>Routine plant maintenance allowance</t>
  </si>
  <si>
    <t>maintenance</t>
  </si>
  <si>
    <t>% plant CAPEX/year</t>
  </si>
  <si>
    <t>CAPEX</t>
  </si>
  <si>
    <t>JRC broad AD O&amp;M proxy 4% of plant CAPEX/year. Treat as alternative top-down O&amp;M allowance.</t>
  </si>
  <si>
    <t>Do not add to fully itemized labor/service contracts and CHP contract.</t>
  </si>
  <si>
    <t>JRC European project assessment uses 2% investment/year maintenance; broad proxy. Detailed AD source reports 4% for specific cost table; use 2% conservative base, stress test to 4%.</t>
  </si>
  <si>
    <t>Replace with component-level maintenance.</t>
  </si>
  <si>
    <t>CHP service contract</t>
  </si>
  <si>
    <t>CHP service and maintenance</t>
  </si>
  <si>
    <t>EUR/kWh_e generated; screening midpoint</t>
  </si>
  <si>
    <t>annual kWh_e</t>
  </si>
  <si>
    <t>EPA source range 0.01–0.025 EUR/kWh_e; use midpoint 0.0175 as sensitivity placeholder.</t>
  </si>
  <si>
    <t>Overhaul/rebuild may be excluded; price year/biogas context uncertain. Do not double count in AD O&amp;M factor.</t>
  </si>
  <si>
    <t>Published EPA service benchmark; retain cost range in notes; no separate numeric official update.</t>
  </si>
  <si>
    <t>OEM maintenance contract.</t>
  </si>
  <si>
    <t>feedstock logistics</t>
  </si>
  <si>
    <t>Grass transport</t>
  </si>
  <si>
    <t>Roadside grass collection-to-plant haulage</t>
  </si>
  <si>
    <t>logistics</t>
  </si>
  <si>
    <t>EUR/t wet grass</t>
  </si>
  <si>
    <t>East Flanders, Belgium</t>
  </si>
  <si>
    <t>wet tonnes/year</t>
  </si>
  <si>
    <t>East Flanders study base case: €10.77/t wet for 9,841 t/y; sensitivity €7–55/t.</t>
  </si>
  <si>
    <t>Collection/mowing may be separately procured; do not combine overlapping total-delivered figures.</t>
  </si>
  <si>
    <t>Roadside grass supply chain optimization case study, East Flanders</t>
  </si>
  <si>
    <t>https://www.mdpi.com/2071-1050/15/18/14006</t>
  </si>
  <si>
    <t>Neighboring Belgian route proxy; distance, payload and density-specific.</t>
  </si>
  <si>
    <t>Dutch route logistics quote.</t>
  </si>
  <si>
    <t>Grass storage</t>
  </si>
  <si>
    <t>Pit storage and handling</t>
  </si>
  <si>
    <t>wet tonnes stored/year</t>
  </si>
  <si>
    <t>Source proxy from East Flanders study; cost year unclear.</t>
  </si>
  <si>
    <t>Biomass losses, silage cover replacement, leachate treatment and capex boundary unclear.</t>
  </si>
  <si>
    <t>Keep as placeholder only; range should be sensitivity analyzed.</t>
  </si>
  <si>
    <t>Storage contractor/EPC quote.</t>
  </si>
  <si>
    <t>waste and discharge</t>
  </si>
  <si>
    <t>Water-board wastewater treatment levy</t>
  </si>
  <si>
    <t>Industrial wastewater treatment levy</t>
  </si>
  <si>
    <t>utility</t>
  </si>
  <si>
    <t>EUR/pollution unit/year</t>
  </si>
  <si>
    <t>2026</t>
  </si>
  <si>
    <t>Netherlands, AGV example</t>
  </si>
  <si>
    <t>pollution units/year</t>
  </si>
  <si>
    <t>2025 CBS authority examples range €73.34–115.33 per pollution unit; €76.28 used as central example (Rivierenland). 2026 tariff/method changed; update by location.</t>
  </si>
  <si>
    <t>Industrial sewerage fee, pretreatment, sampling and exceptional pollutant surcharges.</t>
  </si>
  <si>
    <t>Water Authority Amstel Gooi en Vecht (AGV), 2026 treatment charge</t>
  </si>
  <si>
    <t>https://www.agv.nl/en/water-authority-tax/tax-rates/tax-rates/</t>
  </si>
  <si>
    <t>AGV 2026 €92.79/pollution unit proxy; each authority sets tariff and charge is based on pollution units, not m3 alone.</t>
  </si>
  <si>
    <t>Recalculate with local water board and effluent analysis.</t>
  </si>
  <si>
    <t>Residue disposal</t>
  </si>
  <si>
    <t>Screenings, sludge, spent media and concentrates</t>
  </si>
  <si>
    <t>disposal</t>
  </si>
  <si>
    <t>EUR/t residual; broad gate-fee proxy</t>
  </si>
  <si>
    <t>2025-2026</t>
  </si>
  <si>
    <t>tonnes/year by waste code</t>
  </si>
  <si>
    <t>National analysis reports average Dutch waste-incineration gate fee around €90/t excluding tax; landfill/incineration tax 2025 €39.70/t can apply. 2026 tax differs.</t>
  </si>
  <si>
    <t>Not suitable for digestate/product streams or hazardous waste; exclude tax if not incinerated/landfilled.</t>
  </si>
  <si>
    <t>Dutch government waste tax / government waste-gate-fee analysis</t>
  </si>
  <si>
    <t>https://www.belastingdienst.nl/wps/wcm/connect/bldcontentnl/belastingdienst/zakelijk/overige_belastingen/belastingen_op_milieugrondslag/afvalstoffenbelasting/tarief_afvalstoffenbelasting</t>
  </si>
  <si>
    <t>Broad industrial waste benchmark; actual gate fee depends on classification and route.</t>
  </si>
  <si>
    <t>Quote licensed processor with waste-code analysis.</t>
  </si>
  <si>
    <t>Electricity</t>
  </si>
  <si>
    <t>Dutch non-household electricity tariff, 500–1,999 MWh/y</t>
  </si>
  <si>
    <t>EUR/kWh excl. VAT; taxes/levies per Eurostat selection</t>
  </si>
  <si>
    <t>2025 H2</t>
  </si>
  <si>
    <t>annual MWh</t>
  </si>
  <si>
    <t>Eurostat nrg_pc_205 Netherlands band IC, H2 2025, all taxes/levies except VAT: €0.1991/kWh. Use as central only if consumption band/tax status matches.</t>
  </si>
  <si>
    <t>Connection capacity/demand charges, supplier contract, VAT and export treatment.</t>
  </si>
  <si>
    <t>Eurostat nrg_pc_205, H2 2025, Netherlands, band IC, excluding VAT</t>
  </si>
  <si>
    <t>https://ec.europa.eu/eurostat/databrowser/view/nrg_pc_205/bookmark/table?bookmarkId=f741a117-cfd3-4c7e-8b2d-68e9310dcc78</t>
  </si>
  <si>
    <t>Medium-high</t>
  </si>
  <si>
    <t>Country/band numeric value surfaced from Eurostat series. Low/high scenario ±20% for sensitivity; site contract remains controlling.</t>
  </si>
  <si>
    <t>Select band from annual demand and taxable/cost treatment.</t>
  </si>
  <si>
    <t>Natural gas</t>
  </si>
  <si>
    <t>Dutch non-household gas tariff (I3 proxy)</t>
  </si>
  <si>
    <t>EUR/kWh LHV</t>
  </si>
  <si>
    <t>annual GJ</t>
  </si>
  <si>
    <t>H2 2025 Netherlands I3 non-household proxy €0.0674/kWh, VAT-excluded dashboard extraction of Eurostat series.</t>
  </si>
  <si>
    <t>Gas taxes/levies depend on selectable Eurostat series; boiler losses and fixed connection charges.</t>
  </si>
  <si>
    <t>Eurostat nrg_pc_203 Netherlands I3 H2 2025; EnergyBoard data view</t>
  </si>
  <si>
    <t>Input is fuel price, not delivered steam price.</t>
  </si>
  <si>
    <t>Use measured heat balance and boiler efficiency.</t>
  </si>
  <si>
    <t>Delivered process heat</t>
  </si>
  <si>
    <t>Natural gas boiler useful heat proxy</t>
  </si>
  <si>
    <t>EUR/kWhth useful; proxy</t>
  </si>
  <si>
    <t>MWhth/year</t>
  </si>
  <si>
    <t>Calculated: €0.0674/kWh gas ÷ 0.85 assumed seasonal boiler efficiency = €0.0793/kWhth, before boiler CAPEX/O&amp;M, emissions and distribution losses.</t>
  </si>
  <si>
    <t>Boiler installed cost, maintenance, carbon/energy taxes and steam network excluded.</t>
  </si>
  <si>
    <t>Calculated from Dutch industrial gas price and 85% boiler efficiency</t>
  </si>
  <si>
    <t>Transparent engineering proxy; high/low efficiency sensitivity 80–90% gives €0.0843–0.0749/kWhth.</t>
  </si>
  <si>
    <t>Replace with industrial steam quote or site-specific LCOH.</t>
  </si>
  <si>
    <t>Drinking/process water</t>
  </si>
  <si>
    <t>Dutch business drinking water tariff</t>
  </si>
  <si>
    <t>EUR/m3 excl VAT; 2026 benchmark</t>
  </si>
  <si>
    <t>Netherlands (supplier-specific)</t>
  </si>
  <si>
    <t>m3/year</t>
  </si>
  <si>
    <t>2026 business tariff examples: Vitens €1.23/m3 (&lt;100,000 m3/y); Waternet €1.18/m3. Use range €1.18–1.23 by area.</t>
  </si>
  <si>
    <t>Fixed connection charge, BoL tax, pretreatment, sewerage and water authority levy.</t>
  </si>
  <si>
    <t>Vitens business tariffs 2026; Waternet business water tariffs 2026</t>
  </si>
  <si>
    <t>https://www.vitens.nl/Zakelijk/Tarieven-zakelijk</t>
  </si>
  <si>
    <t>Official 2026 supplier tariffs, geographically specific. Default 1.23 used for screening.</t>
  </si>
  <si>
    <t>Select supplier region and volume band.</t>
  </si>
  <si>
    <t>Tap-water tax</t>
  </si>
  <si>
    <t>Belasting op leidingwater (BoL)</t>
  </si>
  <si>
    <t>EUR/m3 on taxable volume; 2026</t>
  </si>
  <si>
    <t>taxable m3/year</t>
  </si>
  <si>
    <t>Waternet 2026 published BoL €0.44/m3; statutory taxable volume cap changed to 50,000 m3/year. Confirm current eligibility/treatment.</t>
  </si>
  <si>
    <t>Supplier water tariff; tax on non-taxable volumes.</t>
  </si>
  <si>
    <t>Rijksoverheid tap-water tax; Waternet 2026 business rates</t>
  </si>
  <si>
    <t>https://www.waternet.nl/service-en-contact/drinkwater/kosten/belasting-op-leidingwater/</t>
  </si>
  <si>
    <t>The old workbook used 2025 €0.425 and 300m3 cap; updated for 2026 regime.</t>
  </si>
  <si>
    <t>Confirm legal taxable volume and connection.</t>
  </si>
  <si>
    <t>Electricity consumption</t>
  </si>
  <si>
    <t>Electricity consumption factors for upgrader</t>
  </si>
  <si>
    <t>kWh/Nm3 raw biogas; PSA proxy</t>
  </si>
  <si>
    <t>2020</t>
  </si>
  <si>
    <t>EU case study / generic</t>
  </si>
  <si>
    <t>Nm3 raw biogas/year</t>
  </si>
  <si>
    <t>PSA literature benchmark 0.22 kWh/Nm3 raw; water scrubber 0.25–0.30. Multiply by selected Eurostat price; process-specific.</t>
  </si>
  <si>
    <t>Other plant electricity loads and demand charges.</t>
  </si>
  <si>
    <t>PSA biogas upgrading electricity consumption literature</t>
  </si>
  <si>
    <t>https://link.springer.com/article/10.1007/s12155-020-10205-9</t>
  </si>
  <si>
    <t>Direct source energy intensity proxy; retain alternative route range in notes.</t>
  </si>
  <si>
    <t>Calculate plant-wide load balance.</t>
  </si>
  <si>
    <t>Wastewater/water balance</t>
  </si>
  <si>
    <t>Water intake, process losses and recycle</t>
  </si>
  <si>
    <t>sourced / proxy; alias only</t>
  </si>
  <si>
    <t>EUR/m3 input; same as drinking/process water + water tax</t>
  </si>
  <si>
    <t>2026 official tariff</t>
  </si>
  <si>
    <t>Netherlands, Vitens territory</t>
  </si>
  <si>
    <t>Price covered by potable/process water and tap-water tax lines; quantity from water balance.</t>
  </si>
  <si>
    <t>Do not charge for internal recycled water as fresh-water purchase.</t>
  </si>
  <si>
    <t>Vitens 2026 tariff €1.23/m3 plus 2026 BoL €0.437/m3; duplicate tariff row refers to water quantity, not another charge</t>
  </si>
  <si>
    <t>Alias value for unit-rate lookup only. Do not add separately: water intake quantity is costed using rows 43 (water supply) + 44 (BoL).</t>
  </si>
  <si>
    <t>Close water balance and source water grade.</t>
  </si>
  <si>
    <t>consumables</t>
  </si>
  <si>
    <t>pH control and CIP</t>
  </si>
  <si>
    <t>Acid and caustic (H2SO4/HCl, NaOH/lime)</t>
  </si>
  <si>
    <t>consumable</t>
  </si>
  <si>
    <t>EUR/kg H2SO4 screening proxy; caustic separate</t>
  </si>
  <si>
    <t>EU / Netherlands</t>
  </si>
  <si>
    <t>kg/year by reagent</t>
  </si>
  <si>
    <t>EU intra-regional sulfuric-acid flow benchmark approx €126/t in Jan 2026; screening value €0.16/kg delivered allows freight/handling. Technical-grade NaOH 50% lacks a reliable open bulk quote; use €0.60–0.90/kg solution as provisional vendor-price range proxy, not numeric single point.</t>
  </si>
  <si>
    <t>Dose depends on pH/alkalinity; concentration and transport basis differ.</t>
  </si>
  <si>
    <t>PricePedia EU sulfuric acid flow price; Dutch NaOH market proxy</t>
  </si>
  <si>
    <t>https://www.pricepedia.it/en/magazine/article/2026/02/06/sulphuric-acid-product-scarcity-and-cost-increases-drive-current-high-prices/</t>
  </si>
  <si>
    <t>Commodity proxies from public market/trade indicators; validate vendor quote. Note NaOH unit basis is solution mass.</t>
  </si>
  <si>
    <t>Keep acid/caustic quantities separate in scenario mass balance; obtain supplier quotes.</t>
  </si>
  <si>
    <t>Enzymes</t>
  </si>
  <si>
    <t>Cellulase/pectinase/protease enzyme cocktail</t>
  </si>
  <si>
    <t>EUR/kg enzyme; 25kg cellulase pack</t>
  </si>
  <si>
    <t>Germany / EU industrial enzyme supplier</t>
  </si>
  <si>
    <t>kg or L/year</t>
  </si>
  <si>
    <t>No generalizable commodity proxy; enzyme dose and activity units vary by formulation.</t>
  </si>
  <si>
    <t>Do not use technical enzyme price per kg without activity specification.</t>
  </si>
  <si>
    <t>ASA Spezialenzyme Cellulase TXL lists 25kg at €22/kg; pectinase comparator €37.50/kg</t>
  </si>
  <si>
    <t>https://asa-enzyme.de/en/produkt/cellulase-txl/</t>
  </si>
  <si>
    <t>Cellulase listed 25kg pack price €22/kg; use as generic enzyme price proxy. Enzyme activity, formulation and required dose per t dry biomass are process-specific.</t>
  </si>
  <si>
    <t>Ask enzyme supplier for application-specific quote.</t>
  </si>
  <si>
    <t>Flocculation</t>
  </si>
  <si>
    <t>Polymer/flocculant</t>
  </si>
  <si>
    <t>EUR/kg active polymer; proxy</t>
  </si>
  <si>
    <t>2025-2026 market proxy</t>
  </si>
  <si>
    <t>EU water treatment</t>
  </si>
  <si>
    <t>kg/year</t>
  </si>
  <si>
    <t>No reliable public bulk quote matched to digestate/protein sludge and grade.</t>
  </si>
  <si>
    <t>Polymer solution concentration, dose and freight.</t>
  </si>
  <si>
    <t>EU water-treatment polymer import/commercial market range €2–8/kg active polymer; midpoint proxy</t>
  </si>
  <si>
    <t>https://www.indexbox.io/store/european-water-treatment-chemicals-market-analysis-forecast-size-trends-and-insights/</t>
  </si>
  <si>
    <t>€5/kg active polymer screening midpoint; grade and solution active fraction matter. Dose requires jar test and sludge-specific supplier quote.</t>
  </si>
  <si>
    <t>Supplier quote and dose trial.</t>
  </si>
  <si>
    <t>Amine upgrading</t>
  </si>
  <si>
    <t>MEA/amine solvent makeup</t>
  </si>
  <si>
    <t>EUR/kg; EU import unit-value proxy</t>
  </si>
  <si>
    <t>2022–2026</t>
  </si>
  <si>
    <t>EU</t>
  </si>
  <si>
    <t>kg/year makeup</t>
  </si>
  <si>
    <t>EU import unit value for MEA and salts averaged €1.65/kg (Jan 2022–Mar 2026); not delivered bulk tariff.</t>
  </si>
  <si>
    <t>Initial circulating solvent inventory is CAPEX/working capital; degradation and makeup rate needed.</t>
  </si>
  <si>
    <t>EU Trade Hub monoethanolamine import unit value</t>
  </si>
  <si>
    <t>https://www.thetradehub.eu/en/customs/trade/29221100</t>
  </si>
  <si>
    <t>Trade value average is an imperfect proxy for commercial bulk grade.</t>
  </si>
  <si>
    <t>Use supplier contract price and degradation rate.</t>
  </si>
  <si>
    <t>Gas polishing</t>
  </si>
  <si>
    <t>Activated carbon / H2S adsorbent</t>
  </si>
  <si>
    <t>EUR/kg; H2S impregnated carbon</t>
  </si>
  <si>
    <t>EU biogas supplier</t>
  </si>
  <si>
    <t>kg/year / changeout</t>
  </si>
  <si>
    <t>Public quote depends strongly on impregnation, H2S load and regeneration.</t>
  </si>
  <si>
    <t>Bed vessel CAPEX and spent media disposal.</t>
  </si>
  <si>
    <t>ZORG Biogas activated carbon for sulfur removal listed at €4.50/kg</t>
  </si>
  <si>
    <t>https://zorg-biogas.com/equipment/biogas-trace-elements/activated_carbon-2</t>
  </si>
  <si>
    <t>Direct listed price for 4mm impregnated activated carbon for biogas H2S removal; use changeout quantity based on feed H2S and breakthrough.</t>
  </si>
  <si>
    <t>Vendor quote from gas analysis.</t>
  </si>
  <si>
    <t>PSA upgrading</t>
  </si>
  <si>
    <t>PSA adsorbent replacement</t>
  </si>
  <si>
    <t>EUR/kg; proxy; 13X molecular sieve retail/small pack</t>
  </si>
  <si>
    <t>2026 retail list</t>
  </si>
  <si>
    <t>kg/year replacement</t>
  </si>
  <si>
    <t>No robust public price; package CAPEX/OPEX benchmark may include some media.</t>
  </si>
  <si>
    <t>Avoid double-counting media if PSA annual OPEX includes replacement.</t>
  </si>
  <si>
    <t>Giebel Cagesphere 13X adsorbent 1kg listed €27.99; bulk PSA grade may be lower</t>
  </si>
  <si>
    <t>https://www.giebel-desiccants.com/en/shop/35-0553-00-molecular-sieve-13x-1kg-bag-15356</t>
  </si>
  <si>
    <t>Small-pack 13X molecular-sieve listing used as upper bound proxy for PSA adsorbent. PSA media may be different formulation; replacement timing and bed mass must come from package vendor.</t>
  </si>
  <si>
    <t>Vendor guarantee and service quote.</t>
  </si>
  <si>
    <t>Membrane routes</t>
  </si>
  <si>
    <t>UF/RO/biogas membrane replacement</t>
  </si>
  <si>
    <t>EUR/m2 active area; proxy</t>
  </si>
  <si>
    <t>2025 list</t>
  </si>
  <si>
    <t>EU supplier price list</t>
  </si>
  <si>
    <t>EUR/m2 active area; industrial UF module proxy</t>
  </si>
  <si>
    <t>m2 replaced/year</t>
  </si>
  <si>
    <t>Public EU industrial UF module range €50–150/m2; €100/m2 screening midpoint for water-process membranes only. Biogas upgrading membranes should be separately quoted.</t>
  </si>
  <si>
    <t>Skid and replacement labor/disposal.</t>
  </si>
  <si>
    <t>Eurotrolen 80m2 module list price €5,449/80 = €68.11/m2</t>
  </si>
  <si>
    <t>https://www.aquatech.ro/wp-content/uploads/2025/03/Eurotrolen-Price-List_03-03-2025_compressed.pdf</t>
  </si>
  <si>
    <t>€68.12/m2 calculated from listed 80m2 UF module. This is water-process UF membrane media; biogas upgrading membranes need separate vendor price/lifetime.</t>
  </si>
  <si>
    <t>Obtain membrane area price and lifetime.</t>
  </si>
  <si>
    <t>Ion-exchange resin</t>
  </si>
  <si>
    <t>EUR/L resin; EU supplier list</t>
  </si>
  <si>
    <t>EU water-treatment distributor</t>
  </si>
  <si>
    <t>L/year makeup/replacement</t>
  </si>
  <si>
    <t>No stable bulk proxy matched to target ions/regeneration chemistry.</t>
  </si>
  <si>
    <t>Regenerants and brine disposal.</t>
  </si>
  <si>
    <t>Chemsys Purolite C100E cation exchange resin €6.50/L</t>
  </si>
  <si>
    <t>https://www.e-chemsys.lt/categories/filter-media/ion-exchange-resins</t>
  </si>
  <si>
    <t>Direct displayed price per litre for C100E; ion selectivity and regeneration chemistry may require other resin. Capacity and replacement frequency determine annual cost.</t>
  </si>
  <si>
    <t>Struvite precipitation</t>
  </si>
  <si>
    <t>Magnesium salt (MgCl2/MgO/MgSO4)</t>
  </si>
  <si>
    <t>EUR/kg MgCl2·6H2O</t>
  </si>
  <si>
    <t>EUR/kg MgCl2·6H2O; indicative bulk proxy</t>
  </si>
  <si>
    <t>EU delivered magnesium chloride hexahydrate broad industrial proxy €200–400/t; midpoint €300/t. Grade may not match precipitation use.</t>
  </si>
  <si>
    <t>Stoichiometric dose and excess Mg; freight and purity.</t>
  </si>
  <si>
    <t>European market price proxy; €200–400/t and €300/t midpoint</t>
  </si>
  <si>
    <t>https://www.indexbox.io/store/european-union-hygroscopic-dust-suppressants-market-analysis-forecast-size-trends-and-insights/</t>
  </si>
  <si>
    <t>€0.30/kg = €300/t central proxy, but EU market report is not a supplier quote and product grade may differ.</t>
  </si>
  <si>
    <t>Quote required at process purity and bulk volume.</t>
  </si>
  <si>
    <t>Cleaning and membranes</t>
  </si>
  <si>
    <t>CIP sanitizer, antiscalant and cleaning chemicals</t>
  </si>
  <si>
    <t>EUR/kg or L; caustic/CIP proxy</t>
  </si>
  <si>
    <t>Benelux commercial distributor</t>
  </si>
  <si>
    <t>kg/L per year</t>
  </si>
  <si>
    <t>No single useful price without product and membrane-cleaning regime.</t>
  </si>
  <si>
    <t>Dose varies by membrane, fouling and CIP frequency.</t>
  </si>
  <si>
    <t>Univar Belgium 25kg caustic soda pearls €41.575 (=€1.663/kg); budget broad CIP chemical blend allowance</t>
  </si>
  <si>
    <t>https://www.univarsolutions.com/be/nl/67682</t>
  </si>
  <si>
    <t>€5/kg blended CIP/antiscalant/sanitizer allowance assumes additives can be priced above commodity caustic; product mix and dose unclear. For caustic-only use €1.66/kg dry NaOH, acid uses row 47; avoid double count.</t>
  </si>
  <si>
    <t>Supplier quote and CIP frequency.</t>
  </si>
  <si>
    <t>Mechanical wear</t>
  </si>
  <si>
    <t>Filter cloths, screens and wear parts</t>
  </si>
  <si>
    <t>EUR/set/year; annual wear proxy per train</t>
  </si>
  <si>
    <t>JRC 2020 cost projection</t>
  </si>
  <si>
    <t>EU; broad plant O&amp;M</t>
  </si>
  <si>
    <t>sets/year</t>
  </si>
  <si>
    <t>Vendor dependent and replacement schedule specific.</t>
  </si>
  <si>
    <t>Equipment maintenance may already include wear parts.</t>
  </si>
  <si>
    <t>Routine maintenance proxy 4% of installed equipment CAPEX/year; set-specific proxy at €125k separator / 2% allowance for cloths/screens</t>
  </si>
  <si>
    <t>€2.5k/year screening allowance for filter cloths/screens/wear parts per mechanical separation train. Could double count routine maintenance percentage; only include when itemized consumables are excluded from top-down O&amp;M.</t>
  </si>
  <si>
    <t>Quote annual service kit.</t>
  </si>
  <si>
    <t>Remaining design inputs and quote close-out register</t>
  </si>
  <si>
    <t>All 53 inventory cost lines now have a numeric screening value/proxy and a reference link. Remaining gaps are quantities, route choices, scope validation and quotations needed to convert screening estimates to investment-grade estimates.</t>
  </si>
  <si>
    <t>Area</t>
  </si>
  <si>
    <t>Open input / validation item</t>
  </si>
  <si>
    <t>Category</t>
  </si>
  <si>
    <t>Priority</t>
  </si>
  <si>
    <t>Close-out evidence required</t>
  </si>
  <si>
    <t>TEA impact / anti-double-count note</t>
  </si>
  <si>
    <t>design basis</t>
  </si>
  <si>
    <t>Annual wet throughput, operating days, dry matter and campaign storage</t>
  </si>
  <si>
    <t>design input</t>
  </si>
  <si>
    <t>Confirm annual/peak t/day, t/y, seasonal feed window, dry-matter and storage-days basis.</t>
  </si>
  <si>
    <t>Capacity and annual quantities drive all scaling and OPEX. No invented project basis used.</t>
  </si>
  <si>
    <t>Reception package capacity and inclusions</t>
  </si>
  <si>
    <t>quote / design</t>
  </si>
  <si>
    <t>Vendor quote for peak t/day, bunker volume, weighbridge, conveyors, grit removal and civil works.</t>
  </si>
  <si>
    <t>€250k is budgetary proxy assembled from components; avoid adding components again.</t>
  </si>
  <si>
    <t>Select chopper/washer/stone trap and press type</t>
  </si>
  <si>
    <t>route / quote</t>
  </si>
  <si>
    <t>Confirm wet t/h, contamination, particle size, solids capture, hygienic requirements and quote.</t>
  </si>
  <si>
    <t>€50k preparation and €66.9k used press proxies have large scope/condition uncertainty.</t>
  </si>
  <si>
    <t>Select PEF, ultrasound or thermal/enzymatic route</t>
  </si>
  <si>
    <t>Supplier quote and process-specific trials including duty, residence, power and dose.</t>
  </si>
  <si>
    <t>Alternatives are not additive. PEF reference €680k; ultrasound budget allowance unquoted.</t>
  </si>
  <si>
    <t>Tank/separator/membrane flow and product quality</t>
  </si>
  <si>
    <t>design / quote</t>
  </si>
  <si>
    <t>Confirm batch volume, pH, solids load, centrifuge type, membrane area and flux.</t>
  </si>
  <si>
    <t>Membrane €75k is low-end market allowance; common separator only counted once per selected stream.</t>
  </si>
  <si>
    <t>drying</t>
  </si>
  <si>
    <t>Select spray or freeze drying and capacity</t>
  </si>
  <si>
    <t>kg water removed/h, product quality, cycle time, drying energy and emissions controls.</t>
  </si>
  <si>
    <t>Alternative dryer costs should not be added together; spray dryer sourced from WUR, freeze dryer list-price proxy.</t>
  </si>
  <si>
    <t>Choose plant-total versus bottom-up digester CAPEX basis</t>
  </si>
  <si>
    <t>scope</t>
  </si>
  <si>
    <t>Select JRC €2,930/kWe whole-plant basis or vessel+mixing+heat bottom-up estimate.</t>
  </si>
  <si>
    <t>Do not count rows 17 and 18 together when row 17 is used as plant total.</t>
  </si>
  <si>
    <t>biogas</t>
  </si>
  <si>
    <t>Gas package and compressor scope</t>
  </si>
  <si>
    <t>Raw gas rate/composition, storage time, H2S, dewpoint, pressures, flare and upgrader package boundaries.</t>
  </si>
  <si>
    <t>€250k gas package and €150k compressor are analyst allowances; check no overlap with upgrader price.</t>
  </si>
  <si>
    <t>upgrading / CHP</t>
  </si>
  <si>
    <t>Select route and confirm quote</t>
  </si>
  <si>
    <t>Confirm raw Nm3/h, product specification, grid injection or CHP heat sink.</t>
  </si>
  <si>
    <t>PSA/membrane/water/amine upgrader versus CHP are mutually exclusive revenue routes.</t>
  </si>
  <si>
    <t>Select N/P and water recovery flowsheet</t>
  </si>
  <si>
    <t>N/P loads, liquid side-stream flow, recovery target and reagent consumption.</t>
  </si>
  <si>
    <t>Ion exchange, struvite, RO/ED/evaporation are alternatives; only selected route costs apply.</t>
  </si>
  <si>
    <t>Electricity and heat consumption balance</t>
  </si>
  <si>
    <t>quantity</t>
  </si>
  <si>
    <t>Annual/peak electricity, heat level/duty, boiler efficiency, internal CHP and recovery.</t>
  </si>
  <si>
    <t>Price proxies are present; quantity and tariff consumption band remain unconfirmed.</t>
  </si>
  <si>
    <t>water/discharge</t>
  </si>
  <si>
    <t>Water balance and site tariff authority</t>
  </si>
  <si>
    <t>quantity / site</t>
  </si>
  <si>
    <t>Freshwater, recycle, discharge quantity and pollutant-unit method plus local supplier/water authority.</t>
  </si>
  <si>
    <t>Rows 43+44 provide water plus BoL; row 46 is alias and not additive.</t>
  </si>
  <si>
    <t>Dose, grade and annual replacement rates</t>
  </si>
  <si>
    <t>quantity / quote</t>
  </si>
  <si>
    <t>kg/t dry matter, activity units, acid/base concentration, media bed mass and breakthrough.</t>
  </si>
  <si>
    <t>Unit-price proxies are filled; doses/lifetimes remain process-specific.</t>
  </si>
  <si>
    <t>Building area, plot and lease/purchase decision</t>
  </si>
  <si>
    <t>site / design</t>
  </si>
  <si>
    <t>Municipality, plot size, floor area, ground conditions, zoning and connection costs.</t>
  </si>
  <si>
    <t>Land €150/m2 is Maastricht example; building €900/m2 is industrial building proxy.</t>
  </si>
  <si>
    <t>Role mix and shift plan</t>
  </si>
  <si>
    <t>FTE by role and shift coverage.</t>
  </si>
  <si>
    <t>€47.9/paid hour loaded average is not role-specific.</t>
  </si>
  <si>
    <t>waste</t>
  </si>
  <si>
    <t>Residue classification and outlet quote</t>
  </si>
  <si>
    <t>Annual tonnes, waste code, contaminant characterization and contracted outlet.</t>
  </si>
  <si>
    <t>€90/t proxy does not apply to recoverable digestate or product; water-board levies separate.</t>
  </si>
  <si>
    <t>CAPEX boundary</t>
  </si>
  <si>
    <t>Installed-cost, engineering, EPC and contingency basis</t>
  </si>
  <si>
    <t>FEED cost estimate that states purchase vs installed costs and project development boundary.</t>
  </si>
  <si>
    <t>35% indirect allowance cannot be stacked with complete EPC/installed factors; PEF etc boundaries require review.</t>
  </si>
  <si>
    <t>financial basis</t>
  </si>
  <si>
    <t>Project life, discount rate, cost year, tax/VAT</t>
  </si>
  <si>
    <t>financial</t>
  </si>
  <si>
    <t>Sponsor WACC, escalation, depreciation, tax and VAT recoverability.</t>
  </si>
  <si>
    <t>Screening rates editable; not an investment recommendation.</t>
  </si>
  <si>
    <t>Source register | price, proxy and assumption references</t>
  </si>
  <si>
    <t>Source title</t>
  </si>
  <si>
    <t>URL</t>
  </si>
  <si>
    <t>Source year</t>
  </si>
  <si>
    <t>Region / evidence basis</t>
  </si>
  <si>
    <t>Applicability and limitations</t>
  </si>
  <si>
    <t>Energy and economic analysis of a water scrubbing based biogas upgrading process</t>
  </si>
  <si>
    <t>https://www.sciencedirect.com/science/article/pii/S0960148116309399</t>
  </si>
  <si>
    <t>2016</t>
  </si>
  <si>
    <t>Europe</t>
  </si>
  <si>
    <t>Published comparison reports &gt;€5,000/(Nm3/h) at 100 Nm3/h. Older and capacity-specific; corroborates small-scale premium, not GreenHub quote.</t>
  </si>
  <si>
    <t>Cost development of low carbon energy technologies, Table 38</t>
  </si>
  <si>
    <t>2017</t>
  </si>
  <si>
    <t>EU JRC technology benchmark</t>
  </si>
  <si>
    <t>Use as an alternative high-level annual O&amp;M proxy or disaggregate; not additive to full OPEX estimates.</t>
  </si>
  <si>
    <t>Comparative Analysis of Cost, Energy Efficiency, and Environmental Impact of Pulsed Electric Fields and Conventional Thermal Treatment with Integrated Heat Recovery for Fruit Juice Pasteurization</t>
  </si>
  <si>
    <t>Food processing; capacity/country not specified</t>
  </si>
  <si>
    <t>Direct reported equipment price, but proxy for grass slurry. Article also reports PEF total capital cost €750,666 and equipment €680,000 in a specific juice pasteurization case; do not use both values as separate costs.</t>
  </si>
  <si>
    <t>Pulsed electric field technology as a promising pre-treatment for enhancing orange agro-industrial waste biorefinery</t>
  </si>
  <si>
    <t>https://pmc.ncbi.nlm.nih.gov/articles/PMC10775899/</t>
  </si>
  <si>
    <t>International food/agro-industrial waste applications</t>
  </si>
  <si>
    <t>Broad literature review estimate; process scale/price basis variable; do not combine with juice TEA €680k source as additive.</t>
  </si>
  <si>
    <t>Collection and Processing of Roadside Grass Clippings: A Supply Chain Optimization Case Study for East Flanders</t>
  </si>
  <si>
    <t>Reported pit cost; source references historic basis. Keep separate from transport and loss values.</t>
  </si>
  <si>
    <t>Electricity price statistics / Eurostat dataset nrg_pc_205</t>
  </si>
  <si>
    <t>https://ec.europa.eu/eurostat/statistics-explained/index.php?title=Electricity_price_statistics</t>
  </si>
  <si>
    <t>Official Eurostat series chosen for right consumption band; page available but search extract did not expose NL cell. Do not substitute EU average €0.1837/kWh. Use Eurostat dataset API to pull NL value for modeled consumption band.</t>
  </si>
  <si>
    <t>Eurostat natural gas series via EnergyBoard Netherlands</t>
  </si>
  <si>
    <t>Current registered price in old workbook; band I3. Cost per useful heat = price/efficiency plus boiler capex/O&amp;M.</t>
  </si>
  <si>
    <t>Zakelijke drinkwatertarieven 2025, Waternet</t>
  </si>
  <si>
    <t>https://www.waternet.nl/veelgestelde-vragen/drinkwater/tarieven-2025/ik-ben-een-zakelijke-klant.-hoeveel-ga-ik-betalen/</t>
  </si>
  <si>
    <t>Amsterdam Waternet service region, Netherlands</t>
  </si>
  <si>
    <t>Waternet lists €1.22/m3 plus tiered annual fixed charge. Applicable only in Waternet territory; compare supplier-specific tariffs.</t>
  </si>
  <si>
    <t>Vitens business water tariffs 2026</t>
  </si>
  <si>
    <t>Netherlands, Vitens service area</t>
  </si>
  <si>
    <t>€1.23/m3 (&lt;100,000 m3/y) ex VAT.</t>
  </si>
  <si>
    <t>Regional Water Authority tax, Business.gov.nl; CBS water board tariffs</t>
  </si>
  <si>
    <t>https://business.gov.nl/regulations/water-authority-tax/</t>
  </si>
  <si>
    <t>2024 page; tariff dataset updated 2026</t>
  </si>
  <si>
    <t>Netherlands; waterschap-specific</t>
  </si>
  <si>
    <t>Legal levy depends on waterschap and load-based pollution-unit method; CBS values are local, not a national flat rate.</t>
  </si>
  <si>
    <t>Eurostat non-household gas prices (fuel proxy only)</t>
  </si>
  <si>
    <t>https://ec.europa.eu/eurostat/statistics-explained/index.php?title=Natural_gas_price_statistics</t>
  </si>
  <si>
    <t>Model marginal steam from own boiler using gas price/efficiency plus CAPEX/O&amp;M or obtain site utility tariff; waste heat should be costed as opportunity cost only if constrained.</t>
  </si>
  <si>
    <t>Eurostat hourly labour cost Netherlands</t>
  </si>
  <si>
    <t>€47.9 per hour whole-economy employer labor cost; not role-specific.</t>
  </si>
  <si>
    <t>Catalog of CHP Technologies</t>
  </si>
  <si>
    <t>US natural gas engine fleet; proxy for biogas CHP</t>
  </si>
  <si>
    <t>EPA reports 1–2.5 US cents/kWh depending engine size, speed and service. Original USD omitted because snippet did not explicitly expose currency in metric context; numeric retained as source reported cents, no conversion claimed.</t>
  </si>
  <si>
    <t>Catalog of CHP Technologies, Section 2: Reciprocating Internal Combustion Engines</t>
  </si>
  <si>
    <t>https://www.epa.gov/sites/default/files/2015-07/documents/catalog_of_chp_technologies_section_2._technology_characterization_-_reciprocating_internal_combustion_engines.pdf</t>
  </si>
  <si>
    <t>2015/2017</t>
  </si>
  <si>
    <t>United States; EPA source</t>
  </si>
  <si>
    <t>Original EPA catalogue installed cost benchmark; conversion is explicit screening normalization to 2024 EUR. Size point index follows source catalog order; source cost per kW decreases with system size. Confirm exact unit sizes and installed boundary before detailed design.</t>
  </si>
  <si>
    <t>Catalog of CHP Technologies, Section 3: Combustion Turbines</t>
  </si>
  <si>
    <t>https://www.epa.gov/sites/default/files/2015-07/documents/catalog_of_chp_technologies_section_3._technology_characterization_-_combustion_turbines.pdf</t>
  </si>
  <si>
    <t>Catalog of CHP Technologies, Section 5: Microturbines</t>
  </si>
  <si>
    <t>https://www.epa.gov/sites/default/files/2015-07/documents/catalog_of_chp_technologies_section_5._characterization_-_microturbines.pdf</t>
  </si>
  <si>
    <t>SYSTEMIC Deliverable D3.2: Schemes and Scenarios for Nutrient Recovery</t>
  </si>
  <si>
    <t>EU SYSTEMIC project cases</t>
  </si>
  <si>
    <t>Use source points as evidence/sensitivity only. Values are not monotonic in capacity, so no source-supported scale exponent can be inferred.</t>
  </si>
  <si>
    <t>Technology for N recovery as inorganic fertilizer starting from liquid fraction of manure, digestate or other waste streams with Detricon stripping and scrubbing process</t>
  </si>
  <si>
    <t>Hungary/EU technology network</t>
  </si>
  <si>
    <t>Reported on product basis and contingent on market price; do not treat as fully burdened operating cost.</t>
  </si>
  <si>
    <t>Biogas and biomethane production and use in the EU</t>
  </si>
  <si>
    <t>https://www.europarl.europa.eu/RegData/etudes/etudes/join/2010/440278/IPOL-ITRE_ET%282010%29440278_EN.pdf</t>
  </si>
  <si>
    <t>2010</t>
  </si>
  <si>
    <t>EU technical review</t>
  </si>
  <si>
    <t>Review reports upgrading electricity range for PWS and PSA. Use as a range only pending supplier guarantee.</t>
  </si>
  <si>
    <t>Energy prices: Eurostat nrg_pc_205, non-household band 500–2,000 MWh</t>
  </si>
  <si>
    <t>https://ec.europa.eu/eurostat/cache/visualisations/energy-prices/enprices.html?chartId=mainChart&amp;chartInDetails=0&amp;component=0&amp;consoms=MWH500-1999&amp;consumer=N_HOUSEHOLD&amp;currency=EUR&amp;dataset=nrg_pc_205&amp;detail=0&amp;geos=EU27_2020%2CEA%2CBE%2CBG%2CCZ%2CDK%2CDE%2CEE%2CIE%2CEL%2CES%2CFR%2CHR%2CIT%2CCY%2CLV%2CLT%2CLU%2CHU%2CMT%2CNL%2CAT%2CPL%2CPT%2CRO%2CSI%2CSK%2CFI%2CSE&amp;language=EN&amp;nrg_prc=undefined&amp;order=DESC&amp;percentage=0&amp;product=6000&amp;share=false&amp;taxs=I_TAX%2CX_TAX%2CX_VAT&amp;time=2025-S2&amp;unit=KWH</t>
  </si>
  <si>
    <t>Netherlands, industrial band ID</t>
  </si>
  <si>
    <t>No numeric value inserted because the interactive source output does not yield NL cell; source is linked for traceable manual entry.</t>
  </si>
  <si>
    <t>The price of tap water in 2025</t>
  </si>
  <si>
    <t>https://www.waternet.nl/en/nieuws/2024/november/the-price-of-tap-water-in-2025/</t>
  </si>
  <si>
    <t>Waternet service region, Netherlands</t>
  </si>
  <si>
    <t>Waternet source says 2025 €1.22/m3; business tariffs and fixed charges may differ.</t>
  </si>
  <si>
    <t>CBS water boards; tariffs and levies</t>
  </si>
  <si>
    <t>https://www.cbs.nl/en-gb/figures/detail/80892ENG</t>
  </si>
  <si>
    <t>2025; updated 2026</t>
  </si>
  <si>
    <t>Dutch water authority-specific</t>
  </si>
  <si>
    <t>2025 examples €73.34–115.33 per pollution unit; rules changed in 2026; use local tariff.</t>
  </si>
  <si>
    <t>Maastricht industrial land price</t>
  </si>
  <si>
    <t>Maastricht Hazendans industrial estate</t>
  </si>
  <si>
    <t>€150/m2 excluding VAT; example only.</t>
  </si>
  <si>
    <t>Eurostat electricity price, NL band IC, H2 2025</t>
  </si>
  <si>
    <t>Netherlands; 500–1,999 MWh; excluding VAT</t>
  </si>
  <si>
    <t>€0.1991/kWh, official series and selected band; price tax component treatment must match model.</t>
  </si>
  <si>
    <t>Waternet business water tariffs 2026</t>
  </si>
  <si>
    <t>https://www.waternet.nl/zakelijk/drinkwater-voor-bedrijven/kosten-met-watermeter/</t>
  </si>
  <si>
    <t>Amsterdam/Waternet service area</t>
  </si>
  <si>
    <t>€1.18/m3; fixed and tax components are separate.</t>
  </si>
  <si>
    <t>Rijksoverheid tax on tap water (BoL)</t>
  </si>
  <si>
    <t>https://www.rijksoverheid.nl/themas/klimaat-milieu-en-natuur/drinkwater/belasting-op-drinkwater</t>
  </si>
  <si>
    <t>2026 threshold rises to 50,000 m3/y; use statutory rules and taxable volume.</t>
  </si>
  <si>
    <t>Waste treatment tax rate</t>
  </si>
  <si>
    <t>Government waste tax applies to incineration/landfill, not every residue.</t>
  </si>
  <si>
    <t>Dutch industry waste incineration fee benchmark</t>
  </si>
  <si>
    <t>https://www.rijksoverheid.nl/binaries/rijksoverheid/documenten/rapporten/2025/09/16/onderzoek-naar-maatregelen-in-het-afvaldomein/Onderzoek-naar-maatregelen-in-het-afvaldomein.pdf</t>
  </si>
  <si>
    <t>Government-commissioned analysis reports average gate fees around €90/t excluding tax; waste-type dependent.</t>
  </si>
  <si>
    <t>EU trade import value, monoethanolamine</t>
  </si>
  <si>
    <t>EU trade unit value</t>
  </si>
  <si>
    <t>€1.65/kg import average; not supplier quote or delivered price.</t>
  </si>
  <si>
    <t>Northwest Europe sulfuric acid benchmark</t>
  </si>
  <si>
    <t>EU intra-EU CIF/FOB flows</t>
  </si>
  <si>
    <t>Approx €126/t Jan 2026 proxy; bulk/delivered grade and handling vary.</t>
  </si>
  <si>
    <t>Industrial UF membrane price list proxy</t>
  </si>
  <si>
    <t>80 m2 module listing; unit price indicative and not a process skid.</t>
  </si>
  <si>
    <t>ZORG Biogas project proposal: straw/manure reception equipment</t>
  </si>
  <si>
    <t>Lists solid feeder and conveyor equipment; much larger capacity and plant boundary than modeled system, used only to build rough reception-package estimate.</t>
  </si>
  <si>
    <t>Silage bunker construction costs</t>
  </si>
  <si>
    <t>Germany; silage bunker</t>
  </si>
  <si>
    <t>Approx. €60/m3 for bunker at average 2.5m height; construction proxy, exclusions uncertain.</t>
  </si>
  <si>
    <t>Grass forage hammer mill case; RICHI Machinery</t>
  </si>
  <si>
    <t>Netherlands installation case</t>
  </si>
  <si>
    <t>€18k 45kW, 0.8–1.4t/h machine; size/throughput proxy.</t>
  </si>
  <si>
    <t>Bauer Plug&amp;Play 855 slurry/digestate screw-press separator</t>
  </si>
  <si>
    <t>2026 listing</t>
  </si>
  <si>
    <t>EU slurry/digestate processing</t>
  </si>
  <si>
    <t>Used market listing price €66,899; capacity and condition differ from a new grass juice press.</t>
  </si>
  <si>
    <t>Hielscher UIP4000hdT industrial ultrasound specification</t>
  </si>
  <si>
    <t>Germany / EU process equipment</t>
  </si>
  <si>
    <t>4kW industrial unit specification, no list price; €80k budget allowance is analyst assumption.</t>
  </si>
  <si>
    <t>5000L jacketed stirred tank listing</t>
  </si>
  <si>
    <t>Germany / EU used equipment</t>
  </si>
  <si>
    <t>Used 5,000L heated/cooled vessel listed €4,900; new process vessel package allowances add controls/heat/dosing.</t>
  </si>
  <si>
    <t>Veolia UFLEX industrial ultrafiltration system</t>
  </si>
  <si>
    <t>EU industrial water process; 5.8–27.1 m3/h skid range</t>
  </si>
  <si>
    <t>Capacity reference only; installed skid price sourced from market range and flagged low-confidence.</t>
  </si>
  <si>
    <t>FrostX 50 freeze dryer list price</t>
  </si>
  <si>
    <t>EU food processing equipment</t>
  </si>
  <si>
    <t>50kg/batch price €44,250 ex VAT; equipment scale may not fit production duty.</t>
  </si>
  <si>
    <t>ZORG Biogas 16–20MW CHP project proposal</t>
  </si>
  <si>
    <t>Itemized holder, desulfurization and flare prices from large project used only as rough scaled gas-conditioning package proxy.</t>
  </si>
  <si>
    <t>Industrial ion-exchange skid cost range</t>
  </si>
  <si>
    <t>Industrial wastewater, 5–50m3/h</t>
  </si>
  <si>
    <t>Secondary market range $40k–$350k; weak evidence, €80k 5m3/h screening proxy not a quote.</t>
  </si>
  <si>
    <t>Multi-scale techno-economic assessment of nitrogen recovery systems</t>
  </si>
  <si>
    <t>2023 study; vendor base 2018</t>
  </si>
  <si>
    <t>US livestock digestate</t>
  </si>
  <si>
    <t>Reported 48,000kg/day struvite fluidized-bed CAPEX $625k plus $420k shared dryer; small-scale proxy is a rough power-law downscale.</t>
  </si>
  <si>
    <t>Industrial wastewater RO installed price envelope</t>
  </si>
  <si>
    <t>EU industrial wastewater market guide</t>
  </si>
  <si>
    <t>Claims installed industrial RO €600–1,200 per m3/day. Secondary market guide, indicative only.</t>
  </si>
  <si>
    <t>Cold Tech 100kW industrial process chiller</t>
  </si>
  <si>
    <t>EU industrial cooling</t>
  </si>
  <si>
    <t>100kW capacity listing/specification; price not public, €75k is analyst budget allowance.</t>
  </si>
  <si>
    <t>DACE Price Booklet: industrial buildings manufacturing/workshops</t>
  </si>
  <si>
    <t>2025/2026</t>
  </si>
  <si>
    <t>Process-industry cost data</t>
  </si>
  <si>
    <t>Bare/basic industrial building range €480–1,050/m2; €900/m2 selected midpoint.</t>
  </si>
  <si>
    <t>JRC project investment cost component split</t>
  </si>
  <si>
    <t>EU project cost methodology</t>
  </si>
  <si>
    <t>Assumed split when detailed allocations unavailable: 3% project development; used with explicit analyst 25% engineering/EPC +10% contingency assumption.</t>
  </si>
  <si>
    <t>ASA Spezialenzyme cellulase TXL</t>
  </si>
  <si>
    <t>Germany / EU enzyme supplier</t>
  </si>
  <si>
    <t>25kg pack priced €22/kg; activity and process dose remain specific.</t>
  </si>
  <si>
    <t>ZORG Biogas activated carbon for sulfur removal</t>
  </si>
  <si>
    <t>H2S impregnated activated carbon listed €4.50/kg.</t>
  </si>
  <si>
    <t>Giebel Cagesphere 13X molecular sieve list price</t>
  </si>
  <si>
    <t>Germany / EU desiccant supplier</t>
  </si>
  <si>
    <t>€27.99/kg small-pack 13X proxy; not necessarily same adsorbent formulation as biogas PSA.</t>
  </si>
  <si>
    <t>Chemsys Purolite C100E resin price</t>
  </si>
  <si>
    <t>Displayed price €6.50/L for C100E resin.</t>
  </si>
  <si>
    <t>Univar Belgium caustic soda micropearl</t>
  </si>
  <si>
    <t>Benelux chemical distributor</t>
  </si>
  <si>
    <t>25kg pack €41.575 or €1.663/kg before volume discounts; product-specific list price.</t>
  </si>
  <si>
    <t>Captels weighbridge price guide</t>
  </si>
  <si>
    <t>https://pesage-captels.com/en/technic/weighbridge-and-axle-weighting-system-complete-guide-illuminated-selection-2/</t>
  </si>
  <si>
    <t>EU supplier guide</t>
  </si>
  <si>
    <t>Industrial weighbridge purchase/installation range €20k–€40k excluding VAT.</t>
  </si>
  <si>
    <t>MCR Machinery industrial brush washer BW3000</t>
  </si>
  <si>
    <t>https://mcrmachinery.com/en/mcr-landing-page-brush-washer/</t>
  </si>
  <si>
    <t>EU food-processing equipment</t>
  </si>
  <si>
    <t>€8k price listed; vegetable washer analogue, not grass-specific.</t>
  </si>
  <si>
    <t>Industrial UF skid price envelope, Netherlands</t>
  </si>
  <si>
    <t>https://www.indexbox.io/store/netherlands-membrane-ultrafiltration-units-market-analysis-forecast-size-trends-and-insights/</t>
  </si>
  <si>
    <t>2026 market report</t>
  </si>
  <si>
    <t>Netherlands industrial market</t>
  </si>
  <si>
    <t>Market report indicates complete skids €50k to &gt;€500k; secondary-source range used to set a €75k screening proxy.</t>
  </si>
  <si>
    <t>DWSIM capital cost estimator documentation</t>
  </si>
  <si>
    <t>https://dwsim.org/wiki/index.php?title=Capital_Cost_Estimator</t>
  </si>
  <si>
    <t>Chemical process estimating reference</t>
  </si>
  <si>
    <t>Summarizes design/engineering 20–30%, contractor fees 5–10%, contingency 5–10%; contextual basis for 35% EPC/contingency proxy.</t>
  </si>
  <si>
    <t>ASA Spezialenzyme pectinase L-40</t>
  </si>
  <si>
    <t>https://asa-enzyme.de/en/produkt/pectinase-l-40/</t>
  </si>
  <si>
    <t>25kg pack priced €37.50/kg; comparator for enzyme price variability.</t>
  </si>
  <si>
    <t>Eurostat electricity price selected non-household consumption band</t>
  </si>
  <si>
    <t>https://ec.europa.eu/eurostat/cache/visualisations/energy-prices/enprices.html?chartId=mainChart&amp;chartInDetails=0&amp;component=0&amp;consoms=MWH500-1999&amp;consumer=N_HOUSEHOLD&amp;currency=EUR&amp;dataset=nrg_pc_205&amp;detail=0&amp;geos=EU27_2020%2CEA%2CBE%2CBG%2CCZ%2CDK%2CDE%2CEE%2CIE%2CEL%2CES%2CFR%2CHR%2CIT%2CCY%2CLV%2CLT%2CLU%2CHU%2CMT%2CNL%2CAT%2CPL%2CPT%2CRO%2CSI%2CSK%2CFI%2CSE%2CIS%2CLI%2CNO%2CME%2CMK%2CAL%2CRS%2CTR%2CBA%2CXK%2CMD%2CUA%2CGE&amp;language=EN&amp;nrg_prc=undefined&amp;order=DESC&amp;percentage=0&amp;product=6000&amp;share=false&amp;taxs=I_TAX%2CX_TAX%2CX_VAT&amp;time=2025-S2&amp;unit=KWH</t>
  </si>
  <si>
    <t>Netherlands; 500–1,999 MWh</t>
  </si>
  <si>
    <t>Eurostat chart for selected band; row value €0.1991/kWh excl. VAT as transcribed through EnergyBoard.</t>
  </si>
  <si>
    <t>AGV 2026 water-authority wastewater treatment charge</t>
  </si>
  <si>
    <t>Amsterdam and surrounding AGV service territory</t>
  </si>
  <si>
    <t>Treatment charge €92.79 per pollution unit; site and pollution load determine charge.</t>
  </si>
  <si>
    <t>Cagesphere PSA X-LI zeolite 25kg; Giebel Desiccants</t>
  </si>
  <si>
    <t>https://www.giebel-desiccants.com/en/shop/35-0621-00-cagesphere-psa-x-li-0-4-0-8mm-25kg-21271</t>
  </si>
  <si>
    <t>EU industrial media supplier</t>
  </si>
  <si>
    <t>Industrial PSA media product identified; no public price. Separate 1kg €27.99 retail price is used as conservative price proxy.</t>
  </si>
  <si>
    <t>WATEX 5m3/h UF prefilter price/specification</t>
  </si>
  <si>
    <t>https://watex.eu/en/ultrafiltration-systems/ultrafiltration-system-uf5000-5-cbm-h-aisi-304</t>
  </si>
  <si>
    <t>EU consumer-grade prefilter</t>
  </si>
  <si>
    <t>Lists €319 ex VAT but lacks pump/controls and is household-oriented; excluded as a complete process skid price.</t>
  </si>
  <si>
    <t>Water authority wastewater treatment charge 2026, Noorderzijlvest</t>
  </si>
  <si>
    <t>https://en.noorderzijlvest.nl/tarievenkaart-verwerken-afvalstoffen-2026</t>
  </si>
  <si>
    <t>Netherlands; Noorderzijlvest service area</t>
  </si>
  <si>
    <t>€106.27 per pollution unit; demonstrates geographic variation; AGV €92.79 used as local example proxy.</t>
  </si>
  <si>
    <t>WUR spray dryer investment benchmark</t>
  </si>
  <si>
    <t>Netherlands; biobased processing</t>
  </si>
  <si>
    <t>€600k at 500kg water/h; capacity-specific proxy.</t>
  </si>
  <si>
    <t>Spanish biogas upgrading cost model</t>
  </si>
  <si>
    <t>PSA central cost proxy; capacity-specific case study.</t>
  </si>
  <si>
    <t>Dutch 2026 tap-water tax / BoL</t>
  </si>
  <si>
    <t>Netherlands; statutory basis</t>
  </si>
  <si>
    <t>€0.437/m3 tap-water tax and annual volume threshold are governed by current rules.</t>
  </si>
  <si>
    <t>Electricity intensity proxy; route- and plant-specific.</t>
  </si>
  <si>
    <t>EU magnesium chloride market proxy</t>
  </si>
  <si>
    <t>EU commodity market</t>
  </si>
  <si>
    <t>Indicative MgCl2 bulk price range; source is secondary market analysis.</t>
  </si>
  <si>
    <t>scenario_id</t>
  </si>
  <si>
    <t>scenario_name</t>
  </si>
  <si>
    <t>technology_or_process</t>
  </si>
  <si>
    <t>data_status</t>
  </si>
  <si>
    <t>source_file</t>
  </si>
  <si>
    <t>source_row</t>
  </si>
  <si>
    <t>notes</t>
  </si>
  <si>
    <t>advanced_model</t>
  </si>
  <si>
    <t>canonical_parameter_registry.csv</t>
  </si>
  <si>
    <t>[]</t>
  </si>
  <si>
    <t>Versioned selection corresponding to ModelControl.selected_phase7_process_order.</t>
  </si>
  <si>
    <t>model_control</t>
  </si>
  <si>
    <t>Greenhub/data/advanced_model/canonical_parameter_registry.csv</t>
  </si>
  <si>
    <t>Versioned selection corresponding to ModelControl.selected_phase5_scenario.</t>
  </si>
  <si>
    <t>Versioned selection corresponding to ModelControl.selected_phase6_scenario.</t>
  </si>
  <si>
    <t>Versioned selection corresponding to ModelControl.selected_phase3_scenario.</t>
  </si>
  <si>
    <t>Versioned selection corresponding to ModelControl.selected_phase7_scenario.</t>
  </si>
  <si>
    <t>Versioned selection corresponding to ModelControl.selected_phase4_scenario.</t>
  </si>
  <si>
    <t>Versioned selection corresponding to ModelControl.selected_month.</t>
  </si>
  <si>
    <t>["F1"]</t>
  </si>
  <si>
    <t>Also used for peptide recovery.</t>
  </si>
  <si>
    <t>press</t>
  </si>
  <si>
    <t>Structural test value.</t>
  </si>
  <si>
    <t>Within the provisional grass-moisture context but not measured cake data.</t>
  </si>
  <si>
    <t>["F2"]</t>
  </si>
  <si>
    <t>Empirical structural value.</t>
  </si>
  <si>
    <t>pef</t>
  </si>
  <si>
    <t>Structural sizing value; no CAPEX is assigned.</t>
  </si>
  <si>
    <t>centrifuge</t>
  </si>
  <si>
    <t>Structural test value; replace with equipment data.</t>
  </si>
  <si>
    <t>Default is zero; any future value remains in rejects.</t>
  </si>
  <si>
    <t>preparation</t>
  </si>
  <si>
    <t>Optional transparent removal model.</t>
  </si>
  <si>
    <t>Grouped fallback; individual overrides may be added later.</t>
  </si>
  <si>
    <t>Empirical N-equivalent pool transfer.</t>
  </si>
  <si>
    <t>Empirical P-equivalent pool transfer.</t>
  </si>
  <si>
    <t>Particulate default.</t>
  </si>
  <si>
    <t>Structural wet-biomass heat-capacity value.</t>
  </si>
  <si>
    <t>Applied to the press yield target; moisture priority may report inconsistency.</t>
  </si>
  <si>
    <t>Structural consistency target.</t>
  </si>
  <si>
    <t>Fallback water split only when moisture is absent.</t>
  </si>
  <si>
    <t>Default for soluble unclassified components.</t>
  </si>
  <si>
    <t>Default zero; nonzero values appear in a separate loss stream.</t>
  </si>
  <si>
    <t>["F0"]</t>
  </si>
  <si>
    <t>Structural storage residence time.</t>
  </si>
  <si>
    <t>storage</t>
  </si>
  <si>
    <t>Disabled by default.</t>
  </si>
  <si>
    <t>Dissolved-P group recovery.</t>
  </si>
  <si>
    <t>Empirical K-equivalent pool transfer.</t>
  </si>
  <si>
    <t>Structural scenario enforces juice yield and reports the inconsistent cake-moisture target.</t>
  </si>
  <si>
    <t>F0 measured density overrides this value when available.</t>
  </si>
  <si>
    <t>Must equal one minus sludge solids.</t>
  </si>
  <si>
    <t>Must equal one minus sludge moisture.</t>
  </si>
  <si>
    <t>No COD is created; metadata-matched pools are transferred.</t>
  </si>
  <si>
    <t>Empirical press-recovery enhancement.</t>
  </si>
  <si>
    <t>Structural test value; not literature-calibrated.</t>
  </si>
  <si>
    <t>Empirical pool transfer.</t>
  </si>
  <si>
    <t>Use calculated only with retained-energy assumptions.</t>
  </si>
  <si>
    <t>Used only in calculated temperature mode.</t>
  </si>
  <si>
    <t>Blank because temperature rise is used.</t>
  </si>
  <si>
    <t>Fallback only when no moisture/yield target is active.</t>
  </si>
  <si>
    <t>Structural placeholder; replace with measured or sourced data.</t>
  </si>
  <si>
    <t>acidification</t>
  </si>
  <si>
    <t>neutralization</t>
  </si>
  <si>
    <t>Blank in stoichiometric mode.</t>
  </si>
  <si>
    <t>Leave blank unless measured or fitted.</t>
  </si>
  <si>
    <t>protein_feed</t>
  </si>
  <si>
    <t>protein_separation</t>
  </si>
  <si>
    <t>Leave blank until vendor data are available.</t>
  </si>
  <si>
    <t>dewatering</t>
  </si>
  <si>
    <t>External hot-water utility only; no future biomethane integration in Phase 4.</t>
  </si>
  <si>
    <t>Structural selection for dewatered heat-sensitive cake; vendor confirmation required.</t>
  </si>
  <si>
    <t>protein_precipitation</t>
  </si>
  <si>
    <t>Aggregate placeholder, not a universal grass-protein pI.</t>
  </si>
  <si>
    <t>Leave blank unless measured; required only for acid-equivalent acid demand.</t>
  </si>
  <si>
    <t>heat_coagulation</t>
  </si>
  <si>
    <t>Blank in direct-yield mode; required only for first-order mode.</t>
  </si>
  <si>
    <t>precipitation_kinetics</t>
  </si>
  <si>
    <t>Blank unless literature-supported or fitted.</t>
  </si>
  <si>
    <t>cake_washing</t>
  </si>
  <si>
    <t>Blank because thermodynamic mode is selected; do not combine both methods.</t>
  </si>
  <si>
    <t>Structural placeholder; replace with measured, experimental, literature, or vendor data before interpretation.</t>
  </si>
  <si>
    <t>acetogenesis</t>
  </si>
  <si>
    <t>hydrolysis</t>
  </si>
  <si>
    <t>gas_partition</t>
  </si>
  <si>
    <t>Leave blank while inhibition is disabled; project-specific inhibition data are missing.</t>
  </si>
  <si>
    <t>inhibition</t>
  </si>
  <si>
    <t>cod_mode</t>
  </si>
  <si>
    <t>biomass</t>
  </si>
  <si>
    <t>biodegradability</t>
  </si>
  <si>
    <t>conditioning</t>
  </si>
  <si>
    <t>feed</t>
  </si>
  <si>
    <t>reactor</t>
  </si>
  <si>
    <t>Set equal to HRT because no biomass-retention mechanism is active.</t>
  </si>
  <si>
    <t>acidogenesis</t>
  </si>
  <si>
    <t>methanogenesis</t>
  </si>
  <si>
    <t>nutrients</t>
  </si>
  <si>
    <t>sulphur</t>
  </si>
  <si>
    <t>Class-E structural placeholder; replace with measured, experimental, literature, or vendor data before scientific, design, economic, or configuration-selection interpretation.</t>
  </si>
  <si>
    <t>desulfurization</t>
  </si>
  <si>
    <t>ammonia</t>
  </si>
  <si>
    <t>cooling</t>
  </si>
  <si>
    <t>condensate</t>
  </si>
  <si>
    <t>filtration</t>
  </si>
  <si>
    <t>["BG5"]</t>
  </si>
  <si>
    <t>BG5_design</t>
  </si>
  <si>
    <t>BG5_MEA</t>
  </si>
  <si>
    <t>Optional. Blank is interpreted as zero and does not break simulation.</t>
  </si>
  <si>
    <t>["BG3"]</t>
  </si>
  <si>
    <t>BG3_membrane</t>
  </si>
  <si>
    <t>BG3_permeance</t>
  </si>
  <si>
    <t>Optional reporting target. Stage cut is calculated from pressure, area, permeance, and composition and does not require this field.</t>
  </si>
  <si>
    <t>["BG4"]</t>
  </si>
  <si>
    <t>BG4_PSA</t>
  </si>
  <si>
    <t>BG4_adsorption</t>
  </si>
  <si>
    <t>feed_quality</t>
  </si>
  <si>
    <t>["BG2"]</t>
  </si>
  <si>
    <t>BG2_design</t>
  </si>
  <si>
    <t>BG2_water</t>
  </si>
  <si>
    <t>BG2_drying</t>
  </si>
  <si>
    <t>Class-E structural placeholder. Replace with measured, experimental, literature, or vendor data before design, fertilizer-quality, economic, regulatory, or configuration-selection interpretation.</t>
  </si>
  <si>
    <t>acid absorption</t>
  </si>
  <si>
    <t>ammonia stripping</t>
  </si>
  <si>
    <t>calcium phosphate</t>
  </si>
  <si>
    <t>separation</t>
  </si>
  <si>
    <t>equalization</t>
  </si>
  <si>
    <t>Allowed codes: screw_press, decanter_centrifuge, belt_filter. The current empirical parameters must be calibrated separately for the selected technology.</t>
  </si>
  <si>
    <t>ion exchange</t>
  </si>
  <si>
    <t>Set to zero because BG1 and the electricity bus are inactive. Do not enter a credit without an implemented or externally verified supply balance.</t>
  </si>
  <si>
    <t>common</t>
  </si>
  <si>
    <t>control</t>
  </si>
  <si>
    <t>product finishing</t>
  </si>
  <si>
    <t>Set to zero because the current repository has no active CHP/plant heat network. Replace only with a real temperature-qualified upstream heat balance.</t>
  </si>
  <si>
    <t>potassium concentration</t>
  </si>
  <si>
    <t>struvite</t>
  </si>
  <si>
    <t>Maximum wet-biomass inventory. Leave null for an explicitly unbounded structural fallback.</t>
  </si>
  <si>
    <t>seasonal biomass storage</t>
  </si>
  <si>
    <t>parameter_activation_registry.csv</t>
  </si>
  <si>
    <t>structural_placeholder</t>
  </si>
  <si>
    <t>Greenhub/data/advanced_model/parameter_activation_registry.csv</t>
  </si>
  <si>
    <t>["F3"]</t>
  </si>
  <si>
    <t>["PR2"]</t>
  </si>
  <si>
    <t>["PR1"]</t>
  </si>
  <si>
    <t>literature_direct</t>
  </si>
  <si>
    <t>["AD2"]</t>
  </si>
  <si>
    <t>["AD3"]</t>
  </si>
  <si>
    <t>["BG0"]</t>
  </si>
  <si>
    <t>Bigas production + upgrade</t>
  </si>
  <si>
    <t>AD reactor</t>
  </si>
  <si>
    <t>SCN_CSTR_MESO</t>
  </si>
  <si>
    <t>Mesophilic crop-silage CSTR</t>
  </si>
  <si>
    <t>source_supported</t>
  </si>
  <si>
    <t>Greenhub/data/Bigas production + upgrade/AD reactor/digester_scenario_controller.csv</t>
  </si>
  <si>
    <t>not grass-specific OLR</t>
  </si>
  <si>
    <t>SCN_PFR</t>
  </si>
  <si>
    <t>Heated plug-flow comparator</t>
  </si>
  <si>
    <t>partially_supported</t>
  </si>
  <si>
    <t>no grass-specific design window</t>
  </si>
  <si>
    <t>SCN_THERMO</t>
  </si>
  <si>
    <t>Thermophilic scenario</t>
  </si>
  <si>
    <t>no thermophilic grass window</t>
  </si>
  <si>
    <t>SCN_TWO</t>
  </si>
  <si>
    <t>Two-stage acid+methane</t>
  </si>
  <si>
    <t>missing_design_parameters</t>
  </si>
  <si>
    <t>needs direct two-stage grass source</t>
  </si>
  <si>
    <t>CHP_and_Utilities</t>
  </si>
  <si>
    <t>selected_part_load_curve</t>
  </si>
  <si>
    <t>reciprocating_engine</t>
  </si>
  <si>
    <t>assumption</t>
  </si>
  <si>
    <t>Greenhub/data/Bigas production + upgrade/CHP_and_Utilities/chp_scenario_controller.csv</t>
  </si>
  <si>
    <t>Controller field; numerical default intentionally blank. Select model-specific curve.</t>
  </si>
  <si>
    <t>minimum_load</t>
  </si>
  <si>
    <t>microturbine</t>
  </si>
  <si>
    <t>literature-reported</t>
  </si>
  <si>
    <t>50% is an explicit reported part-load observation, not necessarily the technical minimum operating load.</t>
  </si>
  <si>
    <t>missing</t>
  </si>
  <si>
    <t>Technical minimum load was not explicitly tabulated in the selected report.</t>
  </si>
  <si>
    <t>gas_turbine</t>
  </si>
  <si>
    <t>No tabulated technical minimum load; do not infer from graph.</t>
  </si>
  <si>
    <t>heat_recovery_enabled</t>
  </si>
  <si>
    <t>combined_heat_power</t>
  </si>
  <si>
    <t>Scenario controller field; blank until explicitly selected.</t>
  </si>
  <si>
    <t>thermal_sink_temperature</t>
  </si>
  <si>
    <t>Must be provided by the process utility demand model.</t>
  </si>
  <si>
    <t>availability</t>
  </si>
  <si>
    <t>Use project-specific service agreement and redundancy configuration.</t>
  </si>
  <si>
    <t>methane_slip_case_measured_site</t>
  </si>
  <si>
    <t>measured</t>
  </si>
  <si>
    <t>Sensitivity case only; a four-day single-site measurement.</t>
  </si>
  <si>
    <t>MEA</t>
  </si>
  <si>
    <t>scenario_mea_concentration</t>
  </si>
  <si>
    <t>MEA biogas upgrading</t>
  </si>
  <si>
    <t>Greenhub/data/Bigas production + upgrade/MEA/scenario_controller.csv</t>
  </si>
  <si>
    <t>source-reported basis</t>
  </si>
  <si>
    <t>scenario_absorber_pressure_low</t>
  </si>
  <si>
    <t>scenario_absorber_pressure_high</t>
  </si>
  <si>
    <t>scenario_reboiler_temperature_low</t>
  </si>
  <si>
    <t>MEA regeneration</t>
  </si>
  <si>
    <t>scenario_reboiler_temperature_high</t>
  </si>
  <si>
    <t>scenario_water_lean_meg</t>
  </si>
  <si>
    <t>MEA/MEG biogas upgrading</t>
  </si>
  <si>
    <t>Alternative solvent scenario, not aqueous-MEA base case.</t>
  </si>
  <si>
    <t>Membrane</t>
  </si>
  <si>
    <t>scenario_stages_low</t>
  </si>
  <si>
    <t>membrane upgrading</t>
  </si>
  <si>
    <t>Greenhub/data/Bigas production + upgrade/Membrane/scenario_controller.csv</t>
  </si>
  <si>
    <t>No internal recycle design; higher methane loss.</t>
  </si>
  <si>
    <t>scenario_stages_high</t>
  </si>
  <si>
    <t>scenario_pressure_low</t>
  </si>
  <si>
    <t>scenario_pressure_high</t>
  </si>
  <si>
    <t>PSA</t>
  </si>
  <si>
    <t>scenario_cycle_min</t>
  </si>
  <si>
    <t>Greenhub/data/Bigas production + upgrade/PSA/scenario_controller.csv</t>
  </si>
  <si>
    <t>scenario_cycle_max</t>
  </si>
  <si>
    <t>scenario_adsorption_pressure</t>
  </si>
  <si>
    <t>scenario_desorption_pressure</t>
  </si>
  <si>
    <t>scenario_recycle_enabled</t>
  </si>
  <si>
    <t>Controller flag only; no numerical default supplied.</t>
  </si>
  <si>
    <t>Water_Scrubbing</t>
  </si>
  <si>
    <t>water scrubbing biogas upgrading</t>
  </si>
  <si>
    <t>Greenhub/data/Bigas production + upgrade/Water_Scrubbing/scenario_controller.csv</t>
  </si>
  <si>
    <t>Lower bound of reported typical pressure; controller endpoint, not an assumed optimum.</t>
  </si>
  <si>
    <t>scenario_water_temperature_cool</t>
  </si>
  <si>
    <t>scenario_water_temperature_warm</t>
  </si>
  <si>
    <t>scenario_minimum_turndown</t>
  </si>
  <si>
    <t>scenario_product_co2_target</t>
  </si>
  <si>
    <t>Table 9 water flow basis is product CO2 below 2 vol%.</t>
  </si>
  <si>
    <t>Centrifuge</t>
  </si>
  <si>
    <t>assumption_and_missing_data_register.csv</t>
  </si>
  <si>
    <t>CEN-D1/CEN-S1</t>
  </si>
  <si>
    <t>open</t>
  </si>
  <si>
    <t>Greenhub/data/Centrifuge/assumption_and_missing_data_register.csv</t>
  </si>
  <si>
    <t>CEN-D1</t>
  </si>
  <si>
    <t>CEN-S1</t>
  </si>
  <si>
    <t>CEN-C1/CEN-S1</t>
  </si>
  <si>
    <t>CEN-H1</t>
  </si>
  <si>
    <t>centrifuge_component_capture.csv</t>
  </si>
  <si>
    <t>centrifuge.digestate.total_solids_capture</t>
  </si>
  <si>
    <t>decanter separation</t>
  </si>
  <si>
    <t>calculated_from_source_formula</t>
  </si>
  <si>
    <t>Greenhub/data/Centrifuge/centrifuge_component_capture.csv</t>
  </si>
  <si>
    <t>Calculated only from reported masses.</t>
  </si>
  <si>
    <t>centrifuge.digestate.water_to_solid_fraction</t>
  </si>
  <si>
    <t>centrifuge.digestate.mass_to_solid_fraction</t>
  </si>
  <si>
    <t>centrifuge.digestate.component.TN</t>
  </si>
  <si>
    <t>Outlet flows are needed to convert concentration into capture.</t>
  </si>
  <si>
    <t>centrifuge.digestate.component.NH4-N</t>
  </si>
  <si>
    <t>centrifuge.digestate.component.organic_N</t>
  </si>
  <si>
    <t>centrifuge.digestate.component.TP</t>
  </si>
  <si>
    <t>centrifuge.digestate.component.total_sulphur</t>
  </si>
  <si>
    <t>CEN-C1</t>
  </si>
  <si>
    <t>centrifuge.alfalfa.white_protein_preservation</t>
  </si>
  <si>
    <t>two-stage decanter plus disc-stack</t>
  </si>
  <si>
    <t>Stored as a lower bound because source states over 80%.</t>
  </si>
  <si>
    <t>centrifuge.digestate.max_phosphorus_separation</t>
  </si>
  <si>
    <t>decanter centrifugation</t>
  </si>
  <si>
    <t>Do not use as default capture.</t>
  </si>
  <si>
    <t>CEN-C1/CEN-S1/CEN-D1</t>
  </si>
  <si>
    <t>centrifuge.capture.required.clarification_efficiency</t>
  </si>
  <si>
    <t>centrifugation</t>
  </si>
  <si>
    <t>No matched value found; blank is intentional.</t>
  </si>
  <si>
    <t>centrifuge.capture.required.protein_loss_exact</t>
  </si>
  <si>
    <t>centrifuge.capture.required.cake_moisture_green_protein</t>
  </si>
  <si>
    <t>centrifuge.capture.required.centrate_turbidity</t>
  </si>
  <si>
    <t>centrifuge.capture.required.particle_size_class_capture</t>
  </si>
  <si>
    <t>centrifuge_dynamic_performance.csv</t>
  </si>
  <si>
    <t>centrifuge.dynamic.solids_inventory_balance</t>
  </si>
  <si>
    <t>solids_inventory_balance</t>
  </si>
  <si>
    <t>Greenhub/data/Centrifuge/centrifuge_dynamic_performance.csv</t>
  </si>
  <si>
    <t>No source-fitted overload, accumulation or cleaning interval parameters found.</t>
  </si>
  <si>
    <t>centrifuge.dynamic.decanter_torque_response</t>
  </si>
  <si>
    <t>decanter_torque_response</t>
  </si>
  <si>
    <t>centrifuge.dynamic.clarification_breakthrough</t>
  </si>
  <si>
    <t>clarification_breakthrough</t>
  </si>
  <si>
    <t>centrifuge.dynamic.hydrocyclone_pressure_response</t>
  </si>
  <si>
    <t>hydrocyclone_pressure_response</t>
  </si>
  <si>
    <t>centrifuge_equipment_costs.csv</t>
  </si>
  <si>
    <t>centrifuge.cost.decanter_2tph</t>
  </si>
  <si>
    <t>decanter centrifuge</t>
  </si>
  <si>
    <t>Greenhub/data/Centrifuge/centrifuge_equipment_costs.csv</t>
  </si>
  <si>
    <t>Some entries include installation/PLC; bare equipment cost could not be isolated.</t>
  </si>
  <si>
    <t>centrifuge.cost.decanter_5tph</t>
  </si>
  <si>
    <t>centrifuge.cost.decanter_7tph</t>
  </si>
  <si>
    <t>centrifuge.cost.decanter_8tph</t>
  </si>
  <si>
    <t>centrifuge.cost.decanter_12tph</t>
  </si>
  <si>
    <t>centrifuge.cost.decanter_15tph</t>
  </si>
  <si>
    <t>centrifuge.cost.decanter_20tph</t>
  </si>
  <si>
    <t>centrifuge.cost.decanter_30tph</t>
  </si>
  <si>
    <t>centrifuge.cost.decanter_50tph</t>
  </si>
  <si>
    <t>centrifuge.cost.decanter_90tph</t>
  </si>
  <si>
    <t>centrifuge.cost.polymer_dosing_unit</t>
  </si>
  <si>
    <t>polymer dosing unit</t>
  </si>
  <si>
    <t>Lower bound stored; full range in cost basis.</t>
  </si>
  <si>
    <t>centrifuge.cost.used_mab206</t>
  </si>
  <si>
    <t>disc-stack centrifuge</t>
  </si>
  <si>
    <t>manufacturer-reported</t>
  </si>
  <si>
    <t>Excludes freight, refurbishment, controls and certification.</t>
  </si>
  <si>
    <t>CEN-D1/CEN-S1/CEN-H1</t>
  </si>
  <si>
    <t>centrifuge.cost.required.new_disc_stack_quote_EU</t>
  </si>
  <si>
    <t>centrifugal separation</t>
  </si>
  <si>
    <t>No defensible value available; scaling exponent remains blank.</t>
  </si>
  <si>
    <t>centrifuge.cost.required.new_decanter_quote_Netherlands</t>
  </si>
  <si>
    <t>centrifuge.cost.required.hydrocyclone_installed_cost</t>
  </si>
  <si>
    <t>centrifuge.cost.required.validated_scaling_exponent</t>
  </si>
  <si>
    <t>centrifuge_feed_rheology.csv</t>
  </si>
  <si>
    <t>centrifuge.feed.input_digestate.feed_solids</t>
  </si>
  <si>
    <t>digestate centrifugation</t>
  </si>
  <si>
    <t>Greenhub/data/Centrifuge/centrifuge_feed_rheology.csv</t>
  </si>
  <si>
    <t>Direct industrial digestate observation.</t>
  </si>
  <si>
    <t>centrifuge.feed.input_digestate.suspended_solids</t>
  </si>
  <si>
    <t>centrifuge.feed.liquid_fraction.feed_solids</t>
  </si>
  <si>
    <t>centrifuge.feed.liquid_fraction.suspended_solids</t>
  </si>
  <si>
    <t>centrifuge.feed.solid_fraction.feed_solids</t>
  </si>
  <si>
    <t>CEN-L1/CEN-D1/CEN-S1/CEN-H1</t>
  </si>
  <si>
    <t>centrifuge.feed.required.density</t>
  </si>
  <si>
    <t>No matched target-feed value found; blank is intentional.</t>
  </si>
  <si>
    <t>centrifuge.feed.required.dynamic_viscosity</t>
  </si>
  <si>
    <t>centrifuge.feed.required.apparent_viscosity</t>
  </si>
  <si>
    <t>centrifuge.feed.required.shear_rate</t>
  </si>
  <si>
    <t>centrifuge.feed.required.rheology_model</t>
  </si>
  <si>
    <t>centrifuge.feed.required.yield_stress</t>
  </si>
  <si>
    <t>centrifuge.feed.required.particle_size_d10</t>
  </si>
  <si>
    <t>centrifuge.feed.required.particle_size_d50</t>
  </si>
  <si>
    <t>centrifuge.feed.required.particle_size_d90</t>
  </si>
  <si>
    <t>centrifuge.feed.required.particle_density</t>
  </si>
  <si>
    <t>centrifuge_geometry_and_operation.csv</t>
  </si>
  <si>
    <t>CEN-L1</t>
  </si>
  <si>
    <t>centrifuge.lab_alfalfa.g_force</t>
  </si>
  <si>
    <t>protein precipitate recovery</t>
  </si>
  <si>
    <t>Greenhub/data/Centrifuge/centrifuge_geometry_and_operation.csv</t>
  </si>
  <si>
    <t>Laboratory protocol only; not industrial throughput or performance.</t>
  </si>
  <si>
    <t>centrifuge.lab_alfalfa.residence_time</t>
  </si>
  <si>
    <t>centrifuge.lab_alfalfa.temperature</t>
  </si>
  <si>
    <t>centrifuge.equipment.dec-avnx4055.primary_rating</t>
  </si>
  <si>
    <t>centrifuge equipment</t>
  </si>
  <si>
    <t>No GreenHub separation response is implied.</t>
  </si>
  <si>
    <t>centrifuge.equipment.dec-mrnx414.primary_rating</t>
  </si>
  <si>
    <t>centrifuge.equipment.ds-vnpx410.primary_rating</t>
  </si>
  <si>
    <t>centrifuge.equipment.ds-swpx810.primary_rating</t>
  </si>
  <si>
    <t>centrifuge.equipment.ds-mab103.primary_rating</t>
  </si>
  <si>
    <t>centrifuge.geometry.required.sigma_factor</t>
  </si>
  <si>
    <t>Do not infer proprietary geometry or torque limits from motor power.</t>
  </si>
  <si>
    <t>centrifuge.geometry.required.bowl_length</t>
  </si>
  <si>
    <t>centrifuge.geometry.required.cone_angle</t>
  </si>
  <si>
    <t>centrifuge.geometry.required.disc_number</t>
  </si>
  <si>
    <t>centrifuge.geometry.required.disc_angle</t>
  </si>
  <si>
    <t>centrifuge.geometry.required.inner_radius</t>
  </si>
  <si>
    <t>centrifuge.geometry.required.outer_radius</t>
  </si>
  <si>
    <t>centrifuge.geometry.required.differential_speed</t>
  </si>
  <si>
    <t>centrifuge.geometry.required.torque</t>
  </si>
  <si>
    <t>centrifuge.geometry.required.residence_time</t>
  </si>
  <si>
    <t>centrifuge_scenario_controller.csv</t>
  </si>
  <si>
    <t>CEN-0</t>
  </si>
  <si>
    <t>No centrifugal separation</t>
  </si>
  <si>
    <t>bypass</t>
  </si>
  <si>
    <t>ready</t>
  </si>
  <si>
    <t>Greenhub/data/Centrifuge/centrifuge_scenario_controller.csv</t>
  </si>
  <si>
    <t>Baseline.</t>
  </si>
  <si>
    <t>Laboratory centrifugation</t>
  </si>
  <si>
    <t>laboratory centrifuge</t>
  </si>
  <si>
    <t>protocol_ready</t>
  </si>
  <si>
    <t>For GreenHub lab tests.</t>
  </si>
  <si>
    <t>Industrial decanter</t>
  </si>
  <si>
    <t>solid-bowl scroll decanter</t>
  </si>
  <si>
    <t>partial</t>
  </si>
  <si>
    <t>High-solids option.</t>
  </si>
  <si>
    <t>Industrial disc-stack</t>
  </si>
  <si>
    <t>Fine clarification.</t>
  </si>
  <si>
    <t>Two-stage decanter plus disc-stack</t>
  </si>
  <si>
    <t>decanter + disc-stack</t>
  </si>
  <si>
    <t>response_partial</t>
  </si>
  <si>
    <t>Candidate GreenHub sequence.</t>
  </si>
  <si>
    <t>Hydrocyclone pre-clarifier</t>
  </si>
  <si>
    <t>hydrocyclone</t>
  </si>
  <si>
    <t>structure_only</t>
  </si>
  <si>
    <t>Optional guarded scenario.</t>
  </si>
  <si>
    <t>Pre-treatment</t>
  </si>
  <si>
    <t>Mechanical</t>
  </si>
  <si>
    <t>PT1</t>
  </si>
  <si>
    <t>Greenhub/data/Pre-treatment/Mechanical/assumption_and_missing_data_register.csv</t>
  </si>
  <si>
    <t>PT2</t>
  </si>
  <si>
    <t>PT3</t>
  </si>
  <si>
    <t>PT4</t>
  </si>
  <si>
    <t>PT1/PT2/PT3</t>
  </si>
  <si>
    <t>mechanical.models.eq_mech_001</t>
  </si>
  <si>
    <t>mechanical pretreatment</t>
  </si>
  <si>
    <t>Greenhub/data/Pre-treatment/Mechanical/mechanical_dynamic_models.csv</t>
  </si>
  <si>
    <t>Not validated for wet fibrous green biomass; K_K must be experimentally fitted.</t>
  </si>
  <si>
    <t>mechanical.models.eq_mech_002</t>
  </si>
  <si>
    <t>Not validated for wet fibrous green biomass; surface creation assumptions may be inappropriate.</t>
  </si>
  <si>
    <t>mechanical.models.eq_mech_003</t>
  </si>
  <si>
    <t>Bond work-index methods are mineral-milling models and should not be transferred directly to fresh grass.</t>
  </si>
  <si>
    <t>PT1-PT4</t>
  </si>
  <si>
    <t>mechanical.models.eq_mech_004</t>
  </si>
  <si>
    <t>Use net treatment power (loaded minus idle) and explicitly state wet- or dry-mass basis.</t>
  </si>
  <si>
    <t>mechanical.models.eq_mech_005</t>
  </si>
  <si>
    <t>Requires measured or sourced cp and dissipation fraction; overpredicts rise when heat is removed.</t>
  </si>
  <si>
    <t>mechanical.models.eq_mech_006</t>
  </si>
  <si>
    <t>Does not represent the residence-time distribution or recirculation.</t>
  </si>
  <si>
    <t>mechanical.models.eq_mech_007</t>
  </si>
  <si>
    <t>Assumption structure only; Y_inf and k must remain blank until fitted to measured or source data.</t>
  </si>
  <si>
    <t>mechanical.pt1.equipment_model</t>
  </si>
  <si>
    <t>chopper</t>
  </si>
  <si>
    <t>Greenhub/data/Pre-treatment/Mechanical/mechanical_equipment_parameters.csv</t>
  </si>
  <si>
    <t>Biomass cut during harvest.</t>
  </si>
  <si>
    <t>Stationary cutter at demonstration plant.</t>
  </si>
  <si>
    <t>mechanical.pt2.equipment_model</t>
  </si>
  <si>
    <t>shredder</t>
  </si>
  <si>
    <t>Produces a homogeneous suspension after mixing biomass with water or recycled green juice.</t>
  </si>
  <si>
    <t>mechanical.pt3.equipment_model</t>
  </si>
  <si>
    <t>wet mill</t>
  </si>
  <si>
    <t>Severe wet maceration route.</t>
  </si>
  <si>
    <t>deflaker/refiner</t>
  </si>
  <si>
    <t>mechanical.pt4.equipment_model</t>
  </si>
  <si>
    <t>colloid mill / high-shear homogenizer</t>
  </si>
  <si>
    <t>Wet-food proxy; not tested on fresh grass in cited source.</t>
  </si>
  <si>
    <t>mechanical.pt4.motor_power</t>
  </si>
  <si>
    <t>high-shear homogenization</t>
  </si>
  <si>
    <t>Not validated for fibrous fresh grass; potential plugging and preprocessing constraints require testing.</t>
  </si>
  <si>
    <t>mechanical.pt4.capacity</t>
  </si>
  <si>
    <t>mechanical.pt4.max_pressure</t>
  </si>
  <si>
    <t>mechanical.pt3.gld360.motor_power_min</t>
  </si>
  <si>
    <t>deflaking/refining</t>
  </si>
  <si>
    <t>Proxy for the Labyrinta Deflaker 360B used in the fresh-biomass trial; model equivalence is not established.</t>
  </si>
  <si>
    <t>mechanical.pt3.gld360.motor_power_max</t>
  </si>
  <si>
    <t>mechanical.pt3.gld360.dimension_a</t>
  </si>
  <si>
    <t>mechanical.pt3.gld360.dimension_b</t>
  </si>
  <si>
    <t>mechanical.pt3.gld360.dimension_c</t>
  </si>
  <si>
    <t>PT0-PT4</t>
  </si>
  <si>
    <t>downstream_press.cp_4.screw_speed</t>
  </si>
  <si>
    <t>downstream screw pressing</t>
  </si>
  <si>
    <t>Included to parameterize downstream response after mechanical pretreatment, not as a pretreatment unit.</t>
  </si>
  <si>
    <t>downstream_press.cp_4.motor_power</t>
  </si>
  <si>
    <t>downstream_press.cp_4.capacity_min</t>
  </si>
  <si>
    <t>downstream_press.cp_4.capacity_max</t>
  </si>
  <si>
    <t>downstream_press.cp_6.screw_speed</t>
  </si>
  <si>
    <t>downstream_press.cp_6.motor_power</t>
  </si>
  <si>
    <t>downstream_press.cp_6.capacity_min</t>
  </si>
  <si>
    <t>downstream_press.cp_6.capacity_max</t>
  </si>
  <si>
    <t>downstream_press.cp_10.screw_speed</t>
  </si>
  <si>
    <t>downstream_press.cp_10.motor_power</t>
  </si>
  <si>
    <t>downstream_press.cp_10.capacity_min</t>
  </si>
  <si>
    <t>downstream_press.cp_10.capacity_max</t>
  </si>
  <si>
    <t>downstream_press.cp_12.screw_speed</t>
  </si>
  <si>
    <t>downstream_press.cp_12.motor_power</t>
  </si>
  <si>
    <t>downstream_press.cp_12.capacity_min</t>
  </si>
  <si>
    <t>downstream_press.cp_12.capacity_max</t>
  </si>
  <si>
    <t>mechanical.pt1.purchase_price_eu_nl</t>
  </si>
  <si>
    <t>equipment costing</t>
  </si>
  <si>
    <t>No defensible public EU/NL quotation tied to the cited equipment model and delivery scope was found. Obtain a dated vendor quotation; do not use a marketplace listing as a purchased-equipment cost.</t>
  </si>
  <si>
    <t>mechanical.pt1.scaling_exponent</t>
  </si>
  <si>
    <t>mechanical.pt2.purchase_price_eu_nl</t>
  </si>
  <si>
    <t>mechanical.pt2.scaling_exponent</t>
  </si>
  <si>
    <t>mechanical.pt3.purchase_price_eu_nl</t>
  </si>
  <si>
    <t>mechanical.pt3.scaling_exponent</t>
  </si>
  <si>
    <t>mechanical.pt4.purchase_price_eu_nl</t>
  </si>
  <si>
    <t>mechanical.pt4.scaling_exponent</t>
  </si>
  <si>
    <t>mechanical.feed.festulolium.moisture_wb</t>
  </si>
  <si>
    <t>mechanical maceration feed characterization</t>
  </si>
  <si>
    <t>Greenhub/data/Pre-treatment/Mechanical/mechanical_particle_size_response.csv</t>
  </si>
  <si>
    <t>Calculated directly from reported dry matter 16.6% FM; no particle size distribution was reported.</t>
  </si>
  <si>
    <t>mechanical.feed.perennial_ryegrass.moisture_wb</t>
  </si>
  <si>
    <t>Calculated directly from reported dry matter 17.5% FM; no particle size distribution was reported.</t>
  </si>
  <si>
    <t>mechanical.feed.grass_clover.moisture_wb</t>
  </si>
  <si>
    <t>Calculated directly from reported dry matter 21.0% FM; no particle size distribution was reported.</t>
  </si>
  <si>
    <t>mechanical.feed.lucerne.moisture_wb</t>
  </si>
  <si>
    <t>Calculated directly from reported dry matter 18.0% FM; no particle size distribution was reported.</t>
  </si>
  <si>
    <t>mechanical.feed.red_clover.moisture_wb</t>
  </si>
  <si>
    <t>Calculated directly from reported dry matter 18.7% FM; no particle size distribution was reported.</t>
  </si>
  <si>
    <t>mechanical.feed.white_clover.moisture_wb</t>
  </si>
  <si>
    <t>Calculated directly from reported dry matter 19.2% FM; no particle size distribution was reported.</t>
  </si>
  <si>
    <t>mechanical.pt1.initial_particle_size_distribution</t>
  </si>
  <si>
    <t>The reviewed directly relevant fresh-biomass report did not provide a numeric table for this metric. Dedicated measurements or a source with tabulated data are required.</t>
  </si>
  <si>
    <t>mechanical.pt1.final_particle_size_distribution</t>
  </si>
  <si>
    <t>mechanical.pt1.temperature_increase</t>
  </si>
  <si>
    <t>mechanical.pt1.specific_energy</t>
  </si>
  <si>
    <t>mechanical.pt2.initial_particle_size_distribution</t>
  </si>
  <si>
    <t>mechanical.pt2.final_particle_size_distribution</t>
  </si>
  <si>
    <t>mechanical.pt2.temperature_increase</t>
  </si>
  <si>
    <t>mechanical.pt2.specific_energy</t>
  </si>
  <si>
    <t>mechanical.pt3.initial_particle_size_distribution</t>
  </si>
  <si>
    <t>mechanical.pt3.final_particle_size_distribution</t>
  </si>
  <si>
    <t>mechanical.pt3.temperature_increase</t>
  </si>
  <si>
    <t>mechanical.pt3.specific_energy</t>
  </si>
  <si>
    <t>mechanical.pt4.initial_particle_size_distribution</t>
  </si>
  <si>
    <t>mechanical.pt4.final_particle_size_distribution</t>
  </si>
  <si>
    <t>mechanical.pt4.temperature_increase</t>
  </si>
  <si>
    <t>mechanical.pt4.specific_energy</t>
  </si>
  <si>
    <t>mechanical.in_field.festulolium.fiber_press_cake.dry_matter_content</t>
  </si>
  <si>
    <t>maceration followed by screw pressing and protein separation</t>
  </si>
  <si>
    <t>Greenhub/data/Pre-treatment/Mechanical/mechanical_release_performance.csv</t>
  </si>
  <si>
    <t>Measured product composition; this is not a direct juice-yield value.</t>
  </si>
  <si>
    <t>mechanical.in_field.festulolium.protein_concentrate.dry_matter_content</t>
  </si>
  <si>
    <t>mechanical.in_field.festulolium.fiber_press_cake.crude_protein_content</t>
  </si>
  <si>
    <t>mechanical.in_field.festulolium.protein_concentrate.crude_protein_content</t>
  </si>
  <si>
    <t>mechanical.in_field.festulolium.fiber_press_cake.ash_content</t>
  </si>
  <si>
    <t>mechanical.in_field.festulolium.protein_concentrate.ash_content</t>
  </si>
  <si>
    <t>mechanical.stationary.festulolium.fiber_press_cake.dry_matter_content</t>
  </si>
  <si>
    <t>mechanical.stationary.festulolium.protein_concentrate.dry_matter_content</t>
  </si>
  <si>
    <t>mechanical.stationary.festulolium.fiber_press_cake.crude_protein_content</t>
  </si>
  <si>
    <t>mechanical.stationary.festulolium.protein_concentrate.crude_protein_content</t>
  </si>
  <si>
    <t>mechanical.stationary.festulolium.fiber_press_cake.ash_content</t>
  </si>
  <si>
    <t>mechanical.stationary.festulolium.protein_concentrate.ash_content</t>
  </si>
  <si>
    <t>mechanical.disruptor.festulolium.fiber_press_cake.dry_matter_content</t>
  </si>
  <si>
    <t>mechanical.disruptor.festulolium.protein_concentrate.dry_matter_content</t>
  </si>
  <si>
    <t>mechanical.disruptor.festulolium.fiber_press_cake.crude_protein_content</t>
  </si>
  <si>
    <t>mechanical.disruptor.festulolium.protein_concentrate.crude_protein_content</t>
  </si>
  <si>
    <t>mechanical.disruptor.festulolium.fiber_press_cake.ash_content</t>
  </si>
  <si>
    <t>mechanical.disruptor.festulolium.protein_concentrate.ash_content</t>
  </si>
  <si>
    <t>mechanical.deflaker.festulolium.fiber_press_cake.dry_matter_content</t>
  </si>
  <si>
    <t>mechanical.deflaker.festulolium.protein_concentrate.dry_matter_content</t>
  </si>
  <si>
    <t>mechanical.deflaker.festulolium.fiber_press_cake.crude_protein_content</t>
  </si>
  <si>
    <t>mechanical.deflaker.festulolium.protein_concentrate.crude_protein_content</t>
  </si>
  <si>
    <t>mechanical.deflaker.festulolium.fiber_press_cake.ash_content</t>
  </si>
  <si>
    <t>mechanical.deflaker.festulolium.protein_concentrate.ash_content</t>
  </si>
  <si>
    <t>mechanical.in_field.ryegrass.fiber_press_cake.dry_matter_content</t>
  </si>
  <si>
    <t>mechanical.in_field.ryegrass.protein_concentrate.dry_matter_content</t>
  </si>
  <si>
    <t>mechanical.in_field.ryegrass.fiber_press_cake.crude_protein_content</t>
  </si>
  <si>
    <t>mechanical.in_field.ryegrass.protein_concentrate.crude_protein_content</t>
  </si>
  <si>
    <t>mechanical.in_field.ryegrass.fiber_press_cake.ash_content</t>
  </si>
  <si>
    <t>mechanical.in_field.ryegrass.protein_concentrate.ash_content</t>
  </si>
  <si>
    <t>mechanical.stationary.ryegrass.fiber_press_cake.dry_matter_content</t>
  </si>
  <si>
    <t>mechanical.stationary.ryegrass.protein_concentrate.dry_matter_content</t>
  </si>
  <si>
    <t>mechanical.stationary.ryegrass.fiber_press_cake.crude_protein_content</t>
  </si>
  <si>
    <t>mechanical.stationary.ryegrass.protein_concentrate.crude_protein_content</t>
  </si>
  <si>
    <t>mechanical.stationary.ryegrass.fiber_press_cake.ash_content</t>
  </si>
  <si>
    <t>mechanical.stationary.ryegrass.protein_concentrate.ash_content</t>
  </si>
  <si>
    <t>mechanical.disruptor.ryegrass.fiber_press_cake.dry_matter_content</t>
  </si>
  <si>
    <t>mechanical.disruptor.ryegrass.protein_concentrate.dry_matter_content</t>
  </si>
  <si>
    <t>mechanical.disruptor.ryegrass.fiber_press_cake.crude_protein_content</t>
  </si>
  <si>
    <t>mechanical.disruptor.ryegrass.protein_concentrate.crude_protein_content</t>
  </si>
  <si>
    <t>mechanical.disruptor.ryegrass.fiber_press_cake.ash_content</t>
  </si>
  <si>
    <t>mechanical.disruptor.ryegrass.protein_concentrate.ash_content</t>
  </si>
  <si>
    <t>mechanical.deflaker.ryegrass.fiber_press_cake.dry_matter_content</t>
  </si>
  <si>
    <t>mechanical.deflaker.ryegrass.protein_concentrate.dry_matter_content</t>
  </si>
  <si>
    <t>mechanical.deflaker.ryegrass.fiber_press_cake.crude_protein_content</t>
  </si>
  <si>
    <t>mechanical.deflaker.ryegrass.protein_concentrate.crude_protein_content</t>
  </si>
  <si>
    <t>mechanical.deflaker.ryegrass.fiber_press_cake.ash_content</t>
  </si>
  <si>
    <t>mechanical.deflaker.ryegrass.protein_concentrate.ash_content</t>
  </si>
  <si>
    <t>mechanical.stationary.red_clover.fiber_press_cake.dry_matter_content</t>
  </si>
  <si>
    <t>mechanical.stationary.red_clover.protein_concentrate.dry_matter_content</t>
  </si>
  <si>
    <t>mechanical.stationary.red_clover.fiber_press_cake.crude_protein_content</t>
  </si>
  <si>
    <t>mechanical.stationary.red_clover.protein_concentrate.crude_protein_content</t>
  </si>
  <si>
    <t>mechanical.stationary.red_clover.fiber_press_cake.ash_content</t>
  </si>
  <si>
    <t>mechanical.stationary.red_clover.protein_concentrate.ash_content</t>
  </si>
  <si>
    <t>mechanical.stationary.white_clover.fiber_press_cake.dry_matter_content</t>
  </si>
  <si>
    <t>mechanical.stationary.white_clover.protein_concentrate.dry_matter_content</t>
  </si>
  <si>
    <t>mechanical.stationary.white_clover.fiber_press_cake.crude_protein_content</t>
  </si>
  <si>
    <t>mechanical.stationary.white_clover.protein_concentrate.crude_protein_content</t>
  </si>
  <si>
    <t>mechanical.stationary.white_clover.fiber_press_cake.ash_content</t>
  </si>
  <si>
    <t>mechanical.stationary.white_clover.protein_concentrate.ash_content</t>
  </si>
  <si>
    <t>mechanical.deflaker.white_clover.fiber_press_cake.dry_matter_content</t>
  </si>
  <si>
    <t>mechanical.deflaker.white_clover.protein_concentrate.dry_matter_content</t>
  </si>
  <si>
    <t>mechanical.deflaker.white_clover.fiber_press_cake.crude_protein_content</t>
  </si>
  <si>
    <t>mechanical.deflaker.white_clover.protein_concentrate.crude_protein_content</t>
  </si>
  <si>
    <t>mechanical.deflaker.white_clover.fiber_press_cake.ash_content</t>
  </si>
  <si>
    <t>mechanical.deflaker.white_clover.protein_concentrate.ash_content</t>
  </si>
  <si>
    <t>mechanical.stationary.lucerne.fiber_press_cake.dry_matter_content</t>
  </si>
  <si>
    <t>mechanical.stationary.lucerne.protein_concentrate.dry_matter_content</t>
  </si>
  <si>
    <t>mechanical.stationary.lucerne.fiber_press_cake.crude_protein_content</t>
  </si>
  <si>
    <t>mechanical.stationary.lucerne.protein_concentrate.crude_protein_content</t>
  </si>
  <si>
    <t>mechanical.stationary.lucerne.fiber_press_cake.ash_content</t>
  </si>
  <si>
    <t>mechanical.stationary.lucerne.protein_concentrate.ash_content</t>
  </si>
  <si>
    <t>mechanical.deflaker.lucerne.fiber_press_cake.dry_matter_content</t>
  </si>
  <si>
    <t>mechanical.deflaker.lucerne.protein_concentrate.dry_matter_content</t>
  </si>
  <si>
    <t>mechanical.deflaker.lucerne.fiber_press_cake.crude_protein_content</t>
  </si>
  <si>
    <t>mechanical.deflaker.lucerne.protein_concentrate.crude_protein_content</t>
  </si>
  <si>
    <t>mechanical.deflaker.lucerne.fiber_press_cake.ash_content</t>
  </si>
  <si>
    <t>mechanical.deflaker.lucerne.protein_concentrate.ash_content</t>
  </si>
  <si>
    <t>mechanical.in_field.grass_clover.fiber_press_cake.dry_matter_content</t>
  </si>
  <si>
    <t>mechanical.in_field.grass_clover.protein_concentrate.dry_matter_content</t>
  </si>
  <si>
    <t>mechanical.in_field.grass_clover.fiber_press_cake.crude_protein_content</t>
  </si>
  <si>
    <t>mechanical.in_field.grass_clover.protein_concentrate.crude_protein_content</t>
  </si>
  <si>
    <t>mechanical.in_field.grass_clover.fiber_press_cake.ash_content</t>
  </si>
  <si>
    <t>mechanical.in_field.grass_clover.protein_concentrate.ash_content</t>
  </si>
  <si>
    <t>mechanical.stationary.grass_clover.fiber_press_cake.dry_matter_content</t>
  </si>
  <si>
    <t>mechanical.stationary.grass_clover.protein_concentrate.dry_matter_content</t>
  </si>
  <si>
    <t>mechanical.stationary.grass_clover.fiber_press_cake.crude_protein_content</t>
  </si>
  <si>
    <t>mechanical.stationary.grass_clover.protein_concentrate.crude_protein_content</t>
  </si>
  <si>
    <t>mechanical.stationary.grass_clover.fiber_press_cake.ash_content</t>
  </si>
  <si>
    <t>mechanical.stationary.grass_clover.protein_concentrate.ash_content</t>
  </si>
  <si>
    <t>mechanical.disruptor.grass_clover.fiber_press_cake.dry_matter_content</t>
  </si>
  <si>
    <t>mechanical.disruptor.grass_clover.protein_concentrate.dry_matter_content</t>
  </si>
  <si>
    <t>mechanical.disruptor.grass_clover.fiber_press_cake.crude_protein_content</t>
  </si>
  <si>
    <t>mechanical.disruptor.grass_clover.protein_concentrate.crude_protein_content</t>
  </si>
  <si>
    <t>mechanical.disruptor.grass_clover.fiber_press_cake.ash_content</t>
  </si>
  <si>
    <t>mechanical.disruptor.grass_clover.protein_concentrate.ash_content</t>
  </si>
  <si>
    <t>mechanical.deflaker.grass_clover.fiber_press_cake.dry_matter_content</t>
  </si>
  <si>
    <t>mechanical.deflaker.grass_clover.protein_concentrate.dry_matter_content</t>
  </si>
  <si>
    <t>mechanical.deflaker.grass_clover.fiber_press_cake.crude_protein_content</t>
  </si>
  <si>
    <t>mechanical.deflaker.grass_clover.protein_concentrate.crude_protein_content</t>
  </si>
  <si>
    <t>mechanical.deflaker.grass_clover.fiber_press_cake.ash_content</t>
  </si>
  <si>
    <t>mechanical.deflaker.grass_clover.protein_concentrate.ash_content</t>
  </si>
  <si>
    <t>mechanical.deflaker.red_clover.cp_to_protein_concentrate</t>
  </si>
  <si>
    <t>maceration, pressing, heat precipitation and separation</t>
  </si>
  <si>
    <t>Overall process recovery to protein concentrate, not mechanical release into green juice alone.</t>
  </si>
  <si>
    <t>mechanical.deflaker.festulolium.cp_to_protein_concentrate</t>
  </si>
  <si>
    <t>mechanical.deflaker.lucerne.cp_to_protein_concentrate</t>
  </si>
  <si>
    <t>mechanical.deflaker.ryegrass.cp_to_protein_concentrate</t>
  </si>
  <si>
    <t>mechanical.disruptor.festulolium.cp_to_protein_concentrate</t>
  </si>
  <si>
    <t>PT0</t>
  </si>
  <si>
    <t>mechanical.pt0.juice_yield</t>
  </si>
  <si>
    <t>mechanical pretreatment and downstream separation</t>
  </si>
  <si>
    <t>No exact tabulated value meeting the traceability rules was identified in the directly reviewed sources. Do not infer it from figures or overall protein-concentrate recovery.</t>
  </si>
  <si>
    <t>mechanical.pt0.soluble_protein_release</t>
  </si>
  <si>
    <t>mechanical.pt0.sugar_release</t>
  </si>
  <si>
    <t>mechanical.pt0.solids_release</t>
  </si>
  <si>
    <t>mechanical.pt0.fibre_recovery</t>
  </si>
  <si>
    <t>mechanical.pt0.centrifugation_response</t>
  </si>
  <si>
    <t>mechanical.pt1.juice_yield</t>
  </si>
  <si>
    <t>mechanical.pt1.soluble_protein_release</t>
  </si>
  <si>
    <t>mechanical.pt1.sugar_release</t>
  </si>
  <si>
    <t>mechanical.pt1.solids_release</t>
  </si>
  <si>
    <t>mechanical.pt1.fibre_recovery</t>
  </si>
  <si>
    <t>mechanical.pt1.centrifugation_response</t>
  </si>
  <si>
    <t>mechanical.pt2.juice_yield</t>
  </si>
  <si>
    <t>mechanical.pt2.soluble_protein_release</t>
  </si>
  <si>
    <t>mechanical.pt2.sugar_release</t>
  </si>
  <si>
    <t>mechanical.pt2.solids_release</t>
  </si>
  <si>
    <t>mechanical.pt2.fibre_recovery</t>
  </si>
  <si>
    <t>mechanical.pt2.centrifugation_response</t>
  </si>
  <si>
    <t>mechanical.pt3.juice_yield</t>
  </si>
  <si>
    <t>mechanical.pt3.soluble_protein_release</t>
  </si>
  <si>
    <t>mechanical.pt3.sugar_release</t>
  </si>
  <si>
    <t>mechanical.pt3.solids_release</t>
  </si>
  <si>
    <t>mechanical.pt3.fibre_recovery</t>
  </si>
  <si>
    <t>mechanical.pt3.centrifugation_response</t>
  </si>
  <si>
    <t>mechanical.pt4.juice_yield</t>
  </si>
  <si>
    <t>mechanical.pt4.soluble_protein_release</t>
  </si>
  <si>
    <t>mechanical.pt4.sugar_release</t>
  </si>
  <si>
    <t>mechanical.pt4.solids_release</t>
  </si>
  <si>
    <t>mechanical.pt4.fibre_recovery</t>
  </si>
  <si>
    <t>mechanical.pt4.centrifugation_response</t>
  </si>
  <si>
    <t>No pretreatment</t>
  </si>
  <si>
    <t>implemented_structure; calibration_missing</t>
  </si>
  <si>
    <t>Greenhub/data/Pre-treatment/Mechanical/mechanical_scenario_controller.csv</t>
  </si>
  <si>
    <t>Reference scenario.</t>
  </si>
  <si>
    <t>Chopping</t>
  </si>
  <si>
    <t>in-field or stationary cutter</t>
  </si>
  <si>
    <t>direct fresh-biomass evidence; incomplete dynamics</t>
  </si>
  <si>
    <t>Includes in-field and stationary cutting.</t>
  </si>
  <si>
    <t>Maceration</t>
  </si>
  <si>
    <t>shredder/macerator</t>
  </si>
  <si>
    <t>equipment identity direct; quantitative response missing</t>
  </si>
  <si>
    <t>RotaCut-type suspension maceration.</t>
  </si>
  <si>
    <t>Milling or refining</t>
  </si>
  <si>
    <t>wet mill or deflaker</t>
  </si>
  <si>
    <t>direct demonstration evidence for product composition and CP recovery</t>
  </si>
  <si>
    <t>DisRuptor or Deflaker route.</t>
  </si>
  <si>
    <t>High-shear homogenization</t>
  </si>
  <si>
    <t>colloid mill / rotor-stator homogenizer</t>
  </si>
  <si>
    <t>proxy equipment only</t>
  </si>
  <si>
    <t>Fresh grass may require pre-chopping and dilution.</t>
  </si>
  <si>
    <t>PEF_Ultrasound</t>
  </si>
  <si>
    <t>PT-PEF1</t>
  </si>
  <si>
    <t>Greenhub/data/Pre-treatment/PEF_Ultrasound/assumption_and_missing_data_register.csv</t>
  </si>
  <si>
    <t>PT-PEF1/PT-PEF2</t>
  </si>
  <si>
    <t>PT-US1</t>
  </si>
  <si>
    <t>PT-US1/PT-US2</t>
  </si>
  <si>
    <t>PT-PEF0</t>
  </si>
  <si>
    <t>pef.pef_alf_ctrl.electric_field_strength</t>
  </si>
  <si>
    <t>none</t>
  </si>
  <si>
    <t>Greenhub/data/Pre-treatment/PEF_Ultrasound/pef_operating_parameters.csv</t>
  </si>
  <si>
    <t>No PEF; pressing at 2 and 4 MPa. Control condition.</t>
  </si>
  <si>
    <t>pef.pef_alf_ctrl.pulse_number</t>
  </si>
  <si>
    <t>No PEF; pressing at 2 and 4 MPa.</t>
  </si>
  <si>
    <t>pef.pef_alf_ctrl.frequency</t>
  </si>
  <si>
    <t>pef.pef_alf_ctrl.sample_mass</t>
  </si>
  <si>
    <t>pef.pef_alf_s1.electric_field_strength</t>
  </si>
  <si>
    <t>PEF before first pressing</t>
  </si>
  <si>
    <t>6 kV across 40 mm electrode gap. Electric field calculated as applied voltage divided by electrode gap; both values are source-reported.</t>
  </si>
  <si>
    <t>pef.pef_alf_s1.pulse_number</t>
  </si>
  <si>
    <t>6 kV across 40 mm electrode gap.</t>
  </si>
  <si>
    <t>pef.pef_alf_s1.frequency</t>
  </si>
  <si>
    <t>pef.pef_alf_s1.sample_mass</t>
  </si>
  <si>
    <t>pef.pef_alf_s1.pressing_pressure</t>
  </si>
  <si>
    <t>pef.pef_alf_s1.electrode_gap</t>
  </si>
  <si>
    <t>pef.pef_alf_s2.electric_field_strength</t>
  </si>
  <si>
    <t>PEF before second pressing</t>
  </si>
  <si>
    <t>6 kV across approximately 10 mm electrode gap after first pressing. Electric field calculated as applied voltage divided by electrode gap; both values are source-reported.</t>
  </si>
  <si>
    <t>pef.pef_alf_s2.pulse_number</t>
  </si>
  <si>
    <t>6 kV across approximately 10 mm electrode gap after first pressing.</t>
  </si>
  <si>
    <t>pef.pef_alf_s2.frequency</t>
  </si>
  <si>
    <t>pef.pef_alf_s2.sample_mass</t>
  </si>
  <si>
    <t>pef.pef_alf_s2.pressing_pressure</t>
  </si>
  <si>
    <t>pef.pef_alf_s2.electrode_gap</t>
  </si>
  <si>
    <t>PT-PEF2</t>
  </si>
  <si>
    <t>pef.grass_clover_pilot.electric_field_strength</t>
  </si>
  <si>
    <t>continuous PEF before screw pressing</t>
  </si>
  <si>
    <t>Directly reported source value.</t>
  </si>
  <si>
    <t>pef.grass_clover_pilot.pulse_width</t>
  </si>
  <si>
    <t>pef.grass_clover_pilot.frequency</t>
  </si>
  <si>
    <t>pef.grass_clover_pilot.specific_energy</t>
  </si>
  <si>
    <t>pef.grass_clover_pilot.mass_flow</t>
  </si>
  <si>
    <t>pef.grass_clover_pilot.residence_time</t>
  </si>
  <si>
    <t>Residence time represented by midpoint 2.5 s only because source reports a range 2-3 s; valid_range records original range.</t>
  </si>
  <si>
    <t>pef.required.pulse_shape</t>
  </si>
  <si>
    <t>PEF pretreatment</t>
  </si>
  <si>
    <t>No traceable numeric value for this requested field was available in the reviewed directly relevant source condition. Leave blank; do not substitute zero.</t>
  </si>
  <si>
    <t>pef.required.conductivity</t>
  </si>
  <si>
    <t>pef.required.treatment_temperature</t>
  </si>
  <si>
    <t>pef.required.temperature_increase</t>
  </si>
  <si>
    <t>pef.required.cell_disintegration_index</t>
  </si>
  <si>
    <t>pef.required.electrode_gap</t>
  </si>
  <si>
    <t>pef.required.pulse_number</t>
  </si>
  <si>
    <t>pef.required.energy_efficiency</t>
  </si>
  <si>
    <t>pef.response.ctrl_2mpa.juice_yield</t>
  </si>
  <si>
    <t>PEF plus mechanical pressing</t>
  </si>
  <si>
    <t>Greenhub/data/Pre-treatment/PEF_Ultrasound/pef_treatment_response.csv</t>
  </si>
  <si>
    <t>Each treatment/pressing condition retained separately.</t>
  </si>
  <si>
    <t>pef.response.pef_2mpa.juice_yield</t>
  </si>
  <si>
    <t>pef.response.ctrl_4mpa.juice_yield</t>
  </si>
  <si>
    <t>pef.response.pef_4mpa.juice_yield</t>
  </si>
  <si>
    <t>pef.response.ctrl_total.juice_yield</t>
  </si>
  <si>
    <t>pef.response.pef_total.juice_yield</t>
  </si>
  <si>
    <t>pef.response.ctrl_j_mass.juice_mass</t>
  </si>
  <si>
    <t>pef.response.pef_j_mass.juice_mass</t>
  </si>
  <si>
    <t>pef.response.ctrl_j_prot.juice_protein_mass</t>
  </si>
  <si>
    <t>pef.response.pef_j_prot.juice_protein_mass</t>
  </si>
  <si>
    <t>pef.response.ctrl_fj_prot.filtered_juice_protein_mass</t>
  </si>
  <si>
    <t>pef.response.pef_fj_prot.filtered_juice_protein_mass</t>
  </si>
  <si>
    <t>pef.response.ctrl_j_min.juice_mineral_mass</t>
  </si>
  <si>
    <t>pef.response.pef_j_min.juice_mineral_mass</t>
  </si>
  <si>
    <t>pef.grass_clover_pilot.response.juice_yield_increase</t>
  </si>
  <si>
    <t>continuous PEF plus screw pressing and protein precipitation</t>
  </si>
  <si>
    <t>Pilot ryegrass-clover study, approximate increase.</t>
  </si>
  <si>
    <t>pef.grass_clover_pilot.response.crude_protein_yield_increase</t>
  </si>
  <si>
    <t>pef.grass_clover_pilot.response.crude_protein_content</t>
  </si>
  <si>
    <t>Precipitated sediment crude protein content.</t>
  </si>
  <si>
    <t>pef.response.required.cell_disintegration_index</t>
  </si>
  <si>
    <t>Requested response was not numerically reported in the reviewed directly relevant experiments.</t>
  </si>
  <si>
    <t>pef.response.required.sugar_release</t>
  </si>
  <si>
    <t>pef.response.required.temperature_increase</t>
  </si>
  <si>
    <t>pef.response.required.energy_efficiency</t>
  </si>
  <si>
    <t>No PEF</t>
  </si>
  <si>
    <t>baseline_ready</t>
  </si>
  <si>
    <t>Greenhub/data/Pre-treatment/PEF_Ultrasound/pef_ultrasound_scenario_controller.csv</t>
  </si>
  <si>
    <t>No electric energy input.</t>
  </si>
  <si>
    <t>Batch PEF alfalfa-type</t>
  </si>
  <si>
    <t>response_ready_energy_incomplete</t>
  </si>
  <si>
    <t>Source includes sequential PEF before 2 and 4 MPa pressing.</t>
  </si>
  <si>
    <t>Continuous PEF grass-clover</t>
  </si>
  <si>
    <t>pilot_response_ready</t>
  </si>
  <si>
    <t>Best transferability for GreenHub feed.</t>
  </si>
  <si>
    <t>PT-US0</t>
  </si>
  <si>
    <t>No ultrasound / maceration control</t>
  </si>
  <si>
    <t>proxy_only</t>
  </si>
  <si>
    <t>Pumpkin control used dry powder rather than fresh biomass.</t>
  </si>
  <si>
    <t>Probe ultrasound</t>
  </si>
  <si>
    <t>ultrasound</t>
  </si>
  <si>
    <t>condition_matrix_ready_response_sparse</t>
  </si>
  <si>
    <t>All 60 amplitude-time conditions retained; graph-only yields are blank.</t>
  </si>
  <si>
    <t>PT-US2</t>
  </si>
  <si>
    <t>Continuous-flow ultrasound</t>
  </si>
  <si>
    <t>Do not scale the batch probe by power alone.</t>
  </si>
  <si>
    <t>ultrasound.pumpkin_leaf.a20.t0.condition</t>
  </si>
  <si>
    <t>probe ultrasound-assisted extraction</t>
  </si>
  <si>
    <t>Greenhub/data/Pre-treatment/PEF_Ultrasound/ultrasound_operating_parameters.csv</t>
  </si>
  <si>
    <t>Every amplitude-time combination is retained. Response values remain blank where only plotted graph data were available.</t>
  </si>
  <si>
    <t>ultrasound.pumpkin_leaf.a20.t1.condition</t>
  </si>
  <si>
    <t>ultrasound.pumpkin_leaf.a20.t3.condition</t>
  </si>
  <si>
    <t>ultrasound.pumpkin_leaf.a20.t5.condition</t>
  </si>
  <si>
    <t>ultrasound.pumpkin_leaf.a20.t7p5.condition</t>
  </si>
  <si>
    <t>ultrasound.pumpkin_leaf.a20.t10.condition</t>
  </si>
  <si>
    <t>ultrasound.pumpkin_leaf.a20.t12p5.condition</t>
  </si>
  <si>
    <t>ultrasound.pumpkin_leaf.a20.t15.condition</t>
  </si>
  <si>
    <t>ultrasound.pumpkin_leaf.a20.t17p5.condition</t>
  </si>
  <si>
    <t>ultrasound.pumpkin_leaf.a20.t20.condition</t>
  </si>
  <si>
    <t>ultrasound.pumpkin_leaf.a30.t0.condition</t>
  </si>
  <si>
    <t>ultrasound.pumpkin_leaf.a30.t1.condition</t>
  </si>
  <si>
    <t>ultrasound.pumpkin_leaf.a30.t3.condition</t>
  </si>
  <si>
    <t>ultrasound.pumpkin_leaf.a30.t5.condition</t>
  </si>
  <si>
    <t>ultrasound.pumpkin_leaf.a30.t7p5.condition</t>
  </si>
  <si>
    <t>ultrasound.pumpkin_leaf.a30.t10.condition</t>
  </si>
  <si>
    <t>ultrasound.pumpkin_leaf.a30.t12p5.condition</t>
  </si>
  <si>
    <t>ultrasound.pumpkin_leaf.a30.t15.condition</t>
  </si>
  <si>
    <t>ultrasound.pumpkin_leaf.a30.t17p5.condition</t>
  </si>
  <si>
    <t>ultrasound.pumpkin_leaf.a30.t20.condition</t>
  </si>
  <si>
    <t>ultrasound.pumpkin_leaf.a40.t0.condition</t>
  </si>
  <si>
    <t>ultrasound.pumpkin_leaf.a40.t1.condition</t>
  </si>
  <si>
    <t>ultrasound.pumpkin_leaf.a40.t3.condition</t>
  </si>
  <si>
    <t>ultrasound.pumpkin_leaf.a40.t5.condition</t>
  </si>
  <si>
    <t>ultrasound.pumpkin_leaf.a40.t7p5.condition</t>
  </si>
  <si>
    <t>ultrasound.pumpkin_leaf.a40.t10.condition</t>
  </si>
  <si>
    <t>ultrasound.pumpkin_leaf.a40.t12p5.condition</t>
  </si>
  <si>
    <t>ultrasound.pumpkin_leaf.a40.t15.condition</t>
  </si>
  <si>
    <t>ultrasound.pumpkin_leaf.a40.t17p5.condition</t>
  </si>
  <si>
    <t>ultrasound.pumpkin_leaf.a40.t20.condition</t>
  </si>
  <si>
    <t>ultrasound.pumpkin_leaf.a50.t0.condition</t>
  </si>
  <si>
    <t>ultrasound.pumpkin_leaf.a50.t1.condition</t>
  </si>
  <si>
    <t>ultrasound.pumpkin_leaf.a50.t3.condition</t>
  </si>
  <si>
    <t>ultrasound.pumpkin_leaf.a50.t5.condition</t>
  </si>
  <si>
    <t>ultrasound.pumpkin_leaf.a50.t7p5.condition</t>
  </si>
  <si>
    <t>ultrasound.pumpkin_leaf.a50.t10.condition</t>
  </si>
  <si>
    <t>ultrasound.pumpkin_leaf.a50.t12p5.condition</t>
  </si>
  <si>
    <t>ultrasound.pumpkin_leaf.a50.t15.condition</t>
  </si>
  <si>
    <t>ultrasound.pumpkin_leaf.a50.t17p5.condition</t>
  </si>
  <si>
    <t>ultrasound.pumpkin_leaf.a50.t20.condition</t>
  </si>
  <si>
    <t>ultrasound.pumpkin_leaf.a60.t0.condition</t>
  </si>
  <si>
    <t>ultrasound.pumpkin_leaf.a60.t1.condition</t>
  </si>
  <si>
    <t>ultrasound.pumpkin_leaf.a60.t3.condition</t>
  </si>
  <si>
    <t>ultrasound.pumpkin_leaf.a60.t5.condition</t>
  </si>
  <si>
    <t>ultrasound.pumpkin_leaf.a60.t7p5.condition</t>
  </si>
  <si>
    <t>ultrasound.pumpkin_leaf.a60.t10.condition</t>
  </si>
  <si>
    <t>ultrasound.pumpkin_leaf.a60.t12p5.condition</t>
  </si>
  <si>
    <t>ultrasound.pumpkin_leaf.a60.t15.condition</t>
  </si>
  <si>
    <t>ultrasound.pumpkin_leaf.a60.t17p5.condition</t>
  </si>
  <si>
    <t>ultrasound.pumpkin_leaf.a60.t20.condition</t>
  </si>
  <si>
    <t>ultrasound.pumpkin_leaf.a70.t0.condition</t>
  </si>
  <si>
    <t>ultrasound.pumpkin_leaf.a70.t1.condition</t>
  </si>
  <si>
    <t>ultrasound.pumpkin_leaf.a70.t3.condition</t>
  </si>
  <si>
    <t>ultrasound.pumpkin_leaf.a70.t5.condition</t>
  </si>
  <si>
    <t>ultrasound.pumpkin_leaf.a70.t7p5.condition</t>
  </si>
  <si>
    <t>ultrasound.pumpkin_leaf.a70.t10.condition</t>
  </si>
  <si>
    <t>ultrasound.pumpkin_leaf.a70.t12p5.condition</t>
  </si>
  <si>
    <t>ultrasound.pumpkin_leaf.a70.t15.condition</t>
  </si>
  <si>
    <t>ultrasound.pumpkin_leaf.a70.t17p5.condition</t>
  </si>
  <si>
    <t>ultrasound.pumpkin_leaf.a70.t20.condition</t>
  </si>
  <si>
    <t>ultrasound.required.slurry_volume</t>
  </si>
  <si>
    <t>ultrasound-assisted extraction</t>
  </si>
  <si>
    <t>The source reports vessel capacity, probe dimensions, input power and solid:solvent ratio, but not enough information for this requested numeric field without assumptions.</t>
  </si>
  <si>
    <t>ultrasound.required.power_density</t>
  </si>
  <si>
    <t>ultrasound.required.specific_energy</t>
  </si>
  <si>
    <t>ultrasound.required.pulse_duty_cycle</t>
  </si>
  <si>
    <t>ultrasound.required.temperature_profile</t>
  </si>
  <si>
    <t>ultrasound.pumpkin_leaf.a20.t0.protein_extraction_yield</t>
  </si>
  <si>
    <t>probe ultrasound-assisted protein extraction</t>
  </si>
  <si>
    <t>Greenhub/data/Pre-treatment/PEF_Ultrasound/ultrasound_treatment_response.csv</t>
  </si>
  <si>
    <t>Condition was experimentally tested, but the response is available only in a plotted figure. It was not digitized.</t>
  </si>
  <si>
    <t>ultrasound.pumpkin_leaf.a20.t1.protein_extraction_yield</t>
  </si>
  <si>
    <t>ultrasound.pumpkin_leaf.a20.t3.protein_extraction_yield</t>
  </si>
  <si>
    <t>ultrasound.pumpkin_leaf.a20.t5.protein_extraction_yield</t>
  </si>
  <si>
    <t>ultrasound.pumpkin_leaf.a20.t7p5.protein_extraction_yield</t>
  </si>
  <si>
    <t>ultrasound.pumpkin_leaf.a20.t10.protein_extraction_yield</t>
  </si>
  <si>
    <t>Numeric value explicitly reported in results text.</t>
  </si>
  <si>
    <t>ultrasound.pumpkin_leaf.a20.t12p5.protein_extraction_yield</t>
  </si>
  <si>
    <t>ultrasound.pumpkin_leaf.a20.t15.protein_extraction_yield</t>
  </si>
  <si>
    <t>ultrasound.pumpkin_leaf.a20.t17p5.protein_extraction_yield</t>
  </si>
  <si>
    <t>ultrasound.pumpkin_leaf.a20.t20.protein_extraction_yield</t>
  </si>
  <si>
    <t>ultrasound.pumpkin_leaf.a30.t0.protein_extraction_yield</t>
  </si>
  <si>
    <t>ultrasound.pumpkin_leaf.a30.t1.protein_extraction_yield</t>
  </si>
  <si>
    <t>ultrasound.pumpkin_leaf.a30.t3.protein_extraction_yield</t>
  </si>
  <si>
    <t>ultrasound.pumpkin_leaf.a30.t5.protein_extraction_yield</t>
  </si>
  <si>
    <t>ultrasound.pumpkin_leaf.a30.t7p5.protein_extraction_yield</t>
  </si>
  <si>
    <t>ultrasound.pumpkin_leaf.a30.t10.protein_extraction_yield</t>
  </si>
  <si>
    <t>ultrasound.pumpkin_leaf.a30.t12p5.protein_extraction_yield</t>
  </si>
  <si>
    <t>ultrasound.pumpkin_leaf.a30.t15.protein_extraction_yield</t>
  </si>
  <si>
    <t>ultrasound.pumpkin_leaf.a30.t17p5.protein_extraction_yield</t>
  </si>
  <si>
    <t>ultrasound.pumpkin_leaf.a30.t20.protein_extraction_yield</t>
  </si>
  <si>
    <t>ultrasound.pumpkin_leaf.a40.t0.protein_extraction_yield</t>
  </si>
  <si>
    <t>ultrasound.pumpkin_leaf.a40.t1.protein_extraction_yield</t>
  </si>
  <si>
    <t>ultrasound.pumpkin_leaf.a40.t3.protein_extraction_yield</t>
  </si>
  <si>
    <t>ultrasound.pumpkin_leaf.a40.t5.protein_extraction_yield</t>
  </si>
  <si>
    <t>ultrasound.pumpkin_leaf.a40.t7p5.protein_extraction_yield</t>
  </si>
  <si>
    <t>ultrasound.pumpkin_leaf.a40.t10.protein_extraction_yield</t>
  </si>
  <si>
    <t>ultrasound.pumpkin_leaf.a40.t12p5.protein_extraction_yield</t>
  </si>
  <si>
    <t>ultrasound.pumpkin_leaf.a40.t15.protein_extraction_yield</t>
  </si>
  <si>
    <t>ultrasound.pumpkin_leaf.a40.t17p5.protein_extraction_yield</t>
  </si>
  <si>
    <t>ultrasound.pumpkin_leaf.a40.t20.protein_extraction_yield</t>
  </si>
  <si>
    <t>ultrasound.pumpkin_leaf.a50.t0.protein_extraction_yield</t>
  </si>
  <si>
    <t>ultrasound.pumpkin_leaf.a50.t1.protein_extraction_yield</t>
  </si>
  <si>
    <t>ultrasound.pumpkin_leaf.a50.t3.protein_extraction_yield</t>
  </si>
  <si>
    <t>ultrasound.pumpkin_leaf.a50.t5.protein_extraction_yield</t>
  </si>
  <si>
    <t>ultrasound.pumpkin_leaf.a50.t7p5.protein_extraction_yield</t>
  </si>
  <si>
    <t>ultrasound.pumpkin_leaf.a50.t10.protein_extraction_yield</t>
  </si>
  <si>
    <t>ultrasound.pumpkin_leaf.a50.t12p5.protein_extraction_yield</t>
  </si>
  <si>
    <t>ultrasound.pumpkin_leaf.a50.t15.protein_extraction_yield</t>
  </si>
  <si>
    <t>ultrasound.pumpkin_leaf.a50.t17p5.protein_extraction_yield</t>
  </si>
  <si>
    <t>ultrasound.pumpkin_leaf.a50.t20.protein_extraction_yield</t>
  </si>
  <si>
    <t>ultrasound.pumpkin_leaf.a60.t0.protein_extraction_yield</t>
  </si>
  <si>
    <t>ultrasound.pumpkin_leaf.a60.t1.protein_extraction_yield</t>
  </si>
  <si>
    <t>ultrasound.pumpkin_leaf.a60.t3.protein_extraction_yield</t>
  </si>
  <si>
    <t>ultrasound.pumpkin_leaf.a60.t5.protein_extraction_yield</t>
  </si>
  <si>
    <t>ultrasound.pumpkin_leaf.a60.t7p5.protein_extraction_yield</t>
  </si>
  <si>
    <t>ultrasound.pumpkin_leaf.a60.t10.protein_extraction_yield</t>
  </si>
  <si>
    <t>ultrasound.pumpkin_leaf.a60.t12p5.protein_extraction_yield</t>
  </si>
  <si>
    <t>ultrasound.pumpkin_leaf.a60.t15.protein_extraction_yield</t>
  </si>
  <si>
    <t>ultrasound.pumpkin_leaf.a60.t17p5.protein_extraction_yield</t>
  </si>
  <si>
    <t>ultrasound.pumpkin_leaf.a60.t20.protein_extraction_yield</t>
  </si>
  <si>
    <t>ultrasound.pumpkin_leaf.a70.t0.protein_extraction_yield</t>
  </si>
  <si>
    <t>ultrasound.pumpkin_leaf.a70.t1.protein_extraction_yield</t>
  </si>
  <si>
    <t>ultrasound.pumpkin_leaf.a70.t3.protein_extraction_yield</t>
  </si>
  <si>
    <t>ultrasound.pumpkin_leaf.a70.t5.protein_extraction_yield</t>
  </si>
  <si>
    <t>ultrasound.pumpkin_leaf.a70.t7p5.protein_extraction_yield</t>
  </si>
  <si>
    <t>ultrasound.pumpkin_leaf.a70.t10.protein_extraction_yield</t>
  </si>
  <si>
    <t>ultrasound.pumpkin_leaf.a70.t12p5.protein_extraction_yield</t>
  </si>
  <si>
    <t>ultrasound.pumpkin_leaf.a70.t15.protein_extraction_yield</t>
  </si>
  <si>
    <t>ultrasound.pumpkin_leaf.a70.t17p5.protein_extraction_yield</t>
  </si>
  <si>
    <t>ultrasound.pumpkin_leaf.a70.t20.protein_extraction_yield</t>
  </si>
  <si>
    <t>ultrasound.response.mac_ctrl.protein_extraction_yield</t>
  </si>
  <si>
    <t>ultrasound protein extraction</t>
  </si>
  <si>
    <t>Control yield stated in comparison with best ultrasound condition.</t>
  </si>
  <si>
    <t>ultrasound.response.us_opt.protein_recovery</t>
  </si>
  <si>
    <t>Ideal UAE condition reported in conclusions.</t>
  </si>
  <si>
    <t>ultrasound.response.us_opt_pcmin.protein_concentrate_content_min</t>
  </si>
  <si>
    <t>Protein content range lower bound.</t>
  </si>
  <si>
    <t>ultrasound.response.us_opt_pcmax.protein_concentrate_content_max</t>
  </si>
  <si>
    <t>Protein content range upper bound.</t>
  </si>
  <si>
    <t>ultrasound.response.us_20_sol.protein_solubility_at_pH2</t>
  </si>
  <si>
    <t>Acidic solubility after ultrasound; maceration was 18.2%.</t>
  </si>
  <si>
    <t>ultrasound.response.mac_sol.protein_solubility_at_pH2</t>
  </si>
  <si>
    <t>Control acidic solubility.</t>
  </si>
  <si>
    <t>ultrasound.response.required.sugar_release</t>
  </si>
  <si>
    <t>ultrasound pretreatment</t>
  </si>
  <si>
    <t>No traceable source value meeting the requested condition and no graph digitization was performed.</t>
  </si>
  <si>
    <t>ultrasound.response.required.particle_size_change_of_feed</t>
  </si>
  <si>
    <t>ultrasound.response.required.quantitative_cavitation_indicator</t>
  </si>
  <si>
    <t>ultrasound.response.required.full_temperature_profile</t>
  </si>
  <si>
    <t>ultrasound.response.required.energy_efficiency</t>
  </si>
  <si>
    <t>Thermal_Enzymatic</t>
  </si>
  <si>
    <t>TE-T1</t>
  </si>
  <si>
    <t>Greenhub/data/Pre-treatment/Thermal_Enzymatic/assumption_and_missing_data_register.csv</t>
  </si>
  <si>
    <t>TE-E1</t>
  </si>
  <si>
    <t>TE-E1/TE-C1</t>
  </si>
  <si>
    <t>TE-C1</t>
  </si>
  <si>
    <t>enzymatic.models.enzk-001</t>
  </si>
  <si>
    <t>enzymatic treatment</t>
  </si>
  <si>
    <t>Greenhub/data/Pre-treatment/Thermal_Enzymatic/enzymatic_kinetic_models.csv</t>
  </si>
  <si>
    <t>Equation structure only. Do not infer Km, Vmax, inhibition or deactivation constants.</t>
  </si>
  <si>
    <t>enzymatic.models.enzk-002</t>
  </si>
  <si>
    <t>enzymatic.models.enzk-003</t>
  </si>
  <si>
    <t>enzymatic.models.enzk-004</t>
  </si>
  <si>
    <t>enzymatic.alfalfa.enz-001.dose_1p5.protein_extraction_factor</t>
  </si>
  <si>
    <t>enzyme-assisted alkaline extraction</t>
  </si>
  <si>
    <t>Greenhub/data/Pre-treatment/Thermal_Enzymatic/enzymatic_treatment_response.csv</t>
  </si>
  <si>
    <t>The source reports an overall enhancement range of 1.4–1.6 but does not map each factor to each individual dose/product in the accessible abstract. Therefore response value remains blank.</t>
  </si>
  <si>
    <t>enzymatic.alfalfa.enz-001.dose_3p0.protein_extraction_factor</t>
  </si>
  <si>
    <t>enzymatic.alfalfa.enz-001.dose_6p0.protein_extraction_factor</t>
  </si>
  <si>
    <t>enzymatic.alfalfa.enz-002.dose_1p5.protein_extraction_factor</t>
  </si>
  <si>
    <t>enzymatic.alfalfa.enz-002.dose_3p0.protein_extraction_factor</t>
  </si>
  <si>
    <t>enzymatic.alfalfa.enz-002.dose_6p0.protein_extraction_factor</t>
  </si>
  <si>
    <t>enzymatic.alfalfa.reported_enhancement_minimum</t>
  </si>
  <si>
    <t>enzyme-assisted alkaline protein extraction</t>
  </si>
  <si>
    <t>This boundary cannot be assigned to a specific individual enzyme-dose condition from the accessible abstract.</t>
  </si>
  <si>
    <t>enzymatic.alfalfa.reported_enhancement_maximum</t>
  </si>
  <si>
    <t>enzymatic.green_pulp.1.response</t>
  </si>
  <si>
    <t>enzymatic hydrolysis</t>
  </si>
  <si>
    <t>Exact dose, time, solids loading, sugar release and protein recovery values were not transcribed because a verifiable table was unavailable in this run.</t>
  </si>
  <si>
    <t>enzymatic.green_pulp.2.response</t>
  </si>
  <si>
    <t>enzymatic.required.treatment_time</t>
  </si>
  <si>
    <t>enzyme-assisted maceration</t>
  </si>
  <si>
    <t>No condition-matched, directly traceable numerical value was available in the reviewed source set.</t>
  </si>
  <si>
    <t>enzymatic.required.temperature</t>
  </si>
  <si>
    <t>enzymatic.required.pH</t>
  </si>
  <si>
    <t>enzymatic.required.solids_loading</t>
  </si>
  <si>
    <t>enzymatic.required.mixing</t>
  </si>
  <si>
    <t>enzymatic.required.sugar_release</t>
  </si>
  <si>
    <t>enzymatic.required.fibre_degradation</t>
  </si>
  <si>
    <t>enzymatic.required.viscosity</t>
  </si>
  <si>
    <t>enzymatic.required.downstream_separation_response</t>
  </si>
  <si>
    <t>TE-0</t>
  </si>
  <si>
    <t>No thermal or enzyme treatment</t>
  </si>
  <si>
    <t>ready as structural baseline</t>
  </si>
  <si>
    <t>Greenhub/data/Pre-treatment/Thermal_Enzymatic/thermal_enzymatic_scenario_controller.csv</t>
  </si>
  <si>
    <t>No treatment energy or enzyme dose.</t>
  </si>
  <si>
    <t>Mild thermal treatment</t>
  </si>
  <si>
    <t>heater + hold + cooler</t>
  </si>
  <si>
    <t>direct green-juice conditions; sparse pretreatment response</t>
  </si>
  <si>
    <t>Thermal coagulation data must not automatically become pretreatment release data.</t>
  </si>
  <si>
    <t>Enzyme treatment</t>
  </si>
  <si>
    <t>agitated enzyme reactor</t>
  </si>
  <si>
    <t>direct alfalfa and green-pulp evidence; condition gaps</t>
  </si>
  <si>
    <t>Manufacturer dosage rows provide operating candidates only.</t>
  </si>
  <si>
    <t>Combined mild thermal plus enzyme</t>
  </si>
  <si>
    <t>heater/cooler + enzyme reactor</t>
  </si>
  <si>
    <t>scenario structure only</t>
  </si>
  <si>
    <t>Default sequence should be defined by source or experiment, not guessed.</t>
  </si>
  <si>
    <t>thermal.kinetics.thermal_denaturation</t>
  </si>
  <si>
    <t>thermal_denaturation</t>
  </si>
  <si>
    <t>Greenhub/data/Pre-treatment/Thermal_Enzymatic/thermal_kinetics.csv</t>
  </si>
  <si>
    <t>First-order denaturation candidate No activation energy or pre-exponential factor was populated.</t>
  </si>
  <si>
    <t>thermal.kinetics.thermal_solubilization</t>
  </si>
  <si>
    <t>thermal_solubilization</t>
  </si>
  <si>
    <t>First-order solubilization candidate No activation energy or pre-exponential factor was populated.</t>
  </si>
  <si>
    <t>TE-T1/TE-C1</t>
  </si>
  <si>
    <t>thermal.kinetics.thermal_degradation</t>
  </si>
  <si>
    <t>thermal_degradation</t>
  </si>
  <si>
    <t>Arrhenius temperature dependence No activation energy or pre-exponential factor was populated.</t>
  </si>
  <si>
    <t>thermal.alfalfa_juice.t50.temperature</t>
  </si>
  <si>
    <t>thermal fractionation</t>
  </si>
  <si>
    <t>Greenhub/data/Pre-treatment/Thermal_Enzymatic/thermal_treatment_parameters.csv</t>
  </si>
  <si>
    <t>This is thermal protein-fractionation data, not pre-press biomass pretreatment.</t>
  </si>
  <si>
    <t>thermal.alfalfa_juice.t55.temperature</t>
  </si>
  <si>
    <t>thermal.alfalfa_juice.t60.temperature</t>
  </si>
  <si>
    <t>thermal.alfalfa_juice.t65.temperature</t>
  </si>
  <si>
    <t>thermal.alfalfa_juice.t80.temperature</t>
  </si>
  <si>
    <t>thermal.green_juice.temperature</t>
  </si>
  <si>
    <t>heat coagulation</t>
  </si>
  <si>
    <t>Range data are not treatment-response observations and should not be used as a kinetic fit.</t>
  </si>
  <si>
    <t>thermal.green_juice.treatment_time_min</t>
  </si>
  <si>
    <t>thermal.green_juice.treatment_time_max</t>
  </si>
  <si>
    <t>thermal.green_juice.temperature_range_min</t>
  </si>
  <si>
    <t>thermal.green_juice.temperature_range_max</t>
  </si>
  <si>
    <t>thermal.required.heating_rate</t>
  </si>
  <si>
    <t>mild thermal pretreatment</t>
  </si>
  <si>
    <t>No traceable condition-matched numerical value was identified in the reviewed directly relevant sources. Do not replace with zero.</t>
  </si>
  <si>
    <t>thermal.required.solids_concentration</t>
  </si>
  <si>
    <t>thermal.required.pH</t>
  </si>
  <si>
    <t>thermal.required.heat_duty</t>
  </si>
  <si>
    <t>thermal.required.cooling_duty</t>
  </si>
  <si>
    <t>thermal.required.protein_release</t>
  </si>
  <si>
    <t>thermal.required.sugar_release</t>
  </si>
  <si>
    <t>thermal.required.denaturation_fraction</t>
  </si>
  <si>
    <t>thermal.required.viscosity_change</t>
  </si>
  <si>
    <t>Protein recovery</t>
  </si>
  <si>
    <t>DRY-SD-GRASS-BASE</t>
  </si>
  <si>
    <t>Grass-protein spray drying</t>
  </si>
  <si>
    <t>select inlet/outlet pair from pilot trials; do not use inlet temperature as particle temperature</t>
  </si>
  <si>
    <t>Greenhub/data/Protein recovery/Drying/drying_scenario_controller.csv</t>
  </si>
  <si>
    <t>DRY-SD-LOW-TEMP</t>
  </si>
  <si>
    <t>Low-outlet-temperature spray drying</t>
  </si>
  <si>
    <t>lower outlet temperature with sufficient dry-air flow; validate residual moisture and deposition</t>
  </si>
  <si>
    <t>DRY-FD-GRASS-BASE</t>
  </si>
  <si>
    <t>Grass-protein freeze drying</t>
  </si>
  <si>
    <t>cycle developed from DSC, freeze microscopy, product temperature and pressure data</t>
  </si>
  <si>
    <t>Lactic_Acid</t>
  </si>
  <si>
    <t>SCN-LA-001</t>
  </si>
  <si>
    <t>Direct grass-juice fermentation with L. salivarius BC 1001</t>
  </si>
  <si>
    <t>measured or literature-reported direct data</t>
  </si>
  <si>
    <t>Greenhub/data/Protein recovery/Lactic_Acid/scenario_controller.csv</t>
  </si>
  <si>
    <t>Primary GreenHub scenario.</t>
  </si>
  <si>
    <t>SCN-LA-002</t>
  </si>
  <si>
    <t>Natural fermentation comparator</t>
  </si>
  <si>
    <t>Used to quantify lag reduction and process-control benefit of inoculation.</t>
  </si>
  <si>
    <t>SCN-LA-003</t>
  </si>
  <si>
    <t>B. coagulans lactic-acid coproduct proxy</t>
  </si>
  <si>
    <t>proxy</t>
  </si>
  <si>
    <t>Included only for coproduct comparison.</t>
  </si>
  <si>
    <t>MEM-SCN-001</t>
  </si>
  <si>
    <t>Fresh clover/grass green-white fractionation</t>
  </si>
  <si>
    <t>Greenhub/data/Protein recovery/Membrane/scenario_controller.csv</t>
  </si>
  <si>
    <t>Primary evidence-supported route.</t>
  </si>
  <si>
    <t>MEM-SCN-002</t>
  </si>
  <si>
    <t>Clarified grass UF plus diafiltration</t>
  </si>
  <si>
    <t>Concept supported by clover-grass preprint.</t>
  </si>
  <si>
    <t>MEM-SCN-003</t>
  </si>
  <si>
    <t>Post-precipitation or post-fermentation recovery</t>
  </si>
  <si>
    <t>No direct grass-slurry performance data found.</t>
  </si>
  <si>
    <t>Resource recovery</t>
  </si>
  <si>
    <t>Ammonia_Recovery</t>
  </si>
  <si>
    <t>ammonia_recovery_route</t>
  </si>
  <si>
    <t>scenario selection</t>
  </si>
  <si>
    <t>Greenhub/data/Resource recovery/Ammonia_Recovery/ammonia_scenario_controller.csv</t>
  </si>
  <si>
    <t>No unsourced numeric threshold embedded.</t>
  </si>
  <si>
    <t>pH_adjustment_mode</t>
  </si>
  <si>
    <t>No reagent dose assumed.</t>
  </si>
  <si>
    <t>acid_absorbent</t>
  </si>
  <si>
    <t>Product depends on neutralization endpoint.</t>
  </si>
  <si>
    <t>dynamic_calibration_mode</t>
  </si>
  <si>
    <t>Wang table supports empirical time calibration.</t>
  </si>
  <si>
    <t>Ion_Exchange</t>
  </si>
  <si>
    <t>target_ion</t>
  </si>
  <si>
    <t>Greenhub/data/Resource recovery/Ion_Exchange/ion_exchange_scenario_controller.csv</t>
  </si>
  <si>
    <t>Potassium-selective operation remains data-limited.</t>
  </si>
  <si>
    <t>media_selection</t>
  </si>
  <si>
    <t>Theoretical capacity cannot be substituted for operating capacity.</t>
  </si>
  <si>
    <t>This is the central capacity safeguard.</t>
  </si>
  <si>
    <t>column_operation</t>
  </si>
  <si>
    <t>No generic bed depth or EBCT is assumed.</t>
  </si>
  <si>
    <t>regeneration_route</t>
  </si>
  <si>
    <t>Regeneration selection must preserve product usability.</t>
  </si>
  <si>
    <t>cost_scaling_mode</t>
  </si>
  <si>
    <t>No default six-tenths exponent is inserted.</t>
  </si>
  <si>
    <t>Phosphorus_Recovery</t>
  </si>
  <si>
    <t>phosphorus_recovery_route</t>
  </si>
  <si>
    <t>route selection</t>
  </si>
  <si>
    <t>Greenhub/data/Resource recovery/Phosphorus_Recovery/phosphorus_scenario_controller.csv</t>
  </si>
  <si>
    <t>No unsourced numeric decision threshold is embedded.</t>
  </si>
  <si>
    <t>equilibrium_calculation_basis</t>
  </si>
  <si>
    <t>Never mix concentration IAP with activity-based Ksp.</t>
  </si>
  <si>
    <t>separation_method</t>
  </si>
  <si>
    <t>Unsupported equipment performance remains missing.</t>
  </si>
  <si>
    <t>Potassium_and_Water_Concentration</t>
  </si>
  <si>
    <t>route_selection</t>
  </si>
  <si>
    <t>Greenhub/data/Resource recovery/Potassium_and_Water_Concentration/concentration_scenario_controller.csv</t>
  </si>
  <si>
    <t>Feed-specific selection.</t>
  </si>
  <si>
    <t>product_claim</t>
  </si>
  <si>
    <t>Default is mixed concentrate.</t>
  </si>
  <si>
    <t>target_water_recovery</t>
  </si>
  <si>
    <t>No universal maximum.</t>
  </si>
  <si>
    <t>scaling_control</t>
  </si>
  <si>
    <t>Concentration-based IAP is flagged.</t>
  </si>
  <si>
    <t>fouling_mode</t>
  </si>
  <si>
    <t>CF evidence is route-specific.</t>
  </si>
  <si>
    <t>cost_mode</t>
  </si>
  <si>
    <t>No generic exponent.</t>
  </si>
  <si>
    <t>GreenHub scenario cost build: enter selected capacities, route inclusion, and annual quantities</t>
  </si>
  <si>
    <t>Priced selected installed CAPEX subtotal</t>
  </si>
  <si>
    <t>Priced selected annual OPEX subtotal</t>
  </si>
  <si>
    <t>scenario_id_applies</t>
  </si>
  <si>
    <t>manual_route_include (1/0)</t>
  </si>
  <si>
    <t>reference_capacity_unit</t>
  </si>
  <si>
    <t>project_capacity_input</t>
  </si>
  <si>
    <t>project_capacity_unit</t>
  </si>
  <si>
    <t>cost_at_reference_EUR</t>
  </si>
  <si>
    <t>scaled_cost_at_project_capacity_EUR</t>
  </si>
  <si>
    <t>installation_or_installed_factor</t>
  </si>
  <si>
    <t>installed_CAPEX_EUR</t>
  </si>
  <si>
    <t>project_duty_or_count_input</t>
  </si>
  <si>
    <t>annual_quantity_input</t>
  </si>
  <si>
    <t>annual_quantity_unit</t>
  </si>
  <si>
    <t>annual_unit_cost_EUR_per_unit</t>
  </si>
  <si>
    <t>annual_OPEX_EUR</t>
  </si>
  <si>
    <t>source / cost boundary / status</t>
  </si>
  <si>
    <t>CHP</t>
  </si>
  <si>
    <t>Installed CHP cost point Reciprocating engine 1</t>
  </si>
  <si>
    <t>Map to route in Original Scenarios</t>
  </si>
  <si>
    <t>kW electric</t>
  </si>
  <si>
    <t>biogas and utilities | CHP | Original EPA catalogue installed cost benchmark; conversion is explicit screening normalization to 2024 EUR. Size point index follows source catalog order; source cost per kW decreases with system size. Confirm exact unit sizes and installed boundary before detailed design.</t>
  </si>
  <si>
    <t>Installed CHP cost point Reciprocating engine 2</t>
  </si>
  <si>
    <t>Installed CHP cost point Reciprocating engine 3</t>
  </si>
  <si>
    <t>Installed CHP cost point Reciprocating engine 4</t>
  </si>
  <si>
    <t>Installed CHP cost point Reciprocating engine 5</t>
  </si>
  <si>
    <t>Installed CHP cost point Gas turbine 1</t>
  </si>
  <si>
    <t>Installed CHP cost point Gas turbine 2</t>
  </si>
  <si>
    <t>Installed CHP cost point Gas turbine 3</t>
  </si>
  <si>
    <t>Installed CHP cost point Gas turbine 4</t>
  </si>
  <si>
    <t>Installed CHP cost point Gas turbine 5</t>
  </si>
  <si>
    <t>Installed CHP cost point Microturbine 1</t>
  </si>
  <si>
    <t>Installed CHP cost point Microturbine 2</t>
  </si>
  <si>
    <t>AD plant total</t>
  </si>
  <si>
    <t>Anaerobic digestion plant benchmark (total CAPEX; not vessel-only)</t>
  </si>
  <si>
    <t>kW_e installed</t>
  </si>
  <si>
    <t>anaerobic digestion | AD plant total | Generic plant-level benchmark; 2020 price projection row, not roadside grass-specific. Use only for screening total plant CAPEX.</t>
  </si>
  <si>
    <t>centrifuge / decanter</t>
  </si>
  <si>
    <t>Decanter centrifuge capacity-cost points: 2 m3/h</t>
  </si>
  <si>
    <t>m3/h slurry</t>
  </si>
  <si>
    <t>digestate separation | centrifuge / decanter | Case-derived site investment point, not a vendor price. Cost per capacity varies non-monotonically across source cases; do not fit a single exponent through the noisy points.</t>
  </si>
  <si>
    <t>Decanter centrifuge source cost point 5 m3/h</t>
  </si>
  <si>
    <t>digestate separation | centrifuge / decanter | Use source points as evidence/sensitivity only. Values are not monotonic in capacity, so no source-supported scale exponent can be inferred.</t>
  </si>
  <si>
    <t>Decanter centrifuge source cost point 7 m3/h</t>
  </si>
  <si>
    <t>Decanter centrifuge source cost point 8 m3/h</t>
  </si>
  <si>
    <t>Decanter centrifuge source cost point 12 m3/h</t>
  </si>
  <si>
    <t>Decanter centrifuge source cost point 15 m3/h</t>
  </si>
  <si>
    <t>Decanter centrifuge source cost point 20 m3/h</t>
  </si>
  <si>
    <t>Decanter centrifuge source cost point 30 m3/h</t>
  </si>
  <si>
    <t>Decanter centrifuge source cost point 50 m3/h</t>
  </si>
  <si>
    <t>Decanter centrifuge source cost point 90 m3/h</t>
  </si>
  <si>
    <t>ammonia stripping / absorption</t>
  </si>
  <si>
    <t>Detricon stripper/scrubber package at 3 m3/h</t>
  </si>
  <si>
    <t>nutrient recovery | ammonia stripping / absorption | Reported operating installation package cost. Generic exponent 0.65 only for outside reference capacities; vendor confirmation required.</t>
  </si>
  <si>
    <t>Detricon stripper/scrubber package at 8 m3/h</t>
  </si>
  <si>
    <t>Stripper/scrubber operational fee</t>
  </si>
  <si>
    <t>nutrient recovery | ammonia stripping / absorption | Reported on product basis and contingent on market price; do not treat as fully burdened operating cost.</t>
  </si>
  <si>
    <t>PSA plant CAPEX (CarboTech case)</t>
  </si>
  <si>
    <t>Nm3/h raw biogas</t>
  </si>
  <si>
    <t>biogas upgrading | PSA upgrading | Literature comparator cites Urban et al. 2009 case; not exact current vendor scope. Used as plant package value, source-year old.</t>
  </si>
  <si>
    <t>PSA plant annual OPEX benchmark (total)</t>
  </si>
  <si>
    <t>biogas upgrading | PSA upgrading | Annual total OPEX source comparator; may include electricity, maintenance and personnel, so not additive to detailed line items.</t>
  </si>
  <si>
    <t>PSA electricity consumption</t>
  </si>
  <si>
    <t>biogas upgrading | PSA upgrading | Measured energy proxy for large 1400 Nm3/h biogas input case; the paper cautions unit-level disaggregation unavailable.</t>
  </si>
  <si>
    <t>PSA CAPEX comparator 100 Nm3/h</t>
  </si>
  <si>
    <t>biogas upgrading | PSA upgrading | Old secondary source cites Schulz 2004, useful only for broad capacity sensitivity. Generic exponent 0.65.</t>
  </si>
  <si>
    <t>PSA CAPEX comparator 600 Nm3/h</t>
  </si>
  <si>
    <t>water scrubbing</t>
  </si>
  <si>
    <t>Water-scrubber electricity use (range)</t>
  </si>
  <si>
    <t>biogas upgrading | water scrubbing | Review reports upgrading electricity range for PWS and PSA. Use as a range only pending supplier guarantee.</t>
  </si>
  <si>
    <t>generic cost scaling</t>
  </si>
  <si>
    <t>wet grass chopper / mill</t>
  </si>
  <si>
    <t>feedstock preparation | generic cost scaling | Generic exponent estimate where no better equipment-specific exponent was located. Low confidence, not direct GreenHub-specific data.</t>
  </si>
  <si>
    <t>screw press / belt press</t>
  </si>
  <si>
    <t>PEF skid</t>
  </si>
  <si>
    <t>L/h or kW pulse</t>
  </si>
  <si>
    <t>ultrasound skid</t>
  </si>
  <si>
    <t>L/h or acoustic kW</t>
  </si>
  <si>
    <t>thermal / enzymatic reactor</t>
  </si>
  <si>
    <t>pretreatment | generic cost scaling | Generic exponent estimate where no better equipment-specific exponent was located. Low confidence, not direct GreenHub-specific data.</t>
  </si>
  <si>
    <t>isoelectric precipitation tank</t>
  </si>
  <si>
    <t>protein recovery | generic cost scaling | Generic exponent estimate where no better equipment-specific exponent was located. Low confidence, not direct GreenHub-specific data.</t>
  </si>
  <si>
    <t>UF/MF/RO membrane skid</t>
  </si>
  <si>
    <t>membrane area m2 or m3/h</t>
  </si>
  <si>
    <t>spray dryer</t>
  </si>
  <si>
    <t>kg water evaporated/h</t>
  </si>
  <si>
    <t>freeze dryer</t>
  </si>
  <si>
    <t>CSTR digester vessel</t>
  </si>
  <si>
    <t>anaerobic digestion | generic cost scaling | Generic exponent estimate where no better equipment-specific exponent was located. Low confidence, not direct GreenHub-specific data.</t>
  </si>
  <si>
    <t>digester mixer</t>
  </si>
  <si>
    <t>liquid/slurry pump</t>
  </si>
  <si>
    <t>kW or m3/h</t>
  </si>
  <si>
    <t>compressor</t>
  </si>
  <si>
    <t>biogas upgrading | generic cost scaling | Generic exponent estimate where no better equipment-specific exponent was located. Low confidence, not direct GreenHub-specific data.</t>
  </si>
  <si>
    <t>PSA package</t>
  </si>
  <si>
    <t>ion exchange column</t>
  </si>
  <si>
    <t>m3/h or resin volume m3</t>
  </si>
  <si>
    <t>nutrient recovery | generic cost scaling | Generic exponent estimate where no better equipment-specific exponent was located. Low confidence, not direct GreenHub-specific data.</t>
  </si>
  <si>
    <t>struvite crystallizer</t>
  </si>
  <si>
    <t>m3/h liquid / working volume m3</t>
  </si>
  <si>
    <t>evaporator</t>
  </si>
  <si>
    <t>electrodialysis stack</t>
  </si>
  <si>
    <t>m2 membrane or m3/h</t>
  </si>
  <si>
    <t>collection and reception</t>
  </si>
  <si>
    <t>Receiving bunker, weighbridge, live-bottom floor, conveyors</t>
  </si>
  <si>
    <t>wet tonnes/day; bunker working volume m3</t>
  </si>
  <si>
    <t>feedstock logistics | collection and reception | No defensible public base price found in reviewed sources; keep measurement basis so quote can be normalized.</t>
  </si>
  <si>
    <t>Covered pit / bunker storage including leachate capture and reclaim</t>
  </si>
  <si>
    <t>storage days × t/day; usable m3 at 0.22 t/m3 proxy</t>
  </si>
  <si>
    <t>feedstock storage | storage | No defensible public base price found in reviewed sources; keep measurement basis so quote can be normalized.</t>
  </si>
  <si>
    <t>cleaning</t>
  </si>
  <si>
    <t>Stone trap, washing screen and grit rejection</t>
  </si>
  <si>
    <t>wet t/h; washwater m3/h</t>
  </si>
  <si>
    <t>feedstock preparation | cleaning | No defensible public base price found in reviewed sources; keep measurement basis so quote can be normalized.</t>
  </si>
  <si>
    <t>size reduction</t>
  </si>
  <si>
    <t>Grass chopper/shredder/mill</t>
  </si>
  <si>
    <t>wet t/h; target mm</t>
  </si>
  <si>
    <t>feedstock preparation | size reduction | No defensible public base price found in reviewed sources; keep measurement basis so quote can be normalized.</t>
  </si>
  <si>
    <t>wet t/h; cake dry matter %</t>
  </si>
  <si>
    <t>feedstock preparation | separation | No defensible public base price found in reviewed sources; keep measurement basis so quote can be normalized.</t>
  </si>
  <si>
    <t>PEF power and flow-through skid</t>
  </si>
  <si>
    <t>L/h and pulse kW</t>
  </si>
  <si>
    <t>feedstock preparation | PEF | No defensible public base price found in reviewed sources; keep measurement basis so quote can be normalized.</t>
  </si>
  <si>
    <t>Ultrasound reactor</t>
  </si>
  <si>
    <t>L/h, acoustic kW, residence min</t>
  </si>
  <si>
    <t>feedstock preparation | ultrasound | No defensible public base price found in reviewed sources; keep measurement basis so quote can be normalized.</t>
  </si>
  <si>
    <t>thermal/enzymatic</t>
  </si>
  <si>
    <t>Heated stirred reactor/enzymatic hydrolysis vessel</t>
  </si>
  <si>
    <t>working volume m3 = feed m3/h × residence h / uptime</t>
  </si>
  <si>
    <t>feedstock preparation | thermal/enzymatic | No defensible public base price found in reviewed sources; keep measurement basis so quote can be normalized.</t>
  </si>
  <si>
    <t>isoelectric precipitation</t>
  </si>
  <si>
    <t>working volume m3, batch count, residence hours</t>
  </si>
  <si>
    <t>protein recovery | isoelectric precipitation | No defensible public base price found in reviewed sources; keep measurement basis so quote can be normalized.</t>
  </si>
  <si>
    <t>Disc-stack centrifuge</t>
  </si>
  <si>
    <t>m3/h and kg dry solids/h</t>
  </si>
  <si>
    <t>protein recovery | centrifugal separation | No defensible public base price found in reviewed sources; keep measurement basis so quote can be normalized.</t>
  </si>
  <si>
    <t>membrane concentration</t>
  </si>
  <si>
    <t>membrane area m2 and m3/h permeate/feed</t>
  </si>
  <si>
    <t>protein recovery | membrane concentration | No defensible public base price found in reviewed sources; keep measurement basis so quote can be normalized.</t>
  </si>
  <si>
    <t>washing</t>
  </si>
  <si>
    <t>Cake wash vessel and wash-water loop</t>
  </si>
  <si>
    <t>working volume m3 / m3/h</t>
  </si>
  <si>
    <t>protein recovery | washing | No defensible public base price found in reviewed sources; keep measurement basis so quote can be normalized.</t>
  </si>
  <si>
    <t>protein recovery | drying | No defensible public base price found in reviewed sources; keep measurement basis so quote can be normalized.</t>
  </si>
  <si>
    <t>kg water removed/batch; chamber working volume m3</t>
  </si>
  <si>
    <t>digester</t>
  </si>
  <si>
    <t>CSTR/PFR/thermophilic/two-stage reactor vessel package</t>
  </si>
  <si>
    <t>working volume m3 = daily slurry feed × HRT; number of vessels</t>
  </si>
  <si>
    <t>anaerobic digestion | digester | No defensible public base price found in reviewed sources; keep measurement basis so quote can be normalized.</t>
  </si>
  <si>
    <t>mixing/heating</t>
  </si>
  <si>
    <t>Mixers, heat exchangers and heating loop</t>
  </si>
  <si>
    <t>working volume m3; kW installed heat and mixer power</t>
  </si>
  <si>
    <t>anaerobic digestion | mixing/heating | No defensible public base price found in reviewed sources; keep measurement basis so quote can be normalized.</t>
  </si>
  <si>
    <t>gas handling</t>
  </si>
  <si>
    <t>Gas holder, condensate traps, flare, H2S pretreatment</t>
  </si>
  <si>
    <t>Nm3/h gas; storage volume m3</t>
  </si>
  <si>
    <t>anaerobic digestion | gas handling | No defensible public base price found in reviewed sources; keep measurement basis so quote can be normalized.</t>
  </si>
  <si>
    <t>Gas drying, H2S removal, filters and condensate management</t>
  </si>
  <si>
    <t>Nm3/h; inlet H2S ppmv and dewpoint</t>
  </si>
  <si>
    <t>biogas upgrading | conditioning | No defensible public base price found in reviewed sources; keep measurement basis so quote can be normalized.</t>
  </si>
  <si>
    <t>compression</t>
  </si>
  <si>
    <t>Raw gas and product gas compressors</t>
  </si>
  <si>
    <t>Nm3/h, inlet/outlet bara, kW</t>
  </si>
  <si>
    <t>biogas upgrading | compression | No defensible public base price found in reviewed sources; keep measurement basis so quote can be normalized.</t>
  </si>
  <si>
    <t>PSA / membrane / water scrubber / amine</t>
  </si>
  <si>
    <t>Upgrader process package, package selected by scenario</t>
  </si>
  <si>
    <t>Nm3/h raw gas; methane recovery and outlet spec</t>
  </si>
  <si>
    <t>biogas upgrading | PSA / membrane / water scrubber / amine | No defensible public base price found in reviewed sources; keep measurement basis so quote can be normalized.</t>
  </si>
  <si>
    <t>Biogas engine or microturbine including exhaust heat recovery</t>
  </si>
  <si>
    <t>kWe, kWth, annual hours, gas spec</t>
  </si>
  <si>
    <t>biogas upgrading | CHP | No defensible public base price found in reviewed sources; keep measurement basis so quote can be normalized.</t>
  </si>
  <si>
    <t>digestate recovery</t>
  </si>
  <si>
    <t>solid/liquid separation</t>
  </si>
  <si>
    <t>Screw press/decanter/filter press</t>
  </si>
  <si>
    <t>m3/h, dry matter, solids capture</t>
  </si>
  <si>
    <t>digestate recovery | solid/liquid separation | No defensible public base price found in reviewed sources; keep measurement basis so quote can be normalized.</t>
  </si>
  <si>
    <t>Stripper + acid absorber / scrubber</t>
  </si>
  <si>
    <t>m3/h, kg NH4-N/h, pH, temperature</t>
  </si>
  <si>
    <t>nutrient recovery | ammonia stripping | No defensible public base price found in reviewed sources; keep measurement basis so quote can be normalized.</t>
  </si>
  <si>
    <t>Ion exchange column and resin inventory</t>
  </si>
  <si>
    <t>bed working volume m3, BV/h, resin capacity eq/L</t>
  </si>
  <si>
    <t>nutrient recovery | ion exchange | No defensible public base price found in reviewed sources; keep measurement basis so quote can be normalized.</t>
  </si>
  <si>
    <t>struvite precipitation</t>
  </si>
  <si>
    <t>Reactor, dosing, crystallization, separator and dryer</t>
  </si>
  <si>
    <t>nutrient recovery | struvite precipitation | No defensible public base price found in reviewed sources; keep measurement basis so quote can be normalized.</t>
  </si>
  <si>
    <t>potassium/water concentration</t>
  </si>
  <si>
    <t>RO/NF/ED/evaporation train</t>
  </si>
  <si>
    <t>m3/h, recovery %, membrane area m2 / evaporation kg/h</t>
  </si>
  <si>
    <t>nutrient recovery | potassium/water concentration | No defensible public base price found in reviewed sources; keep measurement basis so quote can be normalized.</t>
  </si>
  <si>
    <t>evaporation</t>
  </si>
  <si>
    <t>Multiple effect evaporator</t>
  </si>
  <si>
    <t>kg water evaporated/h, effects count</t>
  </si>
  <si>
    <t>nutrient recovery | evaporation | No defensible public base price found in reviewed sources; keep measurement basis so quote can be normalized.</t>
  </si>
  <si>
    <t>electrodialysis</t>
  </si>
  <si>
    <t>ED stack and pretreatment</t>
  </si>
  <si>
    <t>membrane area m2, m3/h, current density</t>
  </si>
  <si>
    <t>nutrient recovery | electrodialysis | No defensible public base price found in reviewed sources; keep measurement basis so quote can be normalized.</t>
  </si>
  <si>
    <t>general</t>
  </si>
  <si>
    <t>buildings</t>
  </si>
  <si>
    <t>Process hall, warehouse, lab, workshop</t>
  </si>
  <si>
    <t>m2 gross floor area; location and fire class</t>
  </si>
  <si>
    <t>general | buildings | No defensible public base price found in reviewed sources; keep measurement basis so quote can be normalized.</t>
  </si>
  <si>
    <t>land</t>
  </si>
  <si>
    <t>Industrial plot and land-use charges</t>
  </si>
  <si>
    <t>m2 required; municipality and zoning</t>
  </si>
  <si>
    <t>general | land | No defensible public base price found in reviewed sources; keep measurement basis so quote can be normalized.</t>
  </si>
  <si>
    <t>indirect costs</t>
  </si>
  <si>
    <t>Engineering, procurement, construction management</t>
  </si>
  <si>
    <t>% direct cost or EPC quote; define included engineering</t>
  </si>
  <si>
    <t>general | indirect costs | No defensible public base price found in reviewed sources; keep measurement basis so quote can be normalized.</t>
  </si>
  <si>
    <t>insurance and taxes</t>
  </si>
  <si>
    <t>Property insurance, taxes, permits and annual levies</t>
  </si>
  <si>
    <t>insurance basis, WOZ/asset base, municipality/water authority</t>
  </si>
  <si>
    <t>general | insurance and taxes | No defensible public base price found in reviewed sources; keep measurement basis so quote can be normalized.</t>
  </si>
  <si>
    <t>wastewater treatment</t>
  </si>
  <si>
    <t>Onsite pre-treatment and discharge charges</t>
  </si>
  <si>
    <t>m3/y and pollutant units (COD/N/P)</t>
  </si>
  <si>
    <t>general | wastewater treatment | No defensible public base price found in reviewed sources; keep measurement basis so quote can be normalized.</t>
  </si>
  <si>
    <t>waste disposal</t>
  </si>
  <si>
    <t>Screenings, contaminated residues, sludge, spent media</t>
  </si>
  <si>
    <t>t/y and waste code / disposal route</t>
  </si>
  <si>
    <t>general | waste disposal | No defensible public base price found in reviewed sources; keep measurement basis so quote can be normalized.</t>
  </si>
  <si>
    <t>Operators, maintenance, lab and management</t>
  </si>
  <si>
    <t>FTE by shift/role and paid hours</t>
  </si>
  <si>
    <t>general | labor | No defensible public base price found in reviewed sources; keep measurement basis so quote can be normalized.</t>
  </si>
  <si>
    <t>Routine and major maintenance separate from replacements</t>
  </si>
  <si>
    <t>% equipment capex/y or vendor maintenance contract</t>
  </si>
  <si>
    <t>general | maintenance | No defensible public base price found in reviewed sources; keep measurement basis so quote can be normalized.</t>
  </si>
  <si>
    <t>replacement</t>
  </si>
  <si>
    <t>Membranes, resin, adsorbent, electrodes, engine overhaul</t>
  </si>
  <si>
    <t>quantity, interval, cost year, disposal route</t>
  </si>
  <si>
    <t>general | replacement | No defensible public base price found in reviewed sources; keep measurement basis so quote can be normalized.</t>
  </si>
  <si>
    <t>permits</t>
  </si>
  <si>
    <t>Environmental, building, water, odor/noise permits</t>
  </si>
  <si>
    <t>permit type, competent authority, application fee and consultant hours</t>
  </si>
  <si>
    <t>general | permits | No defensible public base price found in reviewed sources; keep measurement basis so quote can be normalized.</t>
  </si>
  <si>
    <t>general consumables</t>
  </si>
  <si>
    <t>Sulfuric acid / hydrochloric acid for pH control</t>
  </si>
  <si>
    <t>general consumables | operations | Price is supplier/formulation/volume dependent; source not stable without specification.</t>
  </si>
  <si>
    <t>Sodium hydroxide / lime for pH control</t>
  </si>
  <si>
    <t>Enzyme cocktail (cellulase/pectinase/protease)</t>
  </si>
  <si>
    <t>Polymer / flocculant</t>
  </si>
  <si>
    <t>MEA solvent makeup</t>
  </si>
  <si>
    <t>Biogas upgrading adsorbent / PSA media replacement</t>
  </si>
  <si>
    <t>UF/MF/RO membrane replacement modules</t>
  </si>
  <si>
    <t>Ion exchange resin makeup</t>
  </si>
  <si>
    <t>Struvite magnesium reagent</t>
  </si>
  <si>
    <t>Cleaning in place chemicals (acid, caustic, sanitizer)</t>
  </si>
  <si>
    <t>Antiscalant / membrane cleaning chemical</t>
  </si>
  <si>
    <t>Filter cloths and wear parts</t>
  </si>
  <si>
    <t>Spent resin / adsorbent disposal</t>
  </si>
  <si>
    <t>electricity</t>
  </si>
  <si>
    <t>Non-household electricity tariff, NL band 500–2000 MWh/y (tax-inclusive selectable series)</t>
  </si>
  <si>
    <t>kWh</t>
  </si>
  <si>
    <t>2025 H2 Eurostat NL band IC, excl. VAT; band-specific; use Scenario sensitivity for price spread.</t>
  </si>
  <si>
    <t>Non-household electricity tariff, NL band 2000–19999 MWh/y (tax-inclusive selectable series)</t>
  </si>
  <si>
    <t>2025 H2 Eurostat NL band ID; verify actual consumption band and component/tax treatment.</t>
  </si>
  <si>
    <t>natural gas</t>
  </si>
  <si>
    <t>Dutch non-household natural gas tariff I3, 10,000–100,000 GJ/y</t>
  </si>
  <si>
    <t>GJ/year</t>
  </si>
  <si>
    <t>kWh LHV</t>
  </si>
  <si>
    <t>H2 2025 Dutch non-household gas I3 proxy; gas price only.</t>
  </si>
  <si>
    <t>water</t>
  </si>
  <si>
    <t>Waternet business water unit tariff</t>
  </si>
  <si>
    <t>m3</t>
  </si>
  <si>
    <t>Waternet 2026 business tariff; large-user tiers and BoL tax separate.</t>
  </si>
  <si>
    <t>Water-board wastewater treatment levy (pollution unit)</t>
  </si>
  <si>
    <t>pollution unit/year</t>
  </si>
  <si>
    <t>2025 CBS example at Rivierenland; 2026 tariff/method by authority.</t>
  </si>
  <si>
    <t>staffing</t>
  </si>
  <si>
    <t>Total employer labor cost benchmark, Netherlands whole economy</t>
  </si>
  <si>
    <t>paid hour</t>
  </si>
  <si>
    <t>2025 Netherlands loaded whole-economy labor cost proxy.</t>
  </si>
  <si>
    <t>Industrial site land price, Maastricht Hazendans example</t>
  </si>
  <si>
    <t>m2 plot</t>
  </si>
  <si>
    <t>2025 Maastricht industrial land price example; location-specific.</t>
  </si>
  <si>
    <t>Lang factor / installed cost method</t>
  </si>
  <si>
    <t>purchase cost</t>
  </si>
  <si>
    <t>general | installation | Generic early-stage factor; lower-confidence and should be replaced by equipment-specific installation factors or vendor-installed quotations.</t>
  </si>
  <si>
    <t>Annual routine maintenance proxy for AD plant</t>
  </si>
  <si>
    <t>general | maintenance | Use as an alternative high-level annual O&amp;M proxy or disaggregate; not additive to full OPEX estimates.</t>
  </si>
  <si>
    <t>transport</t>
  </si>
  <si>
    <t>Roadside grass plant-gate haulage base</t>
  </si>
  <si>
    <t>wet tonnes/y scenario</t>
  </si>
  <si>
    <t>t wet grass</t>
  </si>
  <si>
    <t>feedstock logistics | transport | Neighboring Belgian route with 9,841 wet tonnes, 20 t payload, 45 m3 volume, 0.22 t/m3 and return-trip assumptions; not Dutch quote.</t>
  </si>
  <si>
    <t>t stored</t>
  </si>
  <si>
    <t>feedstock logistics | storage | Reported pit cost; source references historic basis. Keep separate from transport and loss values.</t>
  </si>
  <si>
    <t>building</t>
  </si>
  <si>
    <t>Land purchase local example</t>
  </si>
  <si>
    <t>m2</t>
  </si>
  <si>
    <t>Same local proxy; avoid selecting both duplicate land lines.</t>
  </si>
  <si>
    <t>dryer</t>
  </si>
  <si>
    <t>protein drying</t>
  </si>
  <si>
    <t>Industrial spray dryer benchmark (WUR report)</t>
  </si>
  <si>
    <t>kg water evaporated/h reference</t>
  </si>
  <si>
    <t>WUR benchmark: €600,000 at 500 kg water/h.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</si>
</sst>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€0.000"/>
    <numFmt numFmtId="167" formatCode="\€#,##0"/>
  </numFmts>
  <fonts count="16">
    <font>
      <sz val="11"/>
      <name val="Carlito"/>
    </font>
    <font>
      <b/>
      <sz val="10"/>
      <color rgb="FFFFFFFF"/>
      <name val="Arial"/>
    </font>
    <font>
      <b/>
      <sz val="10"/>
      <color rgb="FF1F1F1F"/>
      <name val="Arial"/>
    </font>
    <font>
      <sz val="10"/>
      <color rgb="FF1F1F1F"/>
      <name val="Arial"/>
    </font>
    <font>
      <b/>
      <sz val="10"/>
      <color rgb="FF7F6000"/>
      <name val="Arial"/>
    </font>
    <font>
      <b/>
      <sz val="9"/>
      <color rgb="FFFFFFFF"/>
      <name val="Arial"/>
    </font>
    <font>
      <sz val="9"/>
      <color rgb="FF222222"/>
      <name val="Arial"/>
    </font>
    <font>
      <b/>
      <sz val="9"/>
      <color rgb="FF17365D"/>
      <name val="Arial"/>
    </font>
    <font>
      <b/>
      <sz val="14"/>
      <color rgb="FF17365D"/>
      <name val="Arial"/>
    </font>
    <font>
      <sz val="8"/>
      <name val="Arial"/>
    </font>
    <font>
      <b/>
      <sz val="9"/>
      <color rgb="FF222222"/>
      <name val="Arial"/>
    </font>
    <font>
      <b/>
      <sz val="14"/>
      <color rgb="FFFFFFFF"/>
      <name val="Carlito"/>
    </font>
    <font>
      <i/>
      <sz val="10"/>
      <color rgb="FF455A64"/>
      <name val="Carlito"/>
    </font>
    <font>
      <b/>
      <sz val="9"/>
      <color rgb="FFFFFFFF"/>
      <name val="Carlito"/>
    </font>
    <font>
      <sz val="9"/>
      <color rgb="FF222222"/>
      <name val="Carlito"/>
    </font>
    <font>
      <sz val="12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A5F"/>
      </patternFill>
    </fill>
    <fill>
      <patternFill patternType="solid">
        <fgColor rgb="FFFFFFFF"/>
      </patternFill>
    </fill>
    <fill>
      <patternFill patternType="solid">
        <fgColor rgb="FFF3F7FA"/>
      </patternFill>
    </fill>
  </fills>
  <borders count="6">
    <border>
      <left/>
      <right/>
      <top/>
      <bottom/>
      <diagonal/>
    </border>
    <border>
      <left style="dashed">
        <color rgb="FF1F4E78"/>
      </left>
      <right style="dashed">
        <color rgb="FF1F4E78"/>
      </right>
      <top style="dashed">
        <color rgb="FF1F4E78"/>
      </top>
      <bottom style="dashed">
        <color rgb="FF1F4E78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5" fillId="0" borderId="5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164" fontId="3" fillId="3" borderId="0" xfId="0" applyNumberFormat="1" applyFont="1" applyFill="1" applyAlignment="1">
      <alignment vertical="center" wrapText="1"/>
    </xf>
    <xf numFmtId="0" fontId="2" fillId="3" borderId="1" xfId="0" applyFont="1" applyFill="1" applyBorder="1" applyAlignment="1">
      <alignment vertical="center"/>
    </xf>
    <xf numFmtId="165" fontId="3" fillId="3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" fillId="4" borderId="0" xfId="0" applyFont="1" applyFill="1"/>
    <xf numFmtId="0" fontId="6" fillId="0" borderId="0" xfId="0" applyFont="1"/>
    <xf numFmtId="0" fontId="6" fillId="5" borderId="0" xfId="0" applyFont="1" applyFill="1"/>
    <xf numFmtId="0" fontId="7" fillId="6" borderId="0" xfId="0" applyFont="1" applyFill="1"/>
    <xf numFmtId="167" fontId="7" fillId="6" borderId="0" xfId="0" applyNumberFormat="1" applyFont="1" applyFill="1"/>
    <xf numFmtId="0" fontId="8" fillId="0" borderId="0" xfId="0" applyFont="1"/>
    <xf numFmtId="0" fontId="5" fillId="4" borderId="2" xfId="0" applyFont="1" applyFill="1" applyBorder="1" applyAlignment="1">
      <alignment wrapText="1"/>
    </xf>
    <xf numFmtId="0" fontId="9" fillId="0" borderId="3" xfId="0" applyFont="1" applyBorder="1"/>
    <xf numFmtId="0" fontId="9" fillId="0" borderId="4" xfId="0" applyFont="1" applyBorder="1"/>
    <xf numFmtId="0" fontId="9" fillId="5" borderId="3" xfId="0" applyFont="1" applyFill="1" applyBorder="1"/>
    <xf numFmtId="0" fontId="9" fillId="5" borderId="4" xfId="0" applyFont="1" applyFill="1" applyBorder="1"/>
    <xf numFmtId="0" fontId="10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14" fillId="8" borderId="0" xfId="0" applyFont="1" applyFill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13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5" fillId="0" borderId="5" xfId="1"/>
    <xf numFmtId="0" fontId="11" fillId="7" borderId="0" xfId="0" applyFont="1" applyFill="1" applyAlignment="1">
      <alignment vertical="top" wrapText="1"/>
    </xf>
    <xf numFmtId="0" fontId="0" fillId="0" borderId="0" xfId="0"/>
    <xf numFmtId="0" fontId="1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pa.gov/sites/default/files/2015-07/documents/catalog_of_chp_technologies.pdf" TargetMode="External"/><Relationship Id="rId18" Type="http://schemas.openxmlformats.org/officeDocument/2006/relationships/hyperlink" Target="https://eu-cap-network.ec.europa.eu/projects/practice-abstracts/technology-n-recovery-inorganic-fertilizer-starting-liquid-fraction_en" TargetMode="External"/><Relationship Id="rId26" Type="http://schemas.openxmlformats.org/officeDocument/2006/relationships/hyperlink" Target="https://www.rijksoverheid.nl/themas/klimaat-milieu-en-natuur/drinkwater/belasting-op-drinkwater" TargetMode="External"/><Relationship Id="rId39" Type="http://schemas.openxmlformats.org/officeDocument/2006/relationships/hyperlink" Target="https://freeze-drying.tech/product/frostx-50/" TargetMode="External"/><Relationship Id="rId21" Type="http://schemas.openxmlformats.org/officeDocument/2006/relationships/hyperlink" Target="https://www.waternet.nl/en/nieuws/2024/november/the-price-of-tap-water-in-2025/" TargetMode="External"/><Relationship Id="rId34" Type="http://schemas.openxmlformats.org/officeDocument/2006/relationships/hyperlink" Target="https://www.pellet-richi.com/single-pellet-machine-cases/hammer-mill-for-dairy-cow-forage-in-the-Netherlands.html" TargetMode="External"/><Relationship Id="rId42" Type="http://schemas.openxmlformats.org/officeDocument/2006/relationships/hyperlink" Target="https://hydropurewater.com/blog/6644-ion-exchange-system-for-glass-manufacturing-wastewater-2026-engineering.html" TargetMode="External"/><Relationship Id="rId47" Type="http://schemas.openxmlformats.org/officeDocument/2006/relationships/hyperlink" Target="https://publications.jrc.ec.europa.eu/repository/bitstream/JRC134591/JRC134591_01.pdf" TargetMode="External"/><Relationship Id="rId50" Type="http://schemas.openxmlformats.org/officeDocument/2006/relationships/hyperlink" Target="https://zorg-biogas.com/equipment/biogas-trace-elements/activated_carbon-2" TargetMode="External"/><Relationship Id="rId55" Type="http://schemas.openxmlformats.org/officeDocument/2006/relationships/hyperlink" Target="https://mcrmachinery.com/en/mcr-landing-page-brush-washer/" TargetMode="External"/><Relationship Id="rId63" Type="http://schemas.openxmlformats.org/officeDocument/2006/relationships/hyperlink" Target="https://en.noorderzijlvest.nl/tarievenkaart-verwerken-afvalstoffen-2026" TargetMode="External"/><Relationship Id="rId68" Type="http://schemas.openxmlformats.org/officeDocument/2006/relationships/hyperlink" Target="https://www.indexbox.io/store/european-union-hygroscopic-dust-suppressants-market-analysis-forecast-size-trends-and-insights/" TargetMode="External"/><Relationship Id="rId7" Type="http://schemas.openxmlformats.org/officeDocument/2006/relationships/hyperlink" Target="https://energyboard.eu/en/netherlands/business-gas-prices/" TargetMode="External"/><Relationship Id="rId2" Type="http://schemas.openxmlformats.org/officeDocument/2006/relationships/hyperlink" Target="https://publications.jrc.ec.europa.eu/repository/bitstream/JRC109894/cost_development_of_low_carbon_energy_technologies_v2.2_final_online.pdf" TargetMode="External"/><Relationship Id="rId16" Type="http://schemas.openxmlformats.org/officeDocument/2006/relationships/hyperlink" Target="https://www.epa.gov/sites/default/files/2015-07/documents/catalog_of_chp_technologies_section_5._characterization_-_microturbines.pdf" TargetMode="External"/><Relationship Id="rId29" Type="http://schemas.openxmlformats.org/officeDocument/2006/relationships/hyperlink" Target="https://www.thetradehub.eu/en/customs/trade/29221100" TargetMode="External"/><Relationship Id="rId1" Type="http://schemas.openxmlformats.org/officeDocument/2006/relationships/hyperlink" Target="https://www.sciencedirect.com/science/article/pii/S0960148116309399" TargetMode="External"/><Relationship Id="rId6" Type="http://schemas.openxmlformats.org/officeDocument/2006/relationships/hyperlink" Target="https://ec.europa.eu/eurostat/statistics-explained/index.php?title=Electricity_price_statistics" TargetMode="External"/><Relationship Id="rId11" Type="http://schemas.openxmlformats.org/officeDocument/2006/relationships/hyperlink" Target="https://ec.europa.eu/eurostat/statistics-explained/index.php?title=Natural_gas_price_statistics" TargetMode="External"/><Relationship Id="rId24" Type="http://schemas.openxmlformats.org/officeDocument/2006/relationships/hyperlink" Target="https://ec.europa.eu/eurostat/databrowser/view/nrg_pc_205/bookmark/table?bookmarkId=f741a117-cfd3-4c7e-8b2d-68e9310dcc78" TargetMode="External"/><Relationship Id="rId32" Type="http://schemas.openxmlformats.org/officeDocument/2006/relationships/hyperlink" Target="https://zorg-biogas.com/uploads/1/7329-proposal_75_000_tonne_straw_and_20_000_tonne_manure_into_biomethane_20_mln_m3.pdf" TargetMode="External"/><Relationship Id="rId37" Type="http://schemas.openxmlformats.org/officeDocument/2006/relationships/hyperlink" Target="https://www.behaelter-kg.de/en/5000-liter-heat-coolable-tank-with-6-8-kw-ekato-blade-stirrer-ex-proof-6169-2.html" TargetMode="External"/><Relationship Id="rId40" Type="http://schemas.openxmlformats.org/officeDocument/2006/relationships/hyperlink" Target="https://zorg-biogas.com/uploads/1/7423-proposal_napier_grass_chp_16_20mw.pdf" TargetMode="External"/><Relationship Id="rId45" Type="http://schemas.openxmlformats.org/officeDocument/2006/relationships/hyperlink" Target="https://www.coldtech.eu/en/cumpara/100-kw-chiller-industrial-cooling-applications-7150153" TargetMode="External"/><Relationship Id="rId53" Type="http://schemas.openxmlformats.org/officeDocument/2006/relationships/hyperlink" Target="https://www.univarsolutions.com/be/nl/67682" TargetMode="External"/><Relationship Id="rId58" Type="http://schemas.openxmlformats.org/officeDocument/2006/relationships/hyperlink" Target="https://asa-enzyme.de/en/produkt/pectinase-l-40/" TargetMode="External"/><Relationship Id="rId66" Type="http://schemas.openxmlformats.org/officeDocument/2006/relationships/hyperlink" Target="https://www.waternet.nl/service-en-contact/drinkwater/kosten/belasting-op-leidingwater/" TargetMode="External"/><Relationship Id="rId5" Type="http://schemas.openxmlformats.org/officeDocument/2006/relationships/hyperlink" Target="https://www.mdpi.com/2071-1050/15/18/14006" TargetMode="External"/><Relationship Id="rId15" Type="http://schemas.openxmlformats.org/officeDocument/2006/relationships/hyperlink" Target="https://www.epa.gov/sites/default/files/2015-07/documents/catalog_of_chp_technologies_section_3._technology_characterization_-_combustion_turbines.pdf" TargetMode="External"/><Relationship Id="rId23" Type="http://schemas.openxmlformats.org/officeDocument/2006/relationships/hyperlink" Target="https://zoek.officielebekendmakingen.nl/gmb-2025-142758.html" TargetMode="External"/><Relationship Id="rId28" Type="http://schemas.openxmlformats.org/officeDocument/2006/relationships/hyperlink" Target="https://www.rijksoverheid.nl/binaries/rijksoverheid/documenten/rapporten/2025/09/16/onderzoek-naar-maatregelen-in-het-afvaldomein/Onderzoek-naar-maatregelen-in-het-afvaldomein.pdf" TargetMode="External"/><Relationship Id="rId36" Type="http://schemas.openxmlformats.org/officeDocument/2006/relationships/hyperlink" Target="https://www.hielscher.com/uip4000hdt-4kw-high-performance-ultrasonics.htm" TargetMode="External"/><Relationship Id="rId49" Type="http://schemas.openxmlformats.org/officeDocument/2006/relationships/hyperlink" Target="https://www.indexbox.io/store/european-water-treatment-chemicals-market-analysis-forecast-size-trends-and-insights/" TargetMode="External"/><Relationship Id="rId57" Type="http://schemas.openxmlformats.org/officeDocument/2006/relationships/hyperlink" Target="https://dwsim.org/wiki/index.php?title=Capital_Cost_Estimator" TargetMode="External"/><Relationship Id="rId61" Type="http://schemas.openxmlformats.org/officeDocument/2006/relationships/hyperlink" Target="https://www.giebel-desiccants.com/en/shop/35-0621-00-cagesphere-psa-x-li-0-4-0-8mm-25kg-21271" TargetMode="External"/><Relationship Id="rId10" Type="http://schemas.openxmlformats.org/officeDocument/2006/relationships/hyperlink" Target="https://business.gov.nl/regulations/water-authority-tax/" TargetMode="External"/><Relationship Id="rId19" Type="http://schemas.openxmlformats.org/officeDocument/2006/relationships/hyperlink" Target="https://www.europarl.europa.eu/RegData/etudes/etudes/join/2010/440278/IPOL-ITRE_ET%282010%29440278_EN.pdf" TargetMode="External"/><Relationship Id="rId31" Type="http://schemas.openxmlformats.org/officeDocument/2006/relationships/hyperlink" Target="https://www.aquatech.ro/wp-content/uploads/2025/03/Eurotrolen-Price-List_03-03-2025_compressed.pdf" TargetMode="External"/><Relationship Id="rId44" Type="http://schemas.openxmlformats.org/officeDocument/2006/relationships/hyperlink" Target="https://hydropurewater.com/blog/6047-industrial-wastewater-treatment-in-d-sseldorf-2026-buyer-s-guide.html" TargetMode="External"/><Relationship Id="rId52" Type="http://schemas.openxmlformats.org/officeDocument/2006/relationships/hyperlink" Target="https://www.e-chemsys.lt/categories/filter-media/ion-exchange-resins" TargetMode="External"/><Relationship Id="rId60" Type="http://schemas.openxmlformats.org/officeDocument/2006/relationships/hyperlink" Target="https://www.agv.nl/en/water-authority-tax/tax-rates/tax-rates/" TargetMode="External"/><Relationship Id="rId65" Type="http://schemas.openxmlformats.org/officeDocument/2006/relationships/hyperlink" Target="https://pmc.ncbi.nlm.nih.gov/articles/PMC9821904/" TargetMode="External"/><Relationship Id="rId4" Type="http://schemas.openxmlformats.org/officeDocument/2006/relationships/hyperlink" Target="https://pmc.ncbi.nlm.nih.gov/articles/PMC10775899/" TargetMode="External"/><Relationship Id="rId9" Type="http://schemas.openxmlformats.org/officeDocument/2006/relationships/hyperlink" Target="https://www.vitens.nl/Zakelijk/Tarieven-zakelijk" TargetMode="External"/><Relationship Id="rId14" Type="http://schemas.openxmlformats.org/officeDocument/2006/relationships/hyperlink" Target="https://www.epa.gov/sites/default/files/2015-07/documents/catalog_of_chp_technologies_section_2._technology_characterization_-_reciprocating_internal_combustion_engines.pdf" TargetMode="External"/><Relationship Id="rId22" Type="http://schemas.openxmlformats.org/officeDocument/2006/relationships/hyperlink" Target="https://www.cbs.nl/en-gb/figures/detail/80892ENG" TargetMode="External"/><Relationship Id="rId27" Type="http://schemas.openxmlformats.org/officeDocument/2006/relationships/hyperlink" Target="https://www.belastingdienst.nl/wps/wcm/connect/bldcontentnl/belastingdienst/zakelijk/overige_belastingen/belastingen_op_milieugrondslag/afvalstoffenbelasting/tarief_afvalstoffenbelasting" TargetMode="External"/><Relationship Id="rId30" Type="http://schemas.openxmlformats.org/officeDocument/2006/relationships/hyperlink" Target="https://www.pricepedia.it/en/magazine/article/2026/02/06/sulphuric-acid-product-scarcity-and-cost-increases-drive-current-high-prices/" TargetMode="External"/><Relationship Id="rId35" Type="http://schemas.openxmlformats.org/officeDocument/2006/relationships/hyperlink" Target="https://protesca.com/en-de/products/separator-bauer-pp-855" TargetMode="External"/><Relationship Id="rId43" Type="http://schemas.openxmlformats.org/officeDocument/2006/relationships/hyperlink" Target="https://pmc.ncbi.nlm.nih.gov/articles/PMC10659086/" TargetMode="External"/><Relationship Id="rId48" Type="http://schemas.openxmlformats.org/officeDocument/2006/relationships/hyperlink" Target="https://asa-enzyme.de/en/produkt/cellulase-txl/" TargetMode="External"/><Relationship Id="rId56" Type="http://schemas.openxmlformats.org/officeDocument/2006/relationships/hyperlink" Target="https://www.indexbox.io/store/netherlands-membrane-ultrafiltration-units-market-analysis-forecast-size-trends-and-insights/" TargetMode="External"/><Relationship Id="rId64" Type="http://schemas.openxmlformats.org/officeDocument/2006/relationships/hyperlink" Target="https://edepot.wur.nl/455358" TargetMode="External"/><Relationship Id="rId8" Type="http://schemas.openxmlformats.org/officeDocument/2006/relationships/hyperlink" Target="https://www.waternet.nl/veelgestelde-vragen/drinkwater/tarieven-2025/ik-ben-een-zakelijke-klant.-hoeveel-ga-ik-betalen/" TargetMode="External"/><Relationship Id="rId51" Type="http://schemas.openxmlformats.org/officeDocument/2006/relationships/hyperlink" Target="https://www.giebel-desiccants.com/en/shop/35-0553-00-molecular-sieve-13x-1kg-bag-15356" TargetMode="External"/><Relationship Id="rId3" Type="http://schemas.openxmlformats.org/officeDocument/2006/relationships/hyperlink" Target="https://pmc.ncbi.nlm.nih.gov/articles/PMC12248458/" TargetMode="External"/><Relationship Id="rId12" Type="http://schemas.openxmlformats.org/officeDocument/2006/relationships/hyperlink" Target="https://ec.europa.eu/eurostat/web/products-eurostat-news/w/ddn-20260331-2" TargetMode="External"/><Relationship Id="rId17" Type="http://schemas.openxmlformats.org/officeDocument/2006/relationships/hyperlink" Target="https://systemicproject.eu/wp-content/uploads/D3.2-Report-Schemes-and-Scenarios_update2021-website-BDP.pdf" TargetMode="External"/><Relationship Id="rId25" Type="http://schemas.openxmlformats.org/officeDocument/2006/relationships/hyperlink" Target="https://www.waternet.nl/zakelijk/drinkwater-voor-bedrijven/kosten-met-watermeter/" TargetMode="External"/><Relationship Id="rId33" Type="http://schemas.openxmlformats.org/officeDocument/2006/relationships/hyperlink" Target="https://www.lwk-niedersachsen.de/lwk/news/33475_Fahrsiloanlagen_planen_und_bauen" TargetMode="External"/><Relationship Id="rId38" Type="http://schemas.openxmlformats.org/officeDocument/2006/relationships/hyperlink" Target="https://www.veoliawatertechnologies.nl/en/technologies/uflex" TargetMode="External"/><Relationship Id="rId46" Type="http://schemas.openxmlformats.org/officeDocument/2006/relationships/hyperlink" Target="https://www.dacepricebooklet.com/table-costs/industrial-buildings-manufacturing-and-workshop-buildings-0" TargetMode="External"/><Relationship Id="rId59" Type="http://schemas.openxmlformats.org/officeDocument/2006/relationships/hyperlink" Target="https://ec.europa.eu/eurostat/cache/visualisations/energy-prices/enprices.html?chartId=mainChart&amp;chartInDetails=0&amp;component=0&amp;consoms=MWH500-1999&amp;consumer=N_HOUSEHOLD&amp;currency=EUR&amp;dataset=nrg_pc_205&amp;detail=0&amp;geos=EU27_2020%2CEA%2CBE%2CBG%2CCZ%2CDK%2CDE%2CEE%2CIE%2CEL%2CES%2CFR%2CHR%2CIT%2CCY%2CLV%2CLT%2CLU%2CHU%2CMT%2CNL%2CAT%2CPL%2CPT%2CRO%2CSI%2CSK%2CFI%2CSE%2CIS%2CLI%2CNO%2CME%2CMK%2CAL%2CRS%2CTR%2CBA%2CXK%2CMD%2CUA%2CGE&amp;language=EN&amp;nrg_prc=undefined&amp;order=DESC&amp;percentage=0&amp;product=6000&amp;share=false&amp;taxs=I_TAX%2CX_TAX%2CX_VAT&amp;time=2025-S2&amp;unit=KWH" TargetMode="External"/><Relationship Id="rId67" Type="http://schemas.openxmlformats.org/officeDocument/2006/relationships/hyperlink" Target="https://link.springer.com/article/10.1007/s12155-020-10205-9" TargetMode="External"/><Relationship Id="rId20" Type="http://schemas.openxmlformats.org/officeDocument/2006/relationships/hyperlink" Target="https://ec.europa.eu/eurostat/cache/visualisations/energy-prices/enprices.html?chartId=mainChart&amp;chartInDetails=0&amp;component=0&amp;consoms=MWH500-1999&amp;consumer=N_HOUSEHOLD&amp;currency=EUR&amp;dataset=nrg_pc_205&amp;detail=0&amp;geos=EU27_2020%2CEA%2CBE%2CBG%2CCZ%2CDK%2CDE%2CEE%2CIE%2CEL%2CES%2CFR%2CHR%2CIT%2CCY%2CLV%2CLT%2CLU%2CHU%2CMT%2CNL%2CAT%2CPL%2CPT%2CRO%2CSI%2CSK%2CFI%2CSE&amp;language=EN&amp;nrg_prc=undefined&amp;order=DESC&amp;percentage=0&amp;product=6000&amp;share=false&amp;taxs=I_TAX%2CX_TAX%2CX_VAT&amp;time=2025-S2&amp;unit=KWH" TargetMode="External"/><Relationship Id="rId41" Type="http://schemas.openxmlformats.org/officeDocument/2006/relationships/hyperlink" Target="https://www.sciencedirect.com/science/article/pii/S0016236126005818" TargetMode="External"/><Relationship Id="rId54" Type="http://schemas.openxmlformats.org/officeDocument/2006/relationships/hyperlink" Target="https://pesage-captels.com/en/technic/weighbridge-and-axle-weighting-system-complete-guide-illuminated-selection-2/" TargetMode="External"/><Relationship Id="rId62" Type="http://schemas.openxmlformats.org/officeDocument/2006/relationships/hyperlink" Target="https://watex.eu/en/ultrafiltration-systems/ultrafiltration-system-uf5000-5-cbm-h-aisi-3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B35"/>
  <sheetViews>
    <sheetView showGridLines="0" workbookViewId="0"/>
  </sheetViews>
  <sheetFormatPr defaultRowHeight="13.8"/>
  <cols>
    <col min="1" max="1" width="36" customWidth="1"/>
    <col min="2" max="2" width="100" customWidth="1"/>
  </cols>
  <sheetData>
    <row r="1" spans="1:2">
      <c r="A1" s="1" t="s">
        <v>0</v>
      </c>
      <c r="B1" s="3"/>
    </row>
    <row r="2" spans="1:2">
      <c r="A2" s="3" t="s">
        <v>1</v>
      </c>
      <c r="B2" s="3" t="s">
        <v>2</v>
      </c>
    </row>
    <row r="3" spans="1:2">
      <c r="A3" s="3" t="s">
        <v>3</v>
      </c>
      <c r="B3" s="3" t="s">
        <v>4</v>
      </c>
    </row>
    <row r="4" spans="1:2">
      <c r="A4" s="3"/>
      <c r="B4" s="3"/>
    </row>
    <row r="5" spans="1:2" ht="28.05" customHeight="1">
      <c r="A5" s="2" t="s">
        <v>5</v>
      </c>
      <c r="B5" s="2" t="s">
        <v>6</v>
      </c>
    </row>
    <row r="6" spans="1:2">
      <c r="A6" s="3" t="s">
        <v>7</v>
      </c>
      <c r="B6" s="3">
        <f>17407</f>
        <v>17407</v>
      </c>
    </row>
    <row r="7" spans="1:2">
      <c r="A7" s="3" t="s">
        <v>8</v>
      </c>
      <c r="B7" s="3">
        <f>COUNTA('Cost Inventory'!A5:A1000)</f>
        <v>53</v>
      </c>
    </row>
    <row r="8" spans="1:2">
      <c r="A8" s="3" t="s">
        <v>9</v>
      </c>
      <c r="B8" s="3">
        <f>COUNT('Cost Inventory'!K2:K1000)</f>
        <v>53</v>
      </c>
    </row>
    <row r="9" spans="1:2">
      <c r="A9" s="3" t="s">
        <v>10</v>
      </c>
      <c r="B9" s="3">
        <f>COUNTIF('Cost Inventory'!E2:E1000,"missing")</f>
        <v>0</v>
      </c>
    </row>
    <row r="10" spans="1:2">
      <c r="A10" s="6" t="s">
        <v>11</v>
      </c>
      <c r="B10" s="5" t="s">
        <v>12</v>
      </c>
    </row>
    <row r="11" spans="1:2">
      <c r="A11" s="6" t="s">
        <v>13</v>
      </c>
      <c r="B11" s="5" t="str">
        <f>"Yes, after mass/energy balance and scenario selection"</f>
        <v>Yes, after mass/energy balance and scenario selection</v>
      </c>
    </row>
    <row r="12" spans="1:2">
      <c r="A12" s="6" t="s">
        <v>14</v>
      </c>
      <c r="B12" s="5" t="s">
        <v>15</v>
      </c>
    </row>
    <row r="13" spans="1:2">
      <c r="A13" s="3"/>
      <c r="B13" s="3"/>
    </row>
    <row r="14" spans="1:2" ht="28.05" customHeight="1">
      <c r="A14" s="23" t="s">
        <v>16</v>
      </c>
      <c r="B14" s="23">
        <v>1808</v>
      </c>
    </row>
    <row r="15" spans="1:2" ht="31.05" customHeight="1">
      <c r="A15" s="25" t="s">
        <v>17</v>
      </c>
      <c r="B15" s="24">
        <v>17407</v>
      </c>
    </row>
    <row r="16" spans="1:2" ht="31.05" customHeight="1">
      <c r="A16" s="25" t="s">
        <v>18</v>
      </c>
      <c r="B16" s="24">
        <v>1873</v>
      </c>
    </row>
    <row r="17" spans="1:2" ht="31.05" customHeight="1">
      <c r="A17" s="25" t="s">
        <v>19</v>
      </c>
      <c r="B17" s="24">
        <v>1826</v>
      </c>
    </row>
    <row r="18" spans="1:2" ht="31.05" customHeight="1">
      <c r="A18" s="25" t="s">
        <v>20</v>
      </c>
      <c r="B18" s="24">
        <v>117</v>
      </c>
    </row>
    <row r="19" spans="1:2" ht="31.05" customHeight="1">
      <c r="A19" s="25" t="s">
        <v>21</v>
      </c>
      <c r="B19" s="24" t="s">
        <v>22</v>
      </c>
    </row>
    <row r="20" spans="1:2" ht="31.05" customHeight="1">
      <c r="A20" s="25" t="s">
        <v>23</v>
      </c>
      <c r="B20" s="26" t="s">
        <v>24</v>
      </c>
    </row>
    <row r="21" spans="1:2" ht="31.05" customHeight="1">
      <c r="A21" s="25" t="s">
        <v>25</v>
      </c>
      <c r="B21" s="26" t="s">
        <v>26</v>
      </c>
    </row>
    <row r="22" spans="1:2" ht="31.05" customHeight="1">
      <c r="A22" s="25" t="s">
        <v>27</v>
      </c>
      <c r="B22" s="26" t="s">
        <v>28</v>
      </c>
    </row>
    <row r="23" spans="1:2" ht="31.05" customHeight="1">
      <c r="A23" s="25" t="s">
        <v>29</v>
      </c>
      <c r="B23" s="24" t="s">
        <v>30</v>
      </c>
    </row>
    <row r="24" spans="1:2" ht="28.05" customHeight="1">
      <c r="A24" s="23" t="s">
        <v>31</v>
      </c>
      <c r="B24" s="23" t="s">
        <v>32</v>
      </c>
    </row>
    <row r="25" spans="1:2" ht="31.05" customHeight="1">
      <c r="A25" s="4" t="s">
        <v>33</v>
      </c>
      <c r="B25" s="4" t="s">
        <v>34</v>
      </c>
    </row>
    <row r="26" spans="1:2" ht="31.05" customHeight="1">
      <c r="A26" s="4" t="s">
        <v>35</v>
      </c>
      <c r="B26" s="4" t="s">
        <v>36</v>
      </c>
    </row>
    <row r="27" spans="1:2" ht="31.05" customHeight="1">
      <c r="A27" s="4" t="s">
        <v>37</v>
      </c>
      <c r="B27" s="4" t="s">
        <v>38</v>
      </c>
    </row>
    <row r="28" spans="1:2" ht="31.05" customHeight="1">
      <c r="A28" s="4" t="s">
        <v>39</v>
      </c>
      <c r="B28" s="4" t="s">
        <v>40</v>
      </c>
    </row>
    <row r="29" spans="1:2" ht="31.05" customHeight="1">
      <c r="A29" s="4" t="s">
        <v>41</v>
      </c>
      <c r="B29" s="4" t="s">
        <v>42</v>
      </c>
    </row>
    <row r="30" spans="1:2" ht="31.05" customHeight="1">
      <c r="A30" s="4"/>
      <c r="B30" s="4"/>
    </row>
    <row r="31" spans="1:2" ht="28.05" customHeight="1">
      <c r="A31" s="2" t="s">
        <v>43</v>
      </c>
      <c r="B31" s="2" t="s">
        <v>44</v>
      </c>
    </row>
    <row r="32" spans="1:2" ht="31.05" customHeight="1">
      <c r="A32" s="4" t="s">
        <v>45</v>
      </c>
      <c r="B32" s="4" t="s">
        <v>46</v>
      </c>
    </row>
    <row r="33" spans="1:2" ht="31.05" customHeight="1">
      <c r="A33" s="4" t="s">
        <v>47</v>
      </c>
      <c r="B33" s="4" t="s">
        <v>48</v>
      </c>
    </row>
    <row r="34" spans="1:2" ht="31.05" customHeight="1">
      <c r="A34" s="4" t="s">
        <v>49</v>
      </c>
      <c r="B34" s="4" t="s">
        <v>50</v>
      </c>
    </row>
    <row r="35" spans="1:2" ht="31.05" customHeight="1">
      <c r="A35" s="4" t="s">
        <v>51</v>
      </c>
      <c r="B35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D24"/>
  <sheetViews>
    <sheetView showGridLines="0" workbookViewId="0"/>
  </sheetViews>
  <sheetFormatPr defaultRowHeight="13.8"/>
  <cols>
    <col min="1" max="1" width="34" customWidth="1"/>
    <col min="2" max="2" width="23" customWidth="1"/>
    <col min="3" max="3" width="20" customWidth="1"/>
    <col min="4" max="4" width="75" customWidth="1"/>
  </cols>
  <sheetData>
    <row r="1" spans="1:4">
      <c r="A1" s="1" t="s">
        <v>53</v>
      </c>
      <c r="B1" s="3"/>
      <c r="C1" s="3"/>
      <c r="D1" s="3"/>
    </row>
    <row r="2" spans="1:4">
      <c r="A2" s="3"/>
      <c r="B2" s="3"/>
      <c r="C2" s="3"/>
      <c r="D2" s="3"/>
    </row>
    <row r="3" spans="1:4">
      <c r="A3" s="2" t="s">
        <v>54</v>
      </c>
      <c r="B3" s="2" t="s">
        <v>55</v>
      </c>
      <c r="C3" s="2" t="s">
        <v>56</v>
      </c>
      <c r="D3" s="2" t="s">
        <v>57</v>
      </c>
    </row>
    <row r="4" spans="1:4" ht="25.05" customHeight="1">
      <c r="A4" s="4" t="s">
        <v>58</v>
      </c>
      <c r="B4" s="7"/>
      <c r="C4" s="4" t="s">
        <v>59</v>
      </c>
      <c r="D4" s="4" t="s">
        <v>60</v>
      </c>
    </row>
    <row r="5" spans="1:4" ht="25.05" customHeight="1">
      <c r="A5" s="4" t="s">
        <v>61</v>
      </c>
      <c r="B5" s="7"/>
      <c r="C5" s="4" t="s">
        <v>62</v>
      </c>
      <c r="D5" s="4" t="s">
        <v>63</v>
      </c>
    </row>
    <row r="6" spans="1:4" ht="25.05" customHeight="1">
      <c r="A6" s="4" t="s">
        <v>64</v>
      </c>
      <c r="B6" s="7"/>
      <c r="C6" s="4" t="s">
        <v>65</v>
      </c>
      <c r="D6" s="4" t="s">
        <v>66</v>
      </c>
    </row>
    <row r="7" spans="1:4" ht="25.05" customHeight="1">
      <c r="A7" s="4" t="s">
        <v>67</v>
      </c>
      <c r="B7" s="7"/>
      <c r="C7" s="4" t="s">
        <v>68</v>
      </c>
      <c r="D7" s="4" t="s">
        <v>69</v>
      </c>
    </row>
    <row r="8" spans="1:4" ht="25.05" customHeight="1">
      <c r="A8" s="4" t="s">
        <v>70</v>
      </c>
      <c r="B8" s="7"/>
      <c r="C8" s="4" t="s">
        <v>71</v>
      </c>
      <c r="D8" s="4" t="s">
        <v>72</v>
      </c>
    </row>
    <row r="9" spans="1:4" ht="25.05" customHeight="1">
      <c r="A9" s="4" t="s">
        <v>73</v>
      </c>
      <c r="B9" s="7"/>
      <c r="C9" s="4" t="s">
        <v>74</v>
      </c>
      <c r="D9" s="4" t="s">
        <v>75</v>
      </c>
    </row>
    <row r="10" spans="1:4" ht="25.05" customHeight="1">
      <c r="A10" s="4" t="s">
        <v>76</v>
      </c>
      <c r="B10" s="7"/>
      <c r="C10" s="4" t="s">
        <v>77</v>
      </c>
      <c r="D10" s="4" t="s">
        <v>78</v>
      </c>
    </row>
    <row r="11" spans="1:4" ht="25.05" customHeight="1">
      <c r="A11" s="4" t="s">
        <v>79</v>
      </c>
      <c r="B11" s="7"/>
      <c r="C11" s="4" t="s">
        <v>80</v>
      </c>
      <c r="D11" s="4" t="s">
        <v>81</v>
      </c>
    </row>
    <row r="12" spans="1:4" ht="25.05" customHeight="1">
      <c r="A12" s="4" t="s">
        <v>82</v>
      </c>
      <c r="B12" s="7"/>
      <c r="C12" s="4" t="s">
        <v>83</v>
      </c>
      <c r="D12" s="4" t="s">
        <v>84</v>
      </c>
    </row>
    <row r="13" spans="1:4" ht="25.05" customHeight="1">
      <c r="A13" s="4" t="s">
        <v>85</v>
      </c>
      <c r="B13" s="7"/>
      <c r="C13" s="4" t="s">
        <v>86</v>
      </c>
      <c r="D13" s="4" t="s">
        <v>87</v>
      </c>
    </row>
    <row r="14" spans="1:4" ht="25.05" customHeight="1">
      <c r="A14" s="4" t="s">
        <v>88</v>
      </c>
      <c r="B14" s="7">
        <v>20</v>
      </c>
      <c r="C14" s="4" t="s">
        <v>89</v>
      </c>
      <c r="D14" s="4" t="s">
        <v>90</v>
      </c>
    </row>
    <row r="15" spans="1:4" ht="25.05" customHeight="1">
      <c r="A15" s="4" t="s">
        <v>91</v>
      </c>
      <c r="B15" s="8">
        <v>0.08</v>
      </c>
      <c r="C15" s="4" t="s">
        <v>92</v>
      </c>
      <c r="D15" s="4" t="s">
        <v>93</v>
      </c>
    </row>
    <row r="16" spans="1:4" ht="25.05" customHeight="1">
      <c r="A16" s="4" t="s">
        <v>94</v>
      </c>
      <c r="B16" s="7" t="s">
        <v>95</v>
      </c>
      <c r="C16" s="4" t="s">
        <v>96</v>
      </c>
      <c r="D16" s="4" t="s">
        <v>97</v>
      </c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2" t="s">
        <v>98</v>
      </c>
      <c r="B19" s="2" t="s">
        <v>99</v>
      </c>
      <c r="C19" s="2" t="s">
        <v>100</v>
      </c>
      <c r="D19" s="2" t="s">
        <v>101</v>
      </c>
    </row>
    <row r="20" spans="1:4" ht="26.4">
      <c r="A20" s="4" t="s">
        <v>102</v>
      </c>
      <c r="B20" s="4" t="s">
        <v>103</v>
      </c>
      <c r="C20" s="4" t="s">
        <v>104</v>
      </c>
      <c r="D20" s="4" t="s">
        <v>105</v>
      </c>
    </row>
    <row r="21" spans="1:4" ht="39.6">
      <c r="A21" s="4" t="s">
        <v>106</v>
      </c>
      <c r="B21" s="4" t="s">
        <v>107</v>
      </c>
      <c r="C21" s="4"/>
      <c r="D21" s="4" t="s">
        <v>108</v>
      </c>
    </row>
    <row r="22" spans="1:4" ht="39.6">
      <c r="A22" s="4" t="s">
        <v>109</v>
      </c>
      <c r="B22" s="4" t="s">
        <v>110</v>
      </c>
      <c r="C22" s="4"/>
      <c r="D22" s="4" t="s">
        <v>111</v>
      </c>
    </row>
    <row r="23" spans="1:4" ht="39.6">
      <c r="A23" s="4" t="s">
        <v>112</v>
      </c>
      <c r="B23" s="4" t="s">
        <v>113</v>
      </c>
      <c r="C23" s="4"/>
      <c r="D23" s="4" t="s">
        <v>114</v>
      </c>
    </row>
    <row r="24" spans="1:4" ht="26.4">
      <c r="A24" s="4" t="s">
        <v>115</v>
      </c>
      <c r="B24" s="4" t="s">
        <v>116</v>
      </c>
      <c r="C24" s="4"/>
      <c r="D24" s="4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F22"/>
  <sheetViews>
    <sheetView showGridLines="0" workbookViewId="0"/>
  </sheetViews>
  <sheetFormatPr defaultRowHeight="13.8"/>
  <cols>
    <col min="1" max="1" width="38" customWidth="1"/>
    <col min="2" max="4" width="15" customWidth="1"/>
    <col min="5" max="5" width="27" customWidth="1"/>
    <col min="6" max="6" width="78" customWidth="1"/>
  </cols>
  <sheetData>
    <row r="1" spans="1:6">
      <c r="A1" s="1" t="s">
        <v>118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3" spans="1:6">
      <c r="A3" s="3" t="s">
        <v>94</v>
      </c>
      <c r="B3" s="9" t="s">
        <v>95</v>
      </c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2" t="s">
        <v>119</v>
      </c>
      <c r="B5" s="2" t="s">
        <v>120</v>
      </c>
      <c r="C5" s="2" t="s">
        <v>95</v>
      </c>
      <c r="D5" s="2" t="s">
        <v>121</v>
      </c>
      <c r="E5" s="2" t="s">
        <v>56</v>
      </c>
      <c r="F5" s="2" t="s">
        <v>122</v>
      </c>
    </row>
    <row r="6" spans="1:6" ht="33" customHeight="1">
      <c r="A6" s="4" t="s">
        <v>123</v>
      </c>
      <c r="B6" s="7"/>
      <c r="C6" s="7"/>
      <c r="D6" s="7"/>
      <c r="E6" s="4" t="s">
        <v>59</v>
      </c>
      <c r="F6" s="4" t="s">
        <v>124</v>
      </c>
    </row>
    <row r="7" spans="1:6" ht="33" customHeight="1">
      <c r="A7" s="4" t="s">
        <v>125</v>
      </c>
      <c r="B7" s="7"/>
      <c r="C7" s="7"/>
      <c r="D7" s="7"/>
      <c r="E7" s="4" t="s">
        <v>71</v>
      </c>
      <c r="F7" s="4" t="s">
        <v>126</v>
      </c>
    </row>
    <row r="8" spans="1:6" ht="33" customHeight="1">
      <c r="A8" s="4" t="s">
        <v>127</v>
      </c>
      <c r="B8" s="7">
        <v>0.16</v>
      </c>
      <c r="C8" s="7">
        <v>0.1991</v>
      </c>
      <c r="D8" s="7">
        <v>0.24</v>
      </c>
      <c r="E8" s="4" t="s">
        <v>128</v>
      </c>
      <c r="F8" s="4" t="s">
        <v>129</v>
      </c>
    </row>
    <row r="9" spans="1:6" ht="33" customHeight="1">
      <c r="A9" s="4" t="s">
        <v>130</v>
      </c>
      <c r="B9" s="10">
        <v>6.0499999999999998E-2</v>
      </c>
      <c r="C9" s="10">
        <v>6.7400000000000002E-2</v>
      </c>
      <c r="D9" s="10">
        <v>7.8799999999999995E-2</v>
      </c>
      <c r="E9" s="4" t="s">
        <v>128</v>
      </c>
      <c r="F9" s="4" t="s">
        <v>131</v>
      </c>
    </row>
    <row r="10" spans="1:6" ht="33" customHeight="1">
      <c r="A10" s="4" t="s">
        <v>132</v>
      </c>
      <c r="B10" s="10">
        <v>1.18</v>
      </c>
      <c r="C10" s="10">
        <v>1.23</v>
      </c>
      <c r="D10" s="10">
        <v>1.98</v>
      </c>
      <c r="E10" s="4" t="s">
        <v>133</v>
      </c>
      <c r="F10" s="4" t="s">
        <v>134</v>
      </c>
    </row>
    <row r="11" spans="1:6" ht="33" customHeight="1">
      <c r="A11" s="4" t="s">
        <v>135</v>
      </c>
      <c r="B11" s="7">
        <v>7</v>
      </c>
      <c r="C11" s="7">
        <v>10.77</v>
      </c>
      <c r="D11" s="7">
        <v>55</v>
      </c>
      <c r="E11" s="4" t="s">
        <v>136</v>
      </c>
      <c r="F11" s="4" t="s">
        <v>137</v>
      </c>
    </row>
    <row r="12" spans="1:6" ht="33" customHeight="1">
      <c r="A12" s="4" t="s">
        <v>138</v>
      </c>
      <c r="B12" s="7"/>
      <c r="C12" s="7">
        <v>5.2925000000000004</v>
      </c>
      <c r="D12" s="7"/>
      <c r="E12" s="4" t="s">
        <v>139</v>
      </c>
      <c r="F12" s="4" t="s">
        <v>140</v>
      </c>
    </row>
    <row r="13" spans="1:6" ht="33" customHeight="1">
      <c r="A13" s="4" t="s">
        <v>141</v>
      </c>
      <c r="B13" s="7">
        <v>2600</v>
      </c>
      <c r="C13" s="7">
        <v>2930</v>
      </c>
      <c r="D13" s="7">
        <v>3000</v>
      </c>
      <c r="E13" s="4" t="s">
        <v>142</v>
      </c>
      <c r="F13" s="4" t="s">
        <v>143</v>
      </c>
    </row>
    <row r="14" spans="1:6" ht="33" customHeight="1">
      <c r="A14" s="4" t="s">
        <v>144</v>
      </c>
      <c r="B14" s="7">
        <v>1200</v>
      </c>
      <c r="C14" s="7">
        <v>1750</v>
      </c>
      <c r="D14" s="7">
        <v>3000</v>
      </c>
      <c r="E14" s="4" t="s">
        <v>145</v>
      </c>
      <c r="F14" s="4" t="s">
        <v>146</v>
      </c>
    </row>
    <row r="15" spans="1:6" ht="33" customHeight="1">
      <c r="A15" s="4" t="s">
        <v>147</v>
      </c>
      <c r="B15" s="7">
        <v>1300</v>
      </c>
      <c r="C15" s="7">
        <v>1500</v>
      </c>
      <c r="D15" s="7">
        <v>5100</v>
      </c>
      <c r="E15" s="4" t="s">
        <v>145</v>
      </c>
      <c r="F15" s="4" t="s">
        <v>148</v>
      </c>
    </row>
    <row r="16" spans="1:6" ht="33" customHeight="1">
      <c r="A16" s="4" t="s">
        <v>149</v>
      </c>
      <c r="B16" s="7">
        <v>1800</v>
      </c>
      <c r="C16" s="7">
        <v>2000</v>
      </c>
      <c r="D16" s="7">
        <v>6000</v>
      </c>
      <c r="E16" s="4" t="s">
        <v>145</v>
      </c>
      <c r="F16" s="4" t="s">
        <v>150</v>
      </c>
    </row>
    <row r="17" spans="1:6" ht="33" customHeight="1">
      <c r="A17" s="4" t="s">
        <v>151</v>
      </c>
      <c r="B17" s="7">
        <v>0.04</v>
      </c>
      <c r="C17" s="7">
        <v>0.04</v>
      </c>
      <c r="D17" s="7">
        <v>0.04</v>
      </c>
      <c r="E17" s="4" t="s">
        <v>152</v>
      </c>
      <c r="F17" s="4" t="s">
        <v>153</v>
      </c>
    </row>
    <row r="18" spans="1:6" ht="33" customHeight="1">
      <c r="A18" s="4" t="s">
        <v>91</v>
      </c>
      <c r="B18" s="8">
        <v>0.06</v>
      </c>
      <c r="C18" s="8">
        <v>0.08</v>
      </c>
      <c r="D18" s="8">
        <v>0.12</v>
      </c>
      <c r="E18" s="4" t="s">
        <v>92</v>
      </c>
      <c r="F18" s="4" t="s">
        <v>154</v>
      </c>
    </row>
    <row r="19" spans="1:6" ht="33" customHeight="1">
      <c r="A19" s="4" t="s">
        <v>88</v>
      </c>
      <c r="B19" s="7">
        <v>15</v>
      </c>
      <c r="C19" s="7">
        <v>20</v>
      </c>
      <c r="D19" s="7">
        <v>25</v>
      </c>
      <c r="E19" s="4" t="s">
        <v>89</v>
      </c>
      <c r="F19" s="4" t="s">
        <v>155</v>
      </c>
    </row>
    <row r="20" spans="1:6">
      <c r="A20" s="12" t="s">
        <v>156</v>
      </c>
      <c r="B20" s="12"/>
      <c r="C20" s="12"/>
      <c r="D20" s="12"/>
      <c r="E20" s="12"/>
      <c r="F20" s="12"/>
    </row>
    <row r="21" spans="1:6">
      <c r="A21" s="13" t="s">
        <v>157</v>
      </c>
      <c r="B21" s="13">
        <v>1808</v>
      </c>
      <c r="C21" s="13" t="s">
        <v>158</v>
      </c>
      <c r="D21" s="13" t="s">
        <v>159</v>
      </c>
      <c r="E21" s="13"/>
      <c r="F21" s="13"/>
    </row>
    <row r="22" spans="1:6">
      <c r="A22" s="13" t="s">
        <v>160</v>
      </c>
      <c r="B22" s="14"/>
      <c r="C22" s="13" t="s">
        <v>161</v>
      </c>
      <c r="D22" s="13" t="s">
        <v>162</v>
      </c>
      <c r="E22" s="13"/>
      <c r="F22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4"/>
  <sheetViews>
    <sheetView showGridLines="0" workbookViewId="0">
      <pane ySplit="4" topLeftCell="A54" activePane="bottomLeft" state="frozen"/>
      <selection pane="bottomLeft" activeCell="E6" sqref="E6"/>
    </sheetView>
  </sheetViews>
  <sheetFormatPr defaultRowHeight="13.8"/>
  <cols>
    <col min="1" max="1" width="20" customWidth="1"/>
    <col min="2" max="2" width="23" customWidth="1"/>
    <col min="3" max="3" width="48" customWidth="1"/>
    <col min="4" max="4" width="18" customWidth="1"/>
    <col min="5" max="5" width="22" customWidth="1"/>
    <col min="6" max="6" width="19" customWidth="1"/>
    <col min="7" max="7" width="31" customWidth="1"/>
    <col min="8" max="8" width="12" customWidth="1"/>
    <col min="9" max="9" width="16" customWidth="1"/>
    <col min="10" max="10" width="24" customWidth="1"/>
    <col min="11" max="11" width="20" customWidth="1"/>
    <col min="12" max="12" width="32" customWidth="1"/>
    <col min="13" max="13" width="48" customWidth="1"/>
    <col min="14" max="14" width="14" customWidth="1"/>
    <col min="15" max="15" width="28" customWidth="1"/>
    <col min="16" max="16" width="30" customWidth="1"/>
    <col min="17" max="17" width="55" customWidth="1"/>
    <col min="18" max="18" width="50" customWidth="1"/>
    <col min="19" max="19" width="16" customWidth="1"/>
    <col min="20" max="20" width="18" customWidth="1"/>
    <col min="21" max="21" width="48" customWidth="1"/>
    <col min="22" max="22" width="60" customWidth="1"/>
    <col min="23" max="23" width="20" customWidth="1"/>
    <col min="24" max="24" width="14" customWidth="1"/>
    <col min="25" max="25" width="65" customWidth="1"/>
    <col min="26" max="26" width="48" customWidth="1"/>
  </cols>
  <sheetData>
    <row r="1" spans="1:26">
      <c r="A1" s="32" t="s">
        <v>163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>
      <c r="A2" s="34" t="s">
        <v>164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4" spans="1:26" ht="36" customHeight="1">
      <c r="A4" s="29" t="s">
        <v>165</v>
      </c>
      <c r="B4" s="29" t="s">
        <v>166</v>
      </c>
      <c r="C4" s="29" t="s">
        <v>167</v>
      </c>
      <c r="D4" s="29" t="s">
        <v>168</v>
      </c>
      <c r="E4" s="29" t="s">
        <v>169</v>
      </c>
      <c r="F4" s="29" t="s">
        <v>170</v>
      </c>
      <c r="G4" s="29" t="s">
        <v>171</v>
      </c>
      <c r="H4" s="29" t="s">
        <v>172</v>
      </c>
      <c r="I4" s="29" t="s">
        <v>173</v>
      </c>
      <c r="J4" s="29" t="s">
        <v>174</v>
      </c>
      <c r="K4" s="29" t="s">
        <v>175</v>
      </c>
      <c r="L4" s="29" t="s">
        <v>176</v>
      </c>
      <c r="M4" s="29" t="s">
        <v>177</v>
      </c>
      <c r="N4" s="29" t="s">
        <v>178</v>
      </c>
      <c r="O4" s="29" t="s">
        <v>179</v>
      </c>
      <c r="P4" s="29" t="s">
        <v>180</v>
      </c>
      <c r="Q4" s="29" t="s">
        <v>181</v>
      </c>
      <c r="R4" s="29" t="s">
        <v>182</v>
      </c>
      <c r="S4" s="29" t="s">
        <v>183</v>
      </c>
      <c r="T4" s="29" t="s">
        <v>184</v>
      </c>
      <c r="U4" s="29" t="s">
        <v>185</v>
      </c>
      <c r="V4" s="29" t="s">
        <v>186</v>
      </c>
      <c r="W4" s="29" t="s">
        <v>187</v>
      </c>
      <c r="X4" s="29" t="s">
        <v>188</v>
      </c>
      <c r="Y4" s="29" t="s">
        <v>189</v>
      </c>
      <c r="Z4" s="29" t="s">
        <v>190</v>
      </c>
    </row>
    <row r="5" spans="1:26" ht="52.05" customHeight="1">
      <c r="A5" s="27" t="s">
        <v>191</v>
      </c>
      <c r="B5" s="27" t="s">
        <v>192</v>
      </c>
      <c r="C5" s="27" t="s">
        <v>193</v>
      </c>
      <c r="D5" s="27" t="s">
        <v>194</v>
      </c>
      <c r="E5" s="27" t="s">
        <v>195</v>
      </c>
      <c r="F5" s="27">
        <v>250000</v>
      </c>
      <c r="G5" s="27" t="s">
        <v>196</v>
      </c>
      <c r="H5" s="27" t="s">
        <v>104</v>
      </c>
      <c r="I5" s="27" t="s">
        <v>197</v>
      </c>
      <c r="J5" s="27" t="s">
        <v>198</v>
      </c>
      <c r="K5" s="27">
        <v>250000</v>
      </c>
      <c r="L5" s="27" t="s">
        <v>196</v>
      </c>
      <c r="M5" s="27" t="s">
        <v>199</v>
      </c>
      <c r="N5" s="27">
        <v>0.7</v>
      </c>
      <c r="O5" s="27" t="s">
        <v>200</v>
      </c>
      <c r="P5" s="27" t="s">
        <v>201</v>
      </c>
      <c r="Q5" s="27" t="s">
        <v>202</v>
      </c>
      <c r="R5" s="27" t="s">
        <v>203</v>
      </c>
      <c r="S5" s="27"/>
      <c r="T5" s="27"/>
      <c r="U5" s="27" t="s">
        <v>204</v>
      </c>
      <c r="V5" s="27" t="s">
        <v>205</v>
      </c>
      <c r="W5" s="27" t="s">
        <v>197</v>
      </c>
      <c r="X5" s="27" t="s">
        <v>120</v>
      </c>
      <c r="Y5" s="27" t="s">
        <v>206</v>
      </c>
      <c r="Z5" s="27" t="s">
        <v>207</v>
      </c>
    </row>
    <row r="6" spans="1:26" ht="52.05" customHeight="1">
      <c r="A6" s="28" t="s">
        <v>208</v>
      </c>
      <c r="B6" s="28" t="s">
        <v>209</v>
      </c>
      <c r="C6" s="28" t="s">
        <v>210</v>
      </c>
      <c r="D6" s="28" t="s">
        <v>194</v>
      </c>
      <c r="E6" s="28" t="s">
        <v>195</v>
      </c>
      <c r="F6" s="28">
        <v>60000</v>
      </c>
      <c r="G6" s="28" t="s">
        <v>211</v>
      </c>
      <c r="H6" s="28" t="s">
        <v>104</v>
      </c>
      <c r="I6" s="28" t="s">
        <v>212</v>
      </c>
      <c r="J6" s="28" t="s">
        <v>213</v>
      </c>
      <c r="K6" s="28">
        <v>60000</v>
      </c>
      <c r="L6" s="28" t="s">
        <v>211</v>
      </c>
      <c r="M6" s="28" t="s">
        <v>199</v>
      </c>
      <c r="N6" s="28">
        <v>0.7</v>
      </c>
      <c r="O6" s="28" t="s">
        <v>214</v>
      </c>
      <c r="P6" s="28" t="s">
        <v>214</v>
      </c>
      <c r="Q6" s="28" t="s">
        <v>215</v>
      </c>
      <c r="R6" s="28" t="s">
        <v>216</v>
      </c>
      <c r="S6" s="28"/>
      <c r="T6" s="28"/>
      <c r="U6" s="28" t="s">
        <v>217</v>
      </c>
      <c r="V6" s="28" t="s">
        <v>218</v>
      </c>
      <c r="W6" s="28" t="s">
        <v>212</v>
      </c>
      <c r="X6" s="28" t="s">
        <v>219</v>
      </c>
      <c r="Y6" s="28" t="s">
        <v>220</v>
      </c>
      <c r="Z6" s="28" t="s">
        <v>221</v>
      </c>
    </row>
    <row r="7" spans="1:26" ht="52.05" customHeight="1">
      <c r="A7" s="27" t="s">
        <v>222</v>
      </c>
      <c r="B7" s="27" t="s">
        <v>223</v>
      </c>
      <c r="C7" s="27" t="s">
        <v>224</v>
      </c>
      <c r="D7" s="27" t="s">
        <v>194</v>
      </c>
      <c r="E7" s="27" t="s">
        <v>195</v>
      </c>
      <c r="F7" s="27">
        <v>50000</v>
      </c>
      <c r="G7" s="27" t="s">
        <v>225</v>
      </c>
      <c r="H7" s="27" t="s">
        <v>104</v>
      </c>
      <c r="I7" s="27" t="s">
        <v>226</v>
      </c>
      <c r="J7" s="27" t="s">
        <v>227</v>
      </c>
      <c r="K7" s="27">
        <v>50000</v>
      </c>
      <c r="L7" s="27" t="s">
        <v>225</v>
      </c>
      <c r="M7" s="27" t="s">
        <v>199</v>
      </c>
      <c r="N7" s="27">
        <v>0.75</v>
      </c>
      <c r="O7" s="27" t="s">
        <v>228</v>
      </c>
      <c r="P7" s="27" t="s">
        <v>229</v>
      </c>
      <c r="Q7" s="27" t="s">
        <v>230</v>
      </c>
      <c r="R7" s="27" t="s">
        <v>231</v>
      </c>
      <c r="S7" s="27"/>
      <c r="T7" s="27"/>
      <c r="U7" s="27" t="s">
        <v>232</v>
      </c>
      <c r="V7" s="27" t="s">
        <v>233</v>
      </c>
      <c r="W7" s="27" t="s">
        <v>226</v>
      </c>
      <c r="X7" s="27" t="s">
        <v>120</v>
      </c>
      <c r="Y7" s="27" t="s">
        <v>234</v>
      </c>
      <c r="Z7" s="27" t="s">
        <v>235</v>
      </c>
    </row>
    <row r="8" spans="1:26" ht="52.05" customHeight="1">
      <c r="A8" s="28" t="s">
        <v>222</v>
      </c>
      <c r="B8" s="28" t="s">
        <v>236</v>
      </c>
      <c r="C8" s="28" t="s">
        <v>237</v>
      </c>
      <c r="D8" s="28" t="s">
        <v>194</v>
      </c>
      <c r="E8" s="28" t="s">
        <v>195</v>
      </c>
      <c r="F8" s="28">
        <v>66899</v>
      </c>
      <c r="G8" s="28" t="s">
        <v>238</v>
      </c>
      <c r="H8" s="28" t="s">
        <v>104</v>
      </c>
      <c r="I8" s="28" t="s">
        <v>239</v>
      </c>
      <c r="J8" s="28" t="s">
        <v>240</v>
      </c>
      <c r="K8" s="28">
        <v>66899</v>
      </c>
      <c r="L8" s="28" t="s">
        <v>238</v>
      </c>
      <c r="M8" s="28" t="s">
        <v>199</v>
      </c>
      <c r="N8" s="28">
        <v>0.7</v>
      </c>
      <c r="O8" s="28" t="s">
        <v>241</v>
      </c>
      <c r="P8" s="28" t="s">
        <v>229</v>
      </c>
      <c r="Q8" s="28" t="s">
        <v>242</v>
      </c>
      <c r="R8" s="28" t="s">
        <v>243</v>
      </c>
      <c r="S8" s="28"/>
      <c r="T8" s="28"/>
      <c r="U8" s="28" t="s">
        <v>244</v>
      </c>
      <c r="V8" s="28" t="s">
        <v>245</v>
      </c>
      <c r="W8" s="28" t="s">
        <v>239</v>
      </c>
      <c r="X8" s="28" t="s">
        <v>246</v>
      </c>
      <c r="Y8" s="28" t="s">
        <v>247</v>
      </c>
      <c r="Z8" s="28" t="s">
        <v>248</v>
      </c>
    </row>
    <row r="9" spans="1:26" ht="52.05" customHeight="1">
      <c r="A9" s="27" t="s">
        <v>222</v>
      </c>
      <c r="B9" s="27" t="s">
        <v>249</v>
      </c>
      <c r="C9" s="27" t="s">
        <v>250</v>
      </c>
      <c r="D9" s="27" t="s">
        <v>194</v>
      </c>
      <c r="E9" s="27" t="s">
        <v>251</v>
      </c>
      <c r="F9" s="27">
        <v>680000</v>
      </c>
      <c r="G9" s="27" t="s">
        <v>252</v>
      </c>
      <c r="H9" s="27" t="s">
        <v>104</v>
      </c>
      <c r="I9" s="27" t="s">
        <v>253</v>
      </c>
      <c r="J9" s="27" t="s">
        <v>254</v>
      </c>
      <c r="K9" s="27">
        <v>680000</v>
      </c>
      <c r="L9" s="27" t="s">
        <v>252</v>
      </c>
      <c r="M9" s="27" t="s">
        <v>199</v>
      </c>
      <c r="N9" s="27">
        <v>0.6</v>
      </c>
      <c r="O9" s="27" t="s">
        <v>255</v>
      </c>
      <c r="P9" s="27" t="s">
        <v>256</v>
      </c>
      <c r="Q9" s="27" t="s">
        <v>257</v>
      </c>
      <c r="R9" s="27" t="s">
        <v>258</v>
      </c>
      <c r="S9" s="27"/>
      <c r="T9" s="27"/>
      <c r="U9" s="27" t="s">
        <v>259</v>
      </c>
      <c r="V9" s="27" t="s">
        <v>260</v>
      </c>
      <c r="W9" s="27" t="s">
        <v>253</v>
      </c>
      <c r="X9" s="27" t="s">
        <v>120</v>
      </c>
      <c r="Y9" s="27" t="s">
        <v>261</v>
      </c>
      <c r="Z9" s="27" t="s">
        <v>262</v>
      </c>
    </row>
    <row r="10" spans="1:26" ht="52.05" customHeight="1">
      <c r="A10" s="28" t="s">
        <v>222</v>
      </c>
      <c r="B10" s="28" t="s">
        <v>263</v>
      </c>
      <c r="C10" s="28" t="s">
        <v>264</v>
      </c>
      <c r="D10" s="28" t="s">
        <v>194</v>
      </c>
      <c r="E10" s="28" t="s">
        <v>195</v>
      </c>
      <c r="F10" s="28">
        <v>80000</v>
      </c>
      <c r="G10" s="28" t="s">
        <v>265</v>
      </c>
      <c r="H10" s="28" t="s">
        <v>104</v>
      </c>
      <c r="I10" s="28" t="s">
        <v>266</v>
      </c>
      <c r="J10" s="28" t="s">
        <v>267</v>
      </c>
      <c r="K10" s="28">
        <v>80000</v>
      </c>
      <c r="L10" s="28" t="s">
        <v>265</v>
      </c>
      <c r="M10" s="28" t="s">
        <v>199</v>
      </c>
      <c r="N10" s="28">
        <v>0.6</v>
      </c>
      <c r="O10" s="28" t="s">
        <v>268</v>
      </c>
      <c r="P10" s="28" t="s">
        <v>269</v>
      </c>
      <c r="Q10" s="28" t="s">
        <v>270</v>
      </c>
      <c r="R10" s="28" t="s">
        <v>271</v>
      </c>
      <c r="S10" s="28"/>
      <c r="T10" s="28"/>
      <c r="U10" s="28" t="s">
        <v>272</v>
      </c>
      <c r="V10" s="28" t="s">
        <v>273</v>
      </c>
      <c r="W10" s="28" t="s">
        <v>266</v>
      </c>
      <c r="X10" s="28" t="s">
        <v>120</v>
      </c>
      <c r="Y10" s="28" t="s">
        <v>274</v>
      </c>
      <c r="Z10" s="28" t="s">
        <v>275</v>
      </c>
    </row>
    <row r="11" spans="1:26" ht="52.05" customHeight="1">
      <c r="A11" s="27" t="s">
        <v>276</v>
      </c>
      <c r="B11" s="27" t="s">
        <v>277</v>
      </c>
      <c r="C11" s="27" t="s">
        <v>278</v>
      </c>
      <c r="D11" s="27" t="s">
        <v>194</v>
      </c>
      <c r="E11" s="27" t="s">
        <v>251</v>
      </c>
      <c r="F11" s="27">
        <v>25000</v>
      </c>
      <c r="G11" s="27" t="s">
        <v>279</v>
      </c>
      <c r="H11" s="27" t="s">
        <v>104</v>
      </c>
      <c r="I11" s="27" t="s">
        <v>280</v>
      </c>
      <c r="J11" s="27" t="s">
        <v>281</v>
      </c>
      <c r="K11" s="27">
        <v>25000</v>
      </c>
      <c r="L11" s="27" t="s">
        <v>279</v>
      </c>
      <c r="M11" s="27" t="s">
        <v>199</v>
      </c>
      <c r="N11" s="27">
        <v>0.6</v>
      </c>
      <c r="O11" s="27" t="s">
        <v>282</v>
      </c>
      <c r="P11" s="27" t="s">
        <v>282</v>
      </c>
      <c r="Q11" s="27" t="s">
        <v>283</v>
      </c>
      <c r="R11" s="27" t="s">
        <v>284</v>
      </c>
      <c r="S11" s="27"/>
      <c r="T11" s="27"/>
      <c r="U11" s="27" t="s">
        <v>285</v>
      </c>
      <c r="V11" s="27" t="s">
        <v>286</v>
      </c>
      <c r="W11" s="27" t="s">
        <v>280</v>
      </c>
      <c r="X11" s="27" t="s">
        <v>120</v>
      </c>
      <c r="Y11" s="27" t="s">
        <v>287</v>
      </c>
      <c r="Z11" s="27" t="s">
        <v>288</v>
      </c>
    </row>
    <row r="12" spans="1:26" ht="52.05" customHeight="1">
      <c r="A12" s="28" t="s">
        <v>289</v>
      </c>
      <c r="B12" s="28" t="s">
        <v>290</v>
      </c>
      <c r="C12" s="28" t="s">
        <v>291</v>
      </c>
      <c r="D12" s="28" t="s">
        <v>194</v>
      </c>
      <c r="E12" s="28" t="s">
        <v>195</v>
      </c>
      <c r="F12" s="28">
        <v>30000</v>
      </c>
      <c r="G12" s="28" t="s">
        <v>292</v>
      </c>
      <c r="H12" s="28" t="s">
        <v>104</v>
      </c>
      <c r="I12" s="28" t="s">
        <v>280</v>
      </c>
      <c r="J12" s="28" t="s">
        <v>281</v>
      </c>
      <c r="K12" s="28">
        <v>30000</v>
      </c>
      <c r="L12" s="28" t="s">
        <v>292</v>
      </c>
      <c r="M12" s="28" t="s">
        <v>199</v>
      </c>
      <c r="N12" s="28">
        <v>0.7</v>
      </c>
      <c r="O12" s="28" t="s">
        <v>293</v>
      </c>
      <c r="P12" s="28" t="s">
        <v>294</v>
      </c>
      <c r="Q12" s="28" t="s">
        <v>295</v>
      </c>
      <c r="R12" s="28" t="s">
        <v>296</v>
      </c>
      <c r="S12" s="28"/>
      <c r="T12" s="28"/>
      <c r="U12" s="28" t="s">
        <v>297</v>
      </c>
      <c r="V12" s="28" t="s">
        <v>286</v>
      </c>
      <c r="W12" s="28" t="s">
        <v>280</v>
      </c>
      <c r="X12" s="28" t="s">
        <v>120</v>
      </c>
      <c r="Y12" s="28" t="s">
        <v>298</v>
      </c>
      <c r="Z12" s="28" t="s">
        <v>299</v>
      </c>
    </row>
    <row r="13" spans="1:26" ht="52.05" customHeight="1">
      <c r="A13" s="27" t="s">
        <v>289</v>
      </c>
      <c r="B13" s="27" t="s">
        <v>300</v>
      </c>
      <c r="C13" s="27" t="s">
        <v>301</v>
      </c>
      <c r="D13" s="27" t="s">
        <v>194</v>
      </c>
      <c r="E13" s="27" t="s">
        <v>251</v>
      </c>
      <c r="F13" s="27">
        <v>86333</v>
      </c>
      <c r="G13" s="27" t="s">
        <v>302</v>
      </c>
      <c r="H13" s="27" t="s">
        <v>104</v>
      </c>
      <c r="I13" s="27" t="s">
        <v>303</v>
      </c>
      <c r="J13" s="27" t="s">
        <v>304</v>
      </c>
      <c r="K13" s="27">
        <v>86333</v>
      </c>
      <c r="L13" s="27" t="s">
        <v>302</v>
      </c>
      <c r="M13" s="27" t="s">
        <v>199</v>
      </c>
      <c r="N13" s="27">
        <v>0.6</v>
      </c>
      <c r="O13" s="27" t="s">
        <v>305</v>
      </c>
      <c r="P13" s="27" t="s">
        <v>306</v>
      </c>
      <c r="Q13" s="27" t="s">
        <v>307</v>
      </c>
      <c r="R13" s="27" t="s">
        <v>308</v>
      </c>
      <c r="S13" s="27"/>
      <c r="T13" s="27"/>
      <c r="U13" s="27" t="s">
        <v>309</v>
      </c>
      <c r="V13" s="27" t="s">
        <v>310</v>
      </c>
      <c r="W13" s="27" t="s">
        <v>303</v>
      </c>
      <c r="X13" s="27" t="s">
        <v>246</v>
      </c>
      <c r="Y13" s="27" t="s">
        <v>311</v>
      </c>
      <c r="Z13" s="27" t="s">
        <v>312</v>
      </c>
    </row>
    <row r="14" spans="1:26" ht="52.05" customHeight="1">
      <c r="A14" s="28" t="s">
        <v>289</v>
      </c>
      <c r="B14" s="28" t="s">
        <v>313</v>
      </c>
      <c r="C14" s="28" t="s">
        <v>314</v>
      </c>
      <c r="D14" s="28" t="s">
        <v>194</v>
      </c>
      <c r="E14" s="28" t="s">
        <v>195</v>
      </c>
      <c r="F14" s="28">
        <v>75000</v>
      </c>
      <c r="G14" s="28" t="s">
        <v>315</v>
      </c>
      <c r="H14" s="28" t="s">
        <v>104</v>
      </c>
      <c r="I14" s="28" t="s">
        <v>316</v>
      </c>
      <c r="J14" s="28" t="s">
        <v>317</v>
      </c>
      <c r="K14" s="28">
        <v>75000</v>
      </c>
      <c r="L14" s="28" t="s">
        <v>315</v>
      </c>
      <c r="M14" s="28" t="s">
        <v>199</v>
      </c>
      <c r="N14" s="28">
        <v>0.7</v>
      </c>
      <c r="O14" s="28" t="s">
        <v>318</v>
      </c>
      <c r="P14" s="28" t="s">
        <v>319</v>
      </c>
      <c r="Q14" s="28" t="s">
        <v>320</v>
      </c>
      <c r="R14" s="28" t="s">
        <v>321</v>
      </c>
      <c r="S14" s="28"/>
      <c r="T14" s="28"/>
      <c r="U14" s="28" t="s">
        <v>322</v>
      </c>
      <c r="V14" s="28" t="s">
        <v>323</v>
      </c>
      <c r="W14" s="28" t="s">
        <v>316</v>
      </c>
      <c r="X14" s="28" t="s">
        <v>120</v>
      </c>
      <c r="Y14" s="28" t="s">
        <v>324</v>
      </c>
      <c r="Z14" s="28" t="s">
        <v>325</v>
      </c>
    </row>
    <row r="15" spans="1:26" ht="52.05" customHeight="1">
      <c r="A15" s="27" t="s">
        <v>289</v>
      </c>
      <c r="B15" s="27" t="s">
        <v>326</v>
      </c>
      <c r="C15" s="27" t="s">
        <v>327</v>
      </c>
      <c r="D15" s="27" t="s">
        <v>194</v>
      </c>
      <c r="E15" s="27" t="s">
        <v>251</v>
      </c>
      <c r="F15" s="27">
        <v>600000</v>
      </c>
      <c r="G15" s="27" t="s">
        <v>328</v>
      </c>
      <c r="H15" s="27" t="s">
        <v>104</v>
      </c>
      <c r="I15" s="27" t="s">
        <v>329</v>
      </c>
      <c r="J15" s="27" t="s">
        <v>330</v>
      </c>
      <c r="K15" s="27">
        <v>600000</v>
      </c>
      <c r="L15" s="27" t="s">
        <v>328</v>
      </c>
      <c r="M15" s="27" t="s">
        <v>199</v>
      </c>
      <c r="N15" s="27">
        <v>0.7</v>
      </c>
      <c r="O15" s="27" t="s">
        <v>331</v>
      </c>
      <c r="P15" s="27" t="s">
        <v>331</v>
      </c>
      <c r="Q15" s="27" t="s">
        <v>332</v>
      </c>
      <c r="R15" s="27" t="s">
        <v>333</v>
      </c>
      <c r="S15" s="27"/>
      <c r="T15" s="27"/>
      <c r="U15" s="27" t="s">
        <v>334</v>
      </c>
      <c r="V15" s="27" t="s">
        <v>335</v>
      </c>
      <c r="W15" s="27" t="s">
        <v>329</v>
      </c>
      <c r="X15" s="27" t="s">
        <v>246</v>
      </c>
      <c r="Y15" s="27" t="s">
        <v>336</v>
      </c>
      <c r="Z15" s="27" t="s">
        <v>337</v>
      </c>
    </row>
    <row r="16" spans="1:26" ht="52.05" customHeight="1">
      <c r="A16" s="28" t="s">
        <v>289</v>
      </c>
      <c r="B16" s="28" t="s">
        <v>338</v>
      </c>
      <c r="C16" s="28" t="s">
        <v>339</v>
      </c>
      <c r="D16" s="28" t="s">
        <v>194</v>
      </c>
      <c r="E16" s="28" t="s">
        <v>195</v>
      </c>
      <c r="F16" s="28">
        <v>44250</v>
      </c>
      <c r="G16" s="28" t="s">
        <v>340</v>
      </c>
      <c r="H16" s="28" t="s">
        <v>104</v>
      </c>
      <c r="I16" s="28" t="s">
        <v>341</v>
      </c>
      <c r="J16" s="28" t="s">
        <v>342</v>
      </c>
      <c r="K16" s="28">
        <v>44250</v>
      </c>
      <c r="L16" s="28" t="s">
        <v>340</v>
      </c>
      <c r="M16" s="28" t="s">
        <v>199</v>
      </c>
      <c r="N16" s="28">
        <v>0.7</v>
      </c>
      <c r="O16" s="28" t="s">
        <v>343</v>
      </c>
      <c r="P16" s="28" t="s">
        <v>344</v>
      </c>
      <c r="Q16" s="28" t="s">
        <v>345</v>
      </c>
      <c r="R16" s="28" t="s">
        <v>346</v>
      </c>
      <c r="S16" s="28"/>
      <c r="T16" s="28"/>
      <c r="U16" s="28" t="s">
        <v>347</v>
      </c>
      <c r="V16" s="28" t="s">
        <v>348</v>
      </c>
      <c r="W16" s="28" t="s">
        <v>341</v>
      </c>
      <c r="X16" s="28" t="s">
        <v>219</v>
      </c>
      <c r="Y16" s="28" t="s">
        <v>349</v>
      </c>
      <c r="Z16" s="28" t="s">
        <v>350</v>
      </c>
    </row>
    <row r="17" spans="1:26" ht="52.05" customHeight="1">
      <c r="A17" s="27" t="s">
        <v>351</v>
      </c>
      <c r="B17" s="27" t="s">
        <v>352</v>
      </c>
      <c r="C17" s="27" t="s">
        <v>353</v>
      </c>
      <c r="D17" s="27" t="s">
        <v>194</v>
      </c>
      <c r="E17" s="27" t="s">
        <v>251</v>
      </c>
      <c r="F17" s="27">
        <v>2930</v>
      </c>
      <c r="G17" s="27" t="s">
        <v>354</v>
      </c>
      <c r="H17" s="27" t="s">
        <v>104</v>
      </c>
      <c r="I17" s="27" t="s">
        <v>355</v>
      </c>
      <c r="J17" s="27" t="s">
        <v>356</v>
      </c>
      <c r="K17" s="27">
        <v>2930</v>
      </c>
      <c r="L17" s="27" t="s">
        <v>354</v>
      </c>
      <c r="M17" s="27" t="s">
        <v>199</v>
      </c>
      <c r="N17" s="27">
        <v>0.7</v>
      </c>
      <c r="O17" s="27" t="s">
        <v>357</v>
      </c>
      <c r="P17" s="27" t="s">
        <v>358</v>
      </c>
      <c r="Q17" s="27" t="s">
        <v>359</v>
      </c>
      <c r="R17" s="27" t="s">
        <v>360</v>
      </c>
      <c r="S17" s="27"/>
      <c r="T17" s="27"/>
      <c r="U17" s="27" t="s">
        <v>361</v>
      </c>
      <c r="V17" s="27" t="s">
        <v>362</v>
      </c>
      <c r="W17" s="27" t="s">
        <v>355</v>
      </c>
      <c r="X17" s="27" t="s">
        <v>246</v>
      </c>
      <c r="Y17" s="27" t="s">
        <v>363</v>
      </c>
      <c r="Z17" s="27" t="s">
        <v>364</v>
      </c>
    </row>
    <row r="18" spans="1:26" ht="52.05" customHeight="1">
      <c r="A18" s="28" t="s">
        <v>351</v>
      </c>
      <c r="B18" s="28" t="s">
        <v>365</v>
      </c>
      <c r="C18" s="28" t="s">
        <v>366</v>
      </c>
      <c r="D18" s="28" t="s">
        <v>194</v>
      </c>
      <c r="E18" s="28" t="s">
        <v>195</v>
      </c>
      <c r="F18" s="28">
        <v>100000</v>
      </c>
      <c r="G18" s="28" t="s">
        <v>367</v>
      </c>
      <c r="H18" s="28" t="s">
        <v>104</v>
      </c>
      <c r="I18" s="28" t="s">
        <v>368</v>
      </c>
      <c r="J18" s="28" t="s">
        <v>369</v>
      </c>
      <c r="K18" s="28">
        <v>100000</v>
      </c>
      <c r="L18" s="28" t="s">
        <v>367</v>
      </c>
      <c r="M18" s="28" t="s">
        <v>199</v>
      </c>
      <c r="N18" s="28">
        <v>0.6</v>
      </c>
      <c r="O18" s="28" t="s">
        <v>370</v>
      </c>
      <c r="P18" s="28" t="s">
        <v>294</v>
      </c>
      <c r="Q18" s="28" t="s">
        <v>371</v>
      </c>
      <c r="R18" s="28" t="s">
        <v>372</v>
      </c>
      <c r="S18" s="28"/>
      <c r="T18" s="28"/>
      <c r="U18" s="28" t="s">
        <v>373</v>
      </c>
      <c r="V18" s="28" t="s">
        <v>362</v>
      </c>
      <c r="W18" s="28" t="s">
        <v>368</v>
      </c>
      <c r="X18" s="28" t="s">
        <v>120</v>
      </c>
      <c r="Y18" s="28" t="s">
        <v>374</v>
      </c>
      <c r="Z18" s="28" t="s">
        <v>375</v>
      </c>
    </row>
    <row r="19" spans="1:26" ht="52.05" customHeight="1">
      <c r="A19" s="27" t="s">
        <v>376</v>
      </c>
      <c r="B19" s="27" t="s">
        <v>377</v>
      </c>
      <c r="C19" s="27" t="s">
        <v>378</v>
      </c>
      <c r="D19" s="27" t="s">
        <v>194</v>
      </c>
      <c r="E19" s="27" t="s">
        <v>251</v>
      </c>
      <c r="F19" s="27">
        <v>250000</v>
      </c>
      <c r="G19" s="27" t="s">
        <v>379</v>
      </c>
      <c r="H19" s="27" t="s">
        <v>104</v>
      </c>
      <c r="I19" s="27" t="s">
        <v>380</v>
      </c>
      <c r="J19" s="27" t="s">
        <v>381</v>
      </c>
      <c r="K19" s="27">
        <v>250000</v>
      </c>
      <c r="L19" s="27" t="s">
        <v>379</v>
      </c>
      <c r="M19" s="27" t="s">
        <v>199</v>
      </c>
      <c r="N19" s="27">
        <v>0.7</v>
      </c>
      <c r="O19" s="27" t="s">
        <v>382</v>
      </c>
      <c r="P19" s="27" t="s">
        <v>71</v>
      </c>
      <c r="Q19" s="27" t="s">
        <v>383</v>
      </c>
      <c r="R19" s="27" t="s">
        <v>384</v>
      </c>
      <c r="S19" s="27"/>
      <c r="T19" s="27"/>
      <c r="U19" s="27" t="s">
        <v>385</v>
      </c>
      <c r="V19" s="27" t="s">
        <v>386</v>
      </c>
      <c r="W19" s="27" t="s">
        <v>380</v>
      </c>
      <c r="X19" s="27" t="s">
        <v>120</v>
      </c>
      <c r="Y19" s="27" t="s">
        <v>387</v>
      </c>
      <c r="Z19" s="27" t="s">
        <v>388</v>
      </c>
    </row>
    <row r="20" spans="1:26" ht="52.05" customHeight="1">
      <c r="A20" s="28" t="s">
        <v>376</v>
      </c>
      <c r="B20" s="28" t="s">
        <v>389</v>
      </c>
      <c r="C20" s="28" t="s">
        <v>390</v>
      </c>
      <c r="D20" s="28" t="s">
        <v>194</v>
      </c>
      <c r="E20" s="28" t="s">
        <v>195</v>
      </c>
      <c r="F20" s="28">
        <v>150000</v>
      </c>
      <c r="G20" s="28" t="s">
        <v>391</v>
      </c>
      <c r="H20" s="28" t="s">
        <v>104</v>
      </c>
      <c r="I20" s="28" t="s">
        <v>392</v>
      </c>
      <c r="J20" s="28" t="s">
        <v>393</v>
      </c>
      <c r="K20" s="28">
        <v>150000</v>
      </c>
      <c r="L20" s="28" t="s">
        <v>391</v>
      </c>
      <c r="M20" s="28" t="s">
        <v>199</v>
      </c>
      <c r="N20" s="28">
        <v>0.7</v>
      </c>
      <c r="O20" s="28" t="s">
        <v>394</v>
      </c>
      <c r="P20" s="28" t="s">
        <v>71</v>
      </c>
      <c r="Q20" s="28" t="s">
        <v>395</v>
      </c>
      <c r="R20" s="28" t="s">
        <v>396</v>
      </c>
      <c r="S20" s="28"/>
      <c r="T20" s="28"/>
      <c r="U20" s="28" t="s">
        <v>397</v>
      </c>
      <c r="V20" s="28" t="s">
        <v>398</v>
      </c>
      <c r="W20" s="28" t="s">
        <v>392</v>
      </c>
      <c r="X20" s="28" t="s">
        <v>120</v>
      </c>
      <c r="Y20" s="28" t="s">
        <v>399</v>
      </c>
      <c r="Z20" s="28" t="s">
        <v>400</v>
      </c>
    </row>
    <row r="21" spans="1:26" ht="52.05" customHeight="1">
      <c r="A21" s="27" t="s">
        <v>401</v>
      </c>
      <c r="B21" s="27" t="s">
        <v>402</v>
      </c>
      <c r="C21" s="27" t="s">
        <v>403</v>
      </c>
      <c r="D21" s="27" t="s">
        <v>194</v>
      </c>
      <c r="E21" s="27" t="s">
        <v>251</v>
      </c>
      <c r="F21" s="27">
        <v>1750</v>
      </c>
      <c r="G21" s="27" t="s">
        <v>404</v>
      </c>
      <c r="H21" s="27" t="s">
        <v>104</v>
      </c>
      <c r="I21" s="27" t="s">
        <v>405</v>
      </c>
      <c r="J21" s="27" t="s">
        <v>406</v>
      </c>
      <c r="K21" s="27">
        <v>1750</v>
      </c>
      <c r="L21" s="27" t="s">
        <v>404</v>
      </c>
      <c r="M21" s="27" t="s">
        <v>199</v>
      </c>
      <c r="N21" s="27">
        <v>0.65</v>
      </c>
      <c r="O21" s="27" t="s">
        <v>407</v>
      </c>
      <c r="P21" s="27" t="s">
        <v>408</v>
      </c>
      <c r="Q21" s="27" t="s">
        <v>409</v>
      </c>
      <c r="R21" s="27" t="s">
        <v>410</v>
      </c>
      <c r="S21" s="27"/>
      <c r="T21" s="27"/>
      <c r="U21" s="27" t="s">
        <v>411</v>
      </c>
      <c r="V21" s="27" t="s">
        <v>412</v>
      </c>
      <c r="W21" s="27" t="s">
        <v>405</v>
      </c>
      <c r="X21" s="27" t="s">
        <v>246</v>
      </c>
      <c r="Y21" s="27" t="s">
        <v>413</v>
      </c>
      <c r="Z21" s="27" t="s">
        <v>414</v>
      </c>
    </row>
    <row r="22" spans="1:26" ht="52.05" customHeight="1">
      <c r="A22" s="28" t="s">
        <v>415</v>
      </c>
      <c r="B22" s="28" t="s">
        <v>416</v>
      </c>
      <c r="C22" s="28" t="s">
        <v>417</v>
      </c>
      <c r="D22" s="28" t="s">
        <v>194</v>
      </c>
      <c r="E22" s="28" t="s">
        <v>251</v>
      </c>
      <c r="F22" s="28">
        <v>2500</v>
      </c>
      <c r="G22" s="28" t="s">
        <v>418</v>
      </c>
      <c r="H22" s="28" t="s">
        <v>104</v>
      </c>
      <c r="I22" s="28" t="s">
        <v>419</v>
      </c>
      <c r="J22" s="28" t="s">
        <v>420</v>
      </c>
      <c r="K22" s="28">
        <v>2500</v>
      </c>
      <c r="L22" s="28" t="s">
        <v>418</v>
      </c>
      <c r="M22" s="28" t="s">
        <v>199</v>
      </c>
      <c r="N22" s="28">
        <v>0.6</v>
      </c>
      <c r="O22" s="28" t="s">
        <v>421</v>
      </c>
      <c r="P22" s="28" t="s">
        <v>421</v>
      </c>
      <c r="Q22" s="28" t="s">
        <v>422</v>
      </c>
      <c r="R22" s="28" t="s">
        <v>423</v>
      </c>
      <c r="S22" s="28"/>
      <c r="T22" s="28"/>
      <c r="U22" s="28" t="s">
        <v>424</v>
      </c>
      <c r="V22" s="28" t="s">
        <v>425</v>
      </c>
      <c r="W22" s="28" t="s">
        <v>419</v>
      </c>
      <c r="X22" s="28" t="s">
        <v>219</v>
      </c>
      <c r="Y22" s="28" t="s">
        <v>426</v>
      </c>
      <c r="Z22" s="28" t="s">
        <v>427</v>
      </c>
    </row>
    <row r="23" spans="1:26" ht="52.05" customHeight="1">
      <c r="A23" s="27" t="s">
        <v>428</v>
      </c>
      <c r="B23" s="27" t="s">
        <v>300</v>
      </c>
      <c r="C23" s="27" t="s">
        <v>429</v>
      </c>
      <c r="D23" s="27" t="s">
        <v>194</v>
      </c>
      <c r="E23" s="27" t="s">
        <v>251</v>
      </c>
      <c r="F23" s="27">
        <v>86333</v>
      </c>
      <c r="G23" s="27" t="s">
        <v>430</v>
      </c>
      <c r="H23" s="27" t="s">
        <v>104</v>
      </c>
      <c r="I23" s="27" t="s">
        <v>303</v>
      </c>
      <c r="J23" s="27" t="s">
        <v>304</v>
      </c>
      <c r="K23" s="27">
        <v>86333</v>
      </c>
      <c r="L23" s="27" t="s">
        <v>430</v>
      </c>
      <c r="M23" s="27" t="s">
        <v>199</v>
      </c>
      <c r="N23" s="27">
        <v>0.6</v>
      </c>
      <c r="O23" s="27" t="s">
        <v>431</v>
      </c>
      <c r="P23" s="27" t="s">
        <v>306</v>
      </c>
      <c r="Q23" s="27" t="s">
        <v>432</v>
      </c>
      <c r="R23" s="27" t="s">
        <v>433</v>
      </c>
      <c r="S23" s="27"/>
      <c r="T23" s="27"/>
      <c r="U23" s="27" t="s">
        <v>309</v>
      </c>
      <c r="V23" s="27" t="s">
        <v>310</v>
      </c>
      <c r="W23" s="27" t="s">
        <v>303</v>
      </c>
      <c r="X23" s="27" t="s">
        <v>120</v>
      </c>
      <c r="Y23" s="27" t="s">
        <v>434</v>
      </c>
      <c r="Z23" s="27" t="s">
        <v>435</v>
      </c>
    </row>
    <row r="24" spans="1:26" ht="52.05" customHeight="1">
      <c r="A24" s="28" t="s">
        <v>436</v>
      </c>
      <c r="B24" s="28" t="s">
        <v>437</v>
      </c>
      <c r="C24" s="28" t="s">
        <v>438</v>
      </c>
      <c r="D24" s="28" t="s">
        <v>194</v>
      </c>
      <c r="E24" s="28" t="s">
        <v>251</v>
      </c>
      <c r="F24" s="28">
        <v>300000</v>
      </c>
      <c r="G24" s="28" t="s">
        <v>439</v>
      </c>
      <c r="H24" s="28" t="s">
        <v>104</v>
      </c>
      <c r="I24" s="28" t="s">
        <v>440</v>
      </c>
      <c r="J24" s="28" t="s">
        <v>441</v>
      </c>
      <c r="K24" s="28">
        <v>300000</v>
      </c>
      <c r="L24" s="28" t="s">
        <v>439</v>
      </c>
      <c r="M24" s="28" t="s">
        <v>199</v>
      </c>
      <c r="N24" s="28">
        <v>0.65</v>
      </c>
      <c r="O24" s="28" t="s">
        <v>442</v>
      </c>
      <c r="P24" s="28" t="s">
        <v>443</v>
      </c>
      <c r="Q24" s="28" t="s">
        <v>444</v>
      </c>
      <c r="R24" s="28" t="s">
        <v>445</v>
      </c>
      <c r="S24" s="28"/>
      <c r="T24" s="28"/>
      <c r="U24" s="28" t="s">
        <v>446</v>
      </c>
      <c r="V24" s="28" t="s">
        <v>447</v>
      </c>
      <c r="W24" s="28" t="s">
        <v>440</v>
      </c>
      <c r="X24" s="28" t="s">
        <v>219</v>
      </c>
      <c r="Y24" s="28" t="s">
        <v>448</v>
      </c>
      <c r="Z24" s="28" t="s">
        <v>449</v>
      </c>
    </row>
    <row r="25" spans="1:26" ht="52.05" customHeight="1">
      <c r="A25" s="27" t="s">
        <v>436</v>
      </c>
      <c r="B25" s="27" t="s">
        <v>450</v>
      </c>
      <c r="C25" s="27" t="s">
        <v>451</v>
      </c>
      <c r="D25" s="27" t="s">
        <v>194</v>
      </c>
      <c r="E25" s="27" t="s">
        <v>195</v>
      </c>
      <c r="F25" s="27">
        <v>80000</v>
      </c>
      <c r="G25" s="27" t="s">
        <v>452</v>
      </c>
      <c r="H25" s="27" t="s">
        <v>104</v>
      </c>
      <c r="I25" s="27" t="s">
        <v>316</v>
      </c>
      <c r="J25" s="27" t="s">
        <v>453</v>
      </c>
      <c r="K25" s="27">
        <v>80000</v>
      </c>
      <c r="L25" s="27" t="s">
        <v>452</v>
      </c>
      <c r="M25" s="27" t="s">
        <v>199</v>
      </c>
      <c r="N25" s="27">
        <v>0.6</v>
      </c>
      <c r="O25" s="27" t="s">
        <v>454</v>
      </c>
      <c r="P25" s="27" t="s">
        <v>455</v>
      </c>
      <c r="Q25" s="27" t="s">
        <v>456</v>
      </c>
      <c r="R25" s="27" t="s">
        <v>457</v>
      </c>
      <c r="S25" s="27"/>
      <c r="T25" s="27"/>
      <c r="U25" s="27" t="s">
        <v>458</v>
      </c>
      <c r="V25" s="27" t="s">
        <v>459</v>
      </c>
      <c r="W25" s="27" t="s">
        <v>316</v>
      </c>
      <c r="X25" s="27" t="s">
        <v>120</v>
      </c>
      <c r="Y25" s="27" t="s">
        <v>460</v>
      </c>
      <c r="Z25" s="27" t="s">
        <v>461</v>
      </c>
    </row>
    <row r="26" spans="1:26" ht="52.05" customHeight="1">
      <c r="A26" s="28" t="s">
        <v>436</v>
      </c>
      <c r="B26" s="28" t="s">
        <v>462</v>
      </c>
      <c r="C26" s="28" t="s">
        <v>463</v>
      </c>
      <c r="D26" s="28" t="s">
        <v>194</v>
      </c>
      <c r="E26" s="28" t="s">
        <v>195</v>
      </c>
      <c r="F26" s="28">
        <v>150000</v>
      </c>
      <c r="G26" s="28" t="s">
        <v>464</v>
      </c>
      <c r="H26" s="28" t="s">
        <v>104</v>
      </c>
      <c r="I26" s="28" t="s">
        <v>465</v>
      </c>
      <c r="J26" s="28" t="s">
        <v>466</v>
      </c>
      <c r="K26" s="28">
        <v>150000</v>
      </c>
      <c r="L26" s="28" t="s">
        <v>464</v>
      </c>
      <c r="M26" s="28" t="s">
        <v>199</v>
      </c>
      <c r="N26" s="28">
        <v>0.7</v>
      </c>
      <c r="O26" s="28" t="s">
        <v>467</v>
      </c>
      <c r="P26" s="28" t="s">
        <v>294</v>
      </c>
      <c r="Q26" s="28" t="s">
        <v>468</v>
      </c>
      <c r="R26" s="28" t="s">
        <v>469</v>
      </c>
      <c r="S26" s="28"/>
      <c r="T26" s="28"/>
      <c r="U26" s="28" t="s">
        <v>470</v>
      </c>
      <c r="V26" s="28" t="s">
        <v>471</v>
      </c>
      <c r="W26" s="28" t="s">
        <v>465</v>
      </c>
      <c r="X26" s="28" t="s">
        <v>120</v>
      </c>
      <c r="Y26" s="28" t="s">
        <v>472</v>
      </c>
      <c r="Z26" s="28" t="s">
        <v>473</v>
      </c>
    </row>
    <row r="27" spans="1:26" ht="52.05" customHeight="1">
      <c r="A27" s="27" t="s">
        <v>436</v>
      </c>
      <c r="B27" s="27" t="s">
        <v>474</v>
      </c>
      <c r="C27" s="27" t="s">
        <v>475</v>
      </c>
      <c r="D27" s="27" t="s">
        <v>194</v>
      </c>
      <c r="E27" s="27" t="s">
        <v>195</v>
      </c>
      <c r="F27" s="27">
        <v>100000</v>
      </c>
      <c r="G27" s="27" t="s">
        <v>476</v>
      </c>
      <c r="H27" s="27" t="s">
        <v>104</v>
      </c>
      <c r="I27" s="27" t="s">
        <v>477</v>
      </c>
      <c r="J27" s="27" t="s">
        <v>478</v>
      </c>
      <c r="K27" s="27">
        <v>100000</v>
      </c>
      <c r="L27" s="27" t="s">
        <v>476</v>
      </c>
      <c r="M27" s="27" t="s">
        <v>199</v>
      </c>
      <c r="N27" s="27">
        <v>0.65</v>
      </c>
      <c r="O27" s="27" t="s">
        <v>479</v>
      </c>
      <c r="P27" s="27" t="s">
        <v>306</v>
      </c>
      <c r="Q27" s="27" t="s">
        <v>480</v>
      </c>
      <c r="R27" s="27" t="s">
        <v>481</v>
      </c>
      <c r="S27" s="27"/>
      <c r="T27" s="27"/>
      <c r="U27" s="27" t="s">
        <v>482</v>
      </c>
      <c r="V27" s="27" t="s">
        <v>483</v>
      </c>
      <c r="W27" s="27" t="s">
        <v>477</v>
      </c>
      <c r="X27" s="27" t="s">
        <v>120</v>
      </c>
      <c r="Y27" s="27" t="s">
        <v>484</v>
      </c>
      <c r="Z27" s="27" t="s">
        <v>485</v>
      </c>
    </row>
    <row r="28" spans="1:26" ht="52.05" customHeight="1">
      <c r="A28" s="28" t="s">
        <v>486</v>
      </c>
      <c r="B28" s="28" t="s">
        <v>487</v>
      </c>
      <c r="C28" s="28" t="s">
        <v>488</v>
      </c>
      <c r="D28" s="28" t="s">
        <v>194</v>
      </c>
      <c r="E28" s="28" t="s">
        <v>195</v>
      </c>
      <c r="F28" s="28">
        <v>250000</v>
      </c>
      <c r="G28" s="28" t="s">
        <v>489</v>
      </c>
      <c r="H28" s="28" t="s">
        <v>104</v>
      </c>
      <c r="I28" s="28" t="s">
        <v>490</v>
      </c>
      <c r="J28" s="28" t="s">
        <v>491</v>
      </c>
      <c r="K28" s="28">
        <v>250000</v>
      </c>
      <c r="L28" s="28" t="s">
        <v>489</v>
      </c>
      <c r="M28" s="28" t="s">
        <v>199</v>
      </c>
      <c r="N28" s="28">
        <v>0.6</v>
      </c>
      <c r="O28" s="28" t="s">
        <v>492</v>
      </c>
      <c r="P28" s="28" t="s">
        <v>493</v>
      </c>
      <c r="Q28" s="28" t="s">
        <v>494</v>
      </c>
      <c r="R28" s="28" t="s">
        <v>495</v>
      </c>
      <c r="S28" s="28"/>
      <c r="T28" s="28"/>
      <c r="U28" s="28" t="s">
        <v>496</v>
      </c>
      <c r="V28" s="28" t="s">
        <v>497</v>
      </c>
      <c r="W28" s="28" t="s">
        <v>490</v>
      </c>
      <c r="X28" s="28" t="s">
        <v>120</v>
      </c>
      <c r="Y28" s="28" t="s">
        <v>498</v>
      </c>
      <c r="Z28" s="28" t="s">
        <v>499</v>
      </c>
    </row>
    <row r="29" spans="1:26" ht="52.05" customHeight="1">
      <c r="A29" s="27" t="s">
        <v>486</v>
      </c>
      <c r="B29" s="27" t="s">
        <v>500</v>
      </c>
      <c r="C29" s="27" t="s">
        <v>501</v>
      </c>
      <c r="D29" s="27" t="s">
        <v>194</v>
      </c>
      <c r="E29" s="27" t="s">
        <v>195</v>
      </c>
      <c r="F29" s="27">
        <v>75000</v>
      </c>
      <c r="G29" s="27" t="s">
        <v>502</v>
      </c>
      <c r="H29" s="27" t="s">
        <v>104</v>
      </c>
      <c r="I29" s="27" t="s">
        <v>503</v>
      </c>
      <c r="J29" s="27" t="s">
        <v>504</v>
      </c>
      <c r="K29" s="27">
        <v>75000</v>
      </c>
      <c r="L29" s="27" t="s">
        <v>502</v>
      </c>
      <c r="M29" s="27" t="s">
        <v>199</v>
      </c>
      <c r="N29" s="27">
        <v>0.6</v>
      </c>
      <c r="O29" s="27" t="s">
        <v>505</v>
      </c>
      <c r="P29" s="27" t="s">
        <v>506</v>
      </c>
      <c r="Q29" s="27" t="s">
        <v>507</v>
      </c>
      <c r="R29" s="27" t="s">
        <v>508</v>
      </c>
      <c r="S29" s="27"/>
      <c r="T29" s="27"/>
      <c r="U29" s="27" t="s">
        <v>509</v>
      </c>
      <c r="V29" s="27" t="s">
        <v>510</v>
      </c>
      <c r="W29" s="27" t="s">
        <v>503</v>
      </c>
      <c r="X29" s="27" t="s">
        <v>120</v>
      </c>
      <c r="Y29" s="27" t="s">
        <v>511</v>
      </c>
      <c r="Z29" s="27" t="s">
        <v>512</v>
      </c>
    </row>
    <row r="30" spans="1:26" ht="52.05" customHeight="1">
      <c r="A30" s="28" t="s">
        <v>513</v>
      </c>
      <c r="B30" s="28" t="s">
        <v>514</v>
      </c>
      <c r="C30" s="28" t="s">
        <v>515</v>
      </c>
      <c r="D30" s="28" t="s">
        <v>516</v>
      </c>
      <c r="E30" s="28" t="s">
        <v>195</v>
      </c>
      <c r="F30" s="28">
        <v>900</v>
      </c>
      <c r="G30" s="28" t="s">
        <v>517</v>
      </c>
      <c r="H30" s="28" t="s">
        <v>104</v>
      </c>
      <c r="I30" s="28" t="s">
        <v>518</v>
      </c>
      <c r="J30" s="28" t="s">
        <v>519</v>
      </c>
      <c r="K30" s="28">
        <v>900</v>
      </c>
      <c r="L30" s="28" t="s">
        <v>517</v>
      </c>
      <c r="M30" s="28" t="s">
        <v>199</v>
      </c>
      <c r="N30" s="28">
        <v>1</v>
      </c>
      <c r="O30" s="28" t="s">
        <v>520</v>
      </c>
      <c r="P30" s="28" t="s">
        <v>521</v>
      </c>
      <c r="Q30" s="28" t="s">
        <v>522</v>
      </c>
      <c r="R30" s="28" t="s">
        <v>523</v>
      </c>
      <c r="S30" s="28"/>
      <c r="T30" s="28"/>
      <c r="U30" s="28" t="s">
        <v>524</v>
      </c>
      <c r="V30" s="28" t="s">
        <v>525</v>
      </c>
      <c r="W30" s="28" t="s">
        <v>518</v>
      </c>
      <c r="X30" s="28" t="s">
        <v>219</v>
      </c>
      <c r="Y30" s="28" t="s">
        <v>526</v>
      </c>
      <c r="Z30" s="28" t="s">
        <v>527</v>
      </c>
    </row>
    <row r="31" spans="1:26" ht="52.05" customHeight="1">
      <c r="A31" s="27" t="s">
        <v>513</v>
      </c>
      <c r="B31" s="27" t="s">
        <v>528</v>
      </c>
      <c r="C31" s="27" t="s">
        <v>529</v>
      </c>
      <c r="D31" s="27" t="s">
        <v>530</v>
      </c>
      <c r="E31" s="27" t="s">
        <v>251</v>
      </c>
      <c r="F31" s="27">
        <v>150</v>
      </c>
      <c r="G31" s="27" t="s">
        <v>531</v>
      </c>
      <c r="H31" s="27" t="s">
        <v>104</v>
      </c>
      <c r="I31" s="27" t="s">
        <v>253</v>
      </c>
      <c r="J31" s="27" t="s">
        <v>532</v>
      </c>
      <c r="K31" s="27">
        <v>150</v>
      </c>
      <c r="L31" s="27" t="s">
        <v>531</v>
      </c>
      <c r="M31" s="27" t="s">
        <v>199</v>
      </c>
      <c r="N31" s="27">
        <v>1</v>
      </c>
      <c r="O31" s="27" t="s">
        <v>533</v>
      </c>
      <c r="P31" s="27" t="s">
        <v>533</v>
      </c>
      <c r="Q31" s="27" t="s">
        <v>534</v>
      </c>
      <c r="R31" s="27" t="s">
        <v>535</v>
      </c>
      <c r="S31" s="27"/>
      <c r="T31" s="27"/>
      <c r="U31" s="27" t="s">
        <v>536</v>
      </c>
      <c r="V31" s="27" t="s">
        <v>537</v>
      </c>
      <c r="W31" s="27" t="s">
        <v>253</v>
      </c>
      <c r="X31" s="27" t="s">
        <v>246</v>
      </c>
      <c r="Y31" s="27" t="s">
        <v>538</v>
      </c>
      <c r="Z31" s="27" t="s">
        <v>539</v>
      </c>
    </row>
    <row r="32" spans="1:26" ht="52.05" customHeight="1">
      <c r="A32" s="28" t="s">
        <v>540</v>
      </c>
      <c r="B32" s="28" t="s">
        <v>541</v>
      </c>
      <c r="C32" s="28" t="s">
        <v>542</v>
      </c>
      <c r="D32" s="28" t="s">
        <v>530</v>
      </c>
      <c r="E32" s="28" t="s">
        <v>195</v>
      </c>
      <c r="F32" s="28">
        <v>0.35</v>
      </c>
      <c r="G32" s="28" t="s">
        <v>543</v>
      </c>
      <c r="H32" s="28"/>
      <c r="I32" s="28" t="s">
        <v>544</v>
      </c>
      <c r="J32" s="28" t="s">
        <v>545</v>
      </c>
      <c r="K32" s="28">
        <v>0.35</v>
      </c>
      <c r="L32" s="28" t="s">
        <v>543</v>
      </c>
      <c r="M32" s="28" t="s">
        <v>199</v>
      </c>
      <c r="N32" s="28">
        <v>1</v>
      </c>
      <c r="O32" s="28" t="s">
        <v>546</v>
      </c>
      <c r="P32" s="28" t="s">
        <v>546</v>
      </c>
      <c r="Q32" s="28" t="s">
        <v>547</v>
      </c>
      <c r="R32" s="28" t="s">
        <v>548</v>
      </c>
      <c r="S32" s="28"/>
      <c r="T32" s="28"/>
      <c r="U32" s="28" t="s">
        <v>549</v>
      </c>
      <c r="V32" s="28" t="s">
        <v>550</v>
      </c>
      <c r="W32" s="28" t="s">
        <v>544</v>
      </c>
      <c r="X32" s="28" t="s">
        <v>120</v>
      </c>
      <c r="Y32" s="28" t="s">
        <v>551</v>
      </c>
      <c r="Z32" s="28" t="s">
        <v>552</v>
      </c>
    </row>
    <row r="33" spans="1:26" ht="52.05" customHeight="1">
      <c r="A33" s="27" t="s">
        <v>553</v>
      </c>
      <c r="B33" s="27" t="s">
        <v>554</v>
      </c>
      <c r="C33" s="27" t="s">
        <v>555</v>
      </c>
      <c r="D33" s="27" t="s">
        <v>556</v>
      </c>
      <c r="E33" s="27" t="s">
        <v>251</v>
      </c>
      <c r="F33" s="27">
        <v>47.9</v>
      </c>
      <c r="G33" s="27" t="s">
        <v>557</v>
      </c>
      <c r="H33" s="27" t="s">
        <v>104</v>
      </c>
      <c r="I33" s="27" t="s">
        <v>253</v>
      </c>
      <c r="J33" s="27" t="s">
        <v>491</v>
      </c>
      <c r="K33" s="27">
        <v>47.9</v>
      </c>
      <c r="L33" s="27" t="s">
        <v>557</v>
      </c>
      <c r="M33" s="27" t="s">
        <v>199</v>
      </c>
      <c r="N33" s="27">
        <v>1</v>
      </c>
      <c r="O33" s="27" t="s">
        <v>558</v>
      </c>
      <c r="P33" s="27" t="s">
        <v>558</v>
      </c>
      <c r="Q33" s="27" t="s">
        <v>559</v>
      </c>
      <c r="R33" s="27" t="s">
        <v>560</v>
      </c>
      <c r="S33" s="27"/>
      <c r="T33" s="27"/>
      <c r="U33" s="27" t="s">
        <v>561</v>
      </c>
      <c r="V33" s="27" t="s">
        <v>562</v>
      </c>
      <c r="W33" s="27" t="s">
        <v>253</v>
      </c>
      <c r="X33" s="27" t="s">
        <v>219</v>
      </c>
      <c r="Y33" s="27" t="s">
        <v>563</v>
      </c>
      <c r="Z33" s="27" t="s">
        <v>564</v>
      </c>
    </row>
    <row r="34" spans="1:26" ht="52.05" customHeight="1">
      <c r="A34" s="28" t="s">
        <v>553</v>
      </c>
      <c r="B34" s="28" t="s">
        <v>565</v>
      </c>
      <c r="C34" s="28" t="s">
        <v>566</v>
      </c>
      <c r="D34" s="28" t="s">
        <v>567</v>
      </c>
      <c r="E34" s="28" t="s">
        <v>251</v>
      </c>
      <c r="F34" s="28">
        <v>0.02</v>
      </c>
      <c r="G34" s="28" t="s">
        <v>568</v>
      </c>
      <c r="H34" s="28"/>
      <c r="I34" s="28" t="s">
        <v>355</v>
      </c>
      <c r="J34" s="28" t="s">
        <v>356</v>
      </c>
      <c r="K34" s="28">
        <v>0.02</v>
      </c>
      <c r="L34" s="28" t="s">
        <v>568</v>
      </c>
      <c r="M34" s="28" t="s">
        <v>199</v>
      </c>
      <c r="N34" s="28">
        <v>1</v>
      </c>
      <c r="O34" s="28" t="s">
        <v>569</v>
      </c>
      <c r="P34" s="28" t="s">
        <v>569</v>
      </c>
      <c r="Q34" s="28" t="s">
        <v>570</v>
      </c>
      <c r="R34" s="28" t="s">
        <v>571</v>
      </c>
      <c r="S34" s="28"/>
      <c r="T34" s="28"/>
      <c r="U34" s="28" t="s">
        <v>361</v>
      </c>
      <c r="V34" s="28" t="s">
        <v>362</v>
      </c>
      <c r="W34" s="28" t="s">
        <v>355</v>
      </c>
      <c r="X34" s="28" t="s">
        <v>246</v>
      </c>
      <c r="Y34" s="28" t="s">
        <v>572</v>
      </c>
      <c r="Z34" s="28" t="s">
        <v>573</v>
      </c>
    </row>
    <row r="35" spans="1:26" ht="52.05" customHeight="1">
      <c r="A35" s="27" t="s">
        <v>553</v>
      </c>
      <c r="B35" s="27" t="s">
        <v>574</v>
      </c>
      <c r="C35" s="27" t="s">
        <v>575</v>
      </c>
      <c r="D35" s="27" t="s">
        <v>567</v>
      </c>
      <c r="E35" s="27" t="s">
        <v>251</v>
      </c>
      <c r="F35" s="27">
        <v>1.7500000000000002E-2</v>
      </c>
      <c r="G35" s="27" t="s">
        <v>576</v>
      </c>
      <c r="H35" s="27" t="s">
        <v>104</v>
      </c>
      <c r="I35" s="27" t="s">
        <v>419</v>
      </c>
      <c r="J35" s="27" t="s">
        <v>420</v>
      </c>
      <c r="K35" s="27">
        <v>1.7500000000000002E-2</v>
      </c>
      <c r="L35" s="27" t="s">
        <v>576</v>
      </c>
      <c r="M35" s="27" t="s">
        <v>199</v>
      </c>
      <c r="N35" s="27">
        <v>1</v>
      </c>
      <c r="O35" s="27" t="s">
        <v>577</v>
      </c>
      <c r="P35" s="27" t="s">
        <v>577</v>
      </c>
      <c r="Q35" s="27" t="s">
        <v>578</v>
      </c>
      <c r="R35" s="27" t="s">
        <v>579</v>
      </c>
      <c r="S35" s="27"/>
      <c r="T35" s="27"/>
      <c r="U35" s="27" t="s">
        <v>424</v>
      </c>
      <c r="V35" s="27" t="s">
        <v>425</v>
      </c>
      <c r="W35" s="27" t="s">
        <v>419</v>
      </c>
      <c r="X35" s="27" t="s">
        <v>120</v>
      </c>
      <c r="Y35" s="27" t="s">
        <v>580</v>
      </c>
      <c r="Z35" s="27" t="s">
        <v>581</v>
      </c>
    </row>
    <row r="36" spans="1:26" ht="52.05" customHeight="1">
      <c r="A36" s="28" t="s">
        <v>582</v>
      </c>
      <c r="B36" s="28" t="s">
        <v>583</v>
      </c>
      <c r="C36" s="28" t="s">
        <v>584</v>
      </c>
      <c r="D36" s="28" t="s">
        <v>585</v>
      </c>
      <c r="E36" s="28" t="s">
        <v>251</v>
      </c>
      <c r="F36" s="28">
        <v>10.77</v>
      </c>
      <c r="G36" s="28" t="s">
        <v>586</v>
      </c>
      <c r="H36" s="28" t="s">
        <v>104</v>
      </c>
      <c r="I36" s="28" t="s">
        <v>440</v>
      </c>
      <c r="J36" s="28" t="s">
        <v>587</v>
      </c>
      <c r="K36" s="28">
        <v>10.77</v>
      </c>
      <c r="L36" s="28" t="s">
        <v>586</v>
      </c>
      <c r="M36" s="28" t="s">
        <v>199</v>
      </c>
      <c r="N36" s="28">
        <v>1</v>
      </c>
      <c r="O36" s="28" t="s">
        <v>588</v>
      </c>
      <c r="P36" s="28" t="s">
        <v>588</v>
      </c>
      <c r="Q36" s="28" t="s">
        <v>589</v>
      </c>
      <c r="R36" s="28" t="s">
        <v>590</v>
      </c>
      <c r="S36" s="28"/>
      <c r="T36" s="28"/>
      <c r="U36" s="28" t="s">
        <v>591</v>
      </c>
      <c r="V36" s="28" t="s">
        <v>592</v>
      </c>
      <c r="W36" s="28" t="s">
        <v>440</v>
      </c>
      <c r="X36" s="28" t="s">
        <v>219</v>
      </c>
      <c r="Y36" s="28" t="s">
        <v>593</v>
      </c>
      <c r="Z36" s="28" t="s">
        <v>594</v>
      </c>
    </row>
    <row r="37" spans="1:26" ht="52.05" customHeight="1">
      <c r="A37" s="27" t="s">
        <v>582</v>
      </c>
      <c r="B37" s="27" t="s">
        <v>595</v>
      </c>
      <c r="C37" s="27" t="s">
        <v>596</v>
      </c>
      <c r="D37" s="27" t="s">
        <v>585</v>
      </c>
      <c r="E37" s="27" t="s">
        <v>251</v>
      </c>
      <c r="F37" s="27">
        <v>5.2925000000000004</v>
      </c>
      <c r="G37" s="27" t="s">
        <v>139</v>
      </c>
      <c r="H37" s="27" t="s">
        <v>104</v>
      </c>
      <c r="I37" s="27" t="s">
        <v>440</v>
      </c>
      <c r="J37" s="27" t="s">
        <v>587</v>
      </c>
      <c r="K37" s="27">
        <v>5.2925000000000004</v>
      </c>
      <c r="L37" s="27" t="s">
        <v>139</v>
      </c>
      <c r="M37" s="27" t="s">
        <v>199</v>
      </c>
      <c r="N37" s="27">
        <v>1</v>
      </c>
      <c r="O37" s="27" t="s">
        <v>597</v>
      </c>
      <c r="P37" s="27" t="s">
        <v>597</v>
      </c>
      <c r="Q37" s="27" t="s">
        <v>598</v>
      </c>
      <c r="R37" s="27" t="s">
        <v>599</v>
      </c>
      <c r="S37" s="27"/>
      <c r="T37" s="27"/>
      <c r="U37" s="27" t="s">
        <v>591</v>
      </c>
      <c r="V37" s="27" t="s">
        <v>592</v>
      </c>
      <c r="W37" s="27" t="s">
        <v>440</v>
      </c>
      <c r="X37" s="27" t="s">
        <v>120</v>
      </c>
      <c r="Y37" s="27" t="s">
        <v>600</v>
      </c>
      <c r="Z37" s="27" t="s">
        <v>601</v>
      </c>
    </row>
    <row r="38" spans="1:26" ht="52.05" customHeight="1">
      <c r="A38" s="28" t="s">
        <v>602</v>
      </c>
      <c r="B38" s="28" t="s">
        <v>603</v>
      </c>
      <c r="C38" s="28" t="s">
        <v>604</v>
      </c>
      <c r="D38" s="28" t="s">
        <v>605</v>
      </c>
      <c r="E38" s="28" t="s">
        <v>251</v>
      </c>
      <c r="F38" s="28">
        <v>92.79</v>
      </c>
      <c r="G38" s="28" t="s">
        <v>606</v>
      </c>
      <c r="H38" s="28" t="s">
        <v>104</v>
      </c>
      <c r="I38" s="28" t="s">
        <v>607</v>
      </c>
      <c r="J38" s="28" t="s">
        <v>608</v>
      </c>
      <c r="K38" s="28">
        <v>92.79</v>
      </c>
      <c r="L38" s="28" t="s">
        <v>606</v>
      </c>
      <c r="M38" s="28" t="s">
        <v>199</v>
      </c>
      <c r="N38" s="28">
        <v>1</v>
      </c>
      <c r="O38" s="28" t="s">
        <v>609</v>
      </c>
      <c r="P38" s="28" t="s">
        <v>609</v>
      </c>
      <c r="Q38" s="28" t="s">
        <v>610</v>
      </c>
      <c r="R38" s="28" t="s">
        <v>611</v>
      </c>
      <c r="S38" s="28"/>
      <c r="T38" s="28"/>
      <c r="U38" s="28" t="s">
        <v>612</v>
      </c>
      <c r="V38" s="28" t="s">
        <v>613</v>
      </c>
      <c r="W38" s="28" t="s">
        <v>607</v>
      </c>
      <c r="X38" s="28" t="s">
        <v>121</v>
      </c>
      <c r="Y38" s="28" t="s">
        <v>614</v>
      </c>
      <c r="Z38" s="28" t="s">
        <v>615</v>
      </c>
    </row>
    <row r="39" spans="1:26" ht="52.05" customHeight="1">
      <c r="A39" s="27" t="s">
        <v>602</v>
      </c>
      <c r="B39" s="27" t="s">
        <v>616</v>
      </c>
      <c r="C39" s="27" t="s">
        <v>617</v>
      </c>
      <c r="D39" s="27" t="s">
        <v>618</v>
      </c>
      <c r="E39" s="27" t="s">
        <v>251</v>
      </c>
      <c r="F39" s="27">
        <v>90</v>
      </c>
      <c r="G39" s="27" t="s">
        <v>619</v>
      </c>
      <c r="H39" s="27" t="s">
        <v>104</v>
      </c>
      <c r="I39" s="27" t="s">
        <v>620</v>
      </c>
      <c r="J39" s="27" t="s">
        <v>491</v>
      </c>
      <c r="K39" s="27">
        <v>90</v>
      </c>
      <c r="L39" s="27" t="s">
        <v>619</v>
      </c>
      <c r="M39" s="27" t="s">
        <v>199</v>
      </c>
      <c r="N39" s="27">
        <v>1</v>
      </c>
      <c r="O39" s="27" t="s">
        <v>621</v>
      </c>
      <c r="P39" s="27" t="s">
        <v>621</v>
      </c>
      <c r="Q39" s="27" t="s">
        <v>622</v>
      </c>
      <c r="R39" s="27" t="s">
        <v>623</v>
      </c>
      <c r="S39" s="27"/>
      <c r="T39" s="27"/>
      <c r="U39" s="27" t="s">
        <v>624</v>
      </c>
      <c r="V39" s="27" t="s">
        <v>625</v>
      </c>
      <c r="W39" s="27" t="s">
        <v>620</v>
      </c>
      <c r="X39" s="27" t="s">
        <v>120</v>
      </c>
      <c r="Y39" s="27" t="s">
        <v>626</v>
      </c>
      <c r="Z39" s="27" t="s">
        <v>627</v>
      </c>
    </row>
    <row r="40" spans="1:26" ht="52.05" customHeight="1">
      <c r="A40" s="28" t="s">
        <v>486</v>
      </c>
      <c r="B40" s="28" t="s">
        <v>628</v>
      </c>
      <c r="C40" s="28" t="s">
        <v>629</v>
      </c>
      <c r="D40" s="28" t="s">
        <v>605</v>
      </c>
      <c r="E40" s="28" t="s">
        <v>251</v>
      </c>
      <c r="F40" s="28">
        <v>0.1991</v>
      </c>
      <c r="G40" s="28" t="s">
        <v>630</v>
      </c>
      <c r="H40" s="28" t="s">
        <v>104</v>
      </c>
      <c r="I40" s="28" t="s">
        <v>631</v>
      </c>
      <c r="J40" s="28" t="s">
        <v>491</v>
      </c>
      <c r="K40" s="28">
        <v>0.1991</v>
      </c>
      <c r="L40" s="28" t="s">
        <v>630</v>
      </c>
      <c r="M40" s="28" t="s">
        <v>199</v>
      </c>
      <c r="N40" s="28">
        <v>1</v>
      </c>
      <c r="O40" s="28" t="s">
        <v>632</v>
      </c>
      <c r="P40" s="28" t="s">
        <v>632</v>
      </c>
      <c r="Q40" s="28" t="s">
        <v>633</v>
      </c>
      <c r="R40" s="28" t="s">
        <v>634</v>
      </c>
      <c r="S40" s="28"/>
      <c r="T40" s="28"/>
      <c r="U40" s="28" t="s">
        <v>635</v>
      </c>
      <c r="V40" s="28" t="s">
        <v>636</v>
      </c>
      <c r="W40" s="28" t="s">
        <v>631</v>
      </c>
      <c r="X40" s="28" t="s">
        <v>637</v>
      </c>
      <c r="Y40" s="28" t="s">
        <v>638</v>
      </c>
      <c r="Z40" s="28" t="s">
        <v>639</v>
      </c>
    </row>
    <row r="41" spans="1:26" ht="52.05" customHeight="1">
      <c r="A41" s="27" t="s">
        <v>486</v>
      </c>
      <c r="B41" s="27" t="s">
        <v>640</v>
      </c>
      <c r="C41" s="27" t="s">
        <v>641</v>
      </c>
      <c r="D41" s="27" t="s">
        <v>605</v>
      </c>
      <c r="E41" s="27" t="s">
        <v>251</v>
      </c>
      <c r="F41" s="27">
        <v>6.7400000000000002E-2</v>
      </c>
      <c r="G41" s="27" t="s">
        <v>642</v>
      </c>
      <c r="H41" s="27" t="s">
        <v>104</v>
      </c>
      <c r="I41" s="27" t="s">
        <v>631</v>
      </c>
      <c r="J41" s="27" t="s">
        <v>491</v>
      </c>
      <c r="K41" s="27">
        <v>6.7400000000000002E-2</v>
      </c>
      <c r="L41" s="27" t="s">
        <v>642</v>
      </c>
      <c r="M41" s="27" t="s">
        <v>199</v>
      </c>
      <c r="N41" s="27">
        <v>1</v>
      </c>
      <c r="O41" s="27" t="s">
        <v>643</v>
      </c>
      <c r="P41" s="27" t="s">
        <v>643</v>
      </c>
      <c r="Q41" s="27" t="s">
        <v>644</v>
      </c>
      <c r="R41" s="27" t="s">
        <v>645</v>
      </c>
      <c r="S41" s="27"/>
      <c r="T41" s="27"/>
      <c r="U41" s="27" t="s">
        <v>646</v>
      </c>
      <c r="V41" s="27" t="s">
        <v>497</v>
      </c>
      <c r="W41" s="27" t="s">
        <v>631</v>
      </c>
      <c r="X41" s="27" t="s">
        <v>219</v>
      </c>
      <c r="Y41" s="27" t="s">
        <v>647</v>
      </c>
      <c r="Z41" s="27" t="s">
        <v>648</v>
      </c>
    </row>
    <row r="42" spans="1:26" ht="52.05" customHeight="1">
      <c r="A42" s="28" t="s">
        <v>486</v>
      </c>
      <c r="B42" s="28" t="s">
        <v>649</v>
      </c>
      <c r="C42" s="28" t="s">
        <v>650</v>
      </c>
      <c r="D42" s="28" t="s">
        <v>605</v>
      </c>
      <c r="E42" s="28" t="s">
        <v>251</v>
      </c>
      <c r="F42" s="28">
        <v>7.9299999999999995E-2</v>
      </c>
      <c r="G42" s="28" t="s">
        <v>651</v>
      </c>
      <c r="H42" s="28" t="s">
        <v>104</v>
      </c>
      <c r="I42" s="28" t="s">
        <v>631</v>
      </c>
      <c r="J42" s="28" t="s">
        <v>491</v>
      </c>
      <c r="K42" s="28">
        <v>7.9299999999999995E-2</v>
      </c>
      <c r="L42" s="28" t="s">
        <v>651</v>
      </c>
      <c r="M42" s="28" t="s">
        <v>199</v>
      </c>
      <c r="N42" s="28">
        <v>1</v>
      </c>
      <c r="O42" s="28" t="s">
        <v>652</v>
      </c>
      <c r="P42" s="28" t="s">
        <v>652</v>
      </c>
      <c r="Q42" s="28" t="s">
        <v>653</v>
      </c>
      <c r="R42" s="28" t="s">
        <v>654</v>
      </c>
      <c r="S42" s="28"/>
      <c r="T42" s="28"/>
      <c r="U42" s="28" t="s">
        <v>655</v>
      </c>
      <c r="V42" s="28" t="s">
        <v>497</v>
      </c>
      <c r="W42" s="28" t="s">
        <v>631</v>
      </c>
      <c r="X42" s="28" t="s">
        <v>246</v>
      </c>
      <c r="Y42" s="28" t="s">
        <v>656</v>
      </c>
      <c r="Z42" s="28" t="s">
        <v>657</v>
      </c>
    </row>
    <row r="43" spans="1:26" ht="52.05" customHeight="1">
      <c r="A43" s="27" t="s">
        <v>486</v>
      </c>
      <c r="B43" s="27" t="s">
        <v>658</v>
      </c>
      <c r="C43" s="27" t="s">
        <v>659</v>
      </c>
      <c r="D43" s="27" t="s">
        <v>605</v>
      </c>
      <c r="E43" s="27" t="s">
        <v>251</v>
      </c>
      <c r="F43" s="27">
        <v>1.23</v>
      </c>
      <c r="G43" s="27" t="s">
        <v>660</v>
      </c>
      <c r="H43" s="27" t="s">
        <v>104</v>
      </c>
      <c r="I43" s="27" t="s">
        <v>607</v>
      </c>
      <c r="J43" s="27" t="s">
        <v>661</v>
      </c>
      <c r="K43" s="27">
        <v>1.23</v>
      </c>
      <c r="L43" s="27" t="s">
        <v>660</v>
      </c>
      <c r="M43" s="27" t="s">
        <v>199</v>
      </c>
      <c r="N43" s="27">
        <v>1</v>
      </c>
      <c r="O43" s="27" t="s">
        <v>662</v>
      </c>
      <c r="P43" s="27" t="s">
        <v>662</v>
      </c>
      <c r="Q43" s="27" t="s">
        <v>663</v>
      </c>
      <c r="R43" s="27" t="s">
        <v>664</v>
      </c>
      <c r="S43" s="27"/>
      <c r="T43" s="27"/>
      <c r="U43" s="27" t="s">
        <v>665</v>
      </c>
      <c r="V43" s="27" t="s">
        <v>666</v>
      </c>
      <c r="W43" s="27" t="s">
        <v>607</v>
      </c>
      <c r="X43" s="27" t="s">
        <v>121</v>
      </c>
      <c r="Y43" s="27" t="s">
        <v>667</v>
      </c>
      <c r="Z43" s="27" t="s">
        <v>668</v>
      </c>
    </row>
    <row r="44" spans="1:26" ht="52.05" customHeight="1">
      <c r="A44" s="28" t="s">
        <v>486</v>
      </c>
      <c r="B44" s="28" t="s">
        <v>669</v>
      </c>
      <c r="C44" s="28" t="s">
        <v>670</v>
      </c>
      <c r="D44" s="28" t="s">
        <v>605</v>
      </c>
      <c r="E44" s="28" t="s">
        <v>251</v>
      </c>
      <c r="F44" s="28">
        <v>0.44</v>
      </c>
      <c r="G44" s="28" t="s">
        <v>671</v>
      </c>
      <c r="H44" s="28" t="s">
        <v>104</v>
      </c>
      <c r="I44" s="28" t="s">
        <v>607</v>
      </c>
      <c r="J44" s="28" t="s">
        <v>491</v>
      </c>
      <c r="K44" s="28">
        <v>0.44</v>
      </c>
      <c r="L44" s="28" t="s">
        <v>671</v>
      </c>
      <c r="M44" s="28" t="s">
        <v>199</v>
      </c>
      <c r="N44" s="28">
        <v>1</v>
      </c>
      <c r="O44" s="28" t="s">
        <v>672</v>
      </c>
      <c r="P44" s="28" t="s">
        <v>672</v>
      </c>
      <c r="Q44" s="28" t="s">
        <v>673</v>
      </c>
      <c r="R44" s="28" t="s">
        <v>674</v>
      </c>
      <c r="S44" s="28"/>
      <c r="T44" s="28"/>
      <c r="U44" s="28" t="s">
        <v>675</v>
      </c>
      <c r="V44" s="28" t="s">
        <v>676</v>
      </c>
      <c r="W44" s="28" t="s">
        <v>607</v>
      </c>
      <c r="X44" s="28" t="s">
        <v>219</v>
      </c>
      <c r="Y44" s="28" t="s">
        <v>677</v>
      </c>
      <c r="Z44" s="28" t="s">
        <v>678</v>
      </c>
    </row>
    <row r="45" spans="1:26" ht="52.05" customHeight="1">
      <c r="A45" s="27" t="s">
        <v>486</v>
      </c>
      <c r="B45" s="27" t="s">
        <v>679</v>
      </c>
      <c r="C45" s="27" t="s">
        <v>680</v>
      </c>
      <c r="D45" s="27" t="s">
        <v>605</v>
      </c>
      <c r="E45" s="27" t="s">
        <v>251</v>
      </c>
      <c r="F45" s="27">
        <v>0.22</v>
      </c>
      <c r="G45" s="27" t="s">
        <v>681</v>
      </c>
      <c r="H45" s="27"/>
      <c r="I45" s="27" t="s">
        <v>682</v>
      </c>
      <c r="J45" s="27" t="s">
        <v>683</v>
      </c>
      <c r="K45" s="27">
        <v>0.22</v>
      </c>
      <c r="L45" s="27" t="s">
        <v>681</v>
      </c>
      <c r="M45" s="27" t="s">
        <v>199</v>
      </c>
      <c r="N45" s="27">
        <v>1</v>
      </c>
      <c r="O45" s="27" t="s">
        <v>684</v>
      </c>
      <c r="P45" s="27" t="s">
        <v>684</v>
      </c>
      <c r="Q45" s="27" t="s">
        <v>685</v>
      </c>
      <c r="R45" s="27" t="s">
        <v>686</v>
      </c>
      <c r="S45" s="27"/>
      <c r="T45" s="27"/>
      <c r="U45" s="27" t="s">
        <v>687</v>
      </c>
      <c r="V45" s="27" t="s">
        <v>688</v>
      </c>
      <c r="W45" s="27" t="s">
        <v>682</v>
      </c>
      <c r="X45" s="27" t="s">
        <v>219</v>
      </c>
      <c r="Y45" s="27" t="s">
        <v>689</v>
      </c>
      <c r="Z45" s="27" t="s">
        <v>690</v>
      </c>
    </row>
    <row r="46" spans="1:26" ht="52.05" customHeight="1">
      <c r="A46" s="28" t="s">
        <v>486</v>
      </c>
      <c r="B46" s="28" t="s">
        <v>691</v>
      </c>
      <c r="C46" s="28" t="s">
        <v>692</v>
      </c>
      <c r="D46" s="28" t="s">
        <v>605</v>
      </c>
      <c r="E46" s="28" t="s">
        <v>693</v>
      </c>
      <c r="F46" s="28">
        <v>1.67</v>
      </c>
      <c r="G46" s="28" t="s">
        <v>694</v>
      </c>
      <c r="H46" s="28" t="s">
        <v>104</v>
      </c>
      <c r="I46" s="28" t="s">
        <v>695</v>
      </c>
      <c r="J46" s="28" t="s">
        <v>696</v>
      </c>
      <c r="K46" s="28">
        <v>1.67</v>
      </c>
      <c r="L46" s="28" t="s">
        <v>694</v>
      </c>
      <c r="M46" s="28" t="s">
        <v>199</v>
      </c>
      <c r="N46" s="28">
        <v>1</v>
      </c>
      <c r="O46" s="28" t="s">
        <v>86</v>
      </c>
      <c r="P46" s="28" t="s">
        <v>86</v>
      </c>
      <c r="Q46" s="28" t="s">
        <v>697</v>
      </c>
      <c r="R46" s="28" t="s">
        <v>698</v>
      </c>
      <c r="S46" s="28"/>
      <c r="T46" s="28"/>
      <c r="U46" s="28" t="s">
        <v>699</v>
      </c>
      <c r="V46" s="28" t="s">
        <v>666</v>
      </c>
      <c r="W46" s="28" t="s">
        <v>695</v>
      </c>
      <c r="X46" s="28" t="s">
        <v>121</v>
      </c>
      <c r="Y46" s="28" t="s">
        <v>700</v>
      </c>
      <c r="Z46" s="28" t="s">
        <v>701</v>
      </c>
    </row>
    <row r="47" spans="1:26" ht="52.05" customHeight="1">
      <c r="A47" s="27" t="s">
        <v>702</v>
      </c>
      <c r="B47" s="27" t="s">
        <v>703</v>
      </c>
      <c r="C47" s="27" t="s">
        <v>704</v>
      </c>
      <c r="D47" s="27" t="s">
        <v>705</v>
      </c>
      <c r="E47" s="27" t="s">
        <v>251</v>
      </c>
      <c r="F47" s="27">
        <v>0.16</v>
      </c>
      <c r="G47" s="27" t="s">
        <v>706</v>
      </c>
      <c r="H47" s="27" t="s">
        <v>104</v>
      </c>
      <c r="I47" s="27" t="s">
        <v>607</v>
      </c>
      <c r="J47" s="27" t="s">
        <v>707</v>
      </c>
      <c r="K47" s="27">
        <v>0.16</v>
      </c>
      <c r="L47" s="27" t="s">
        <v>706</v>
      </c>
      <c r="M47" s="27" t="s">
        <v>199</v>
      </c>
      <c r="N47" s="27">
        <v>1</v>
      </c>
      <c r="O47" s="27" t="s">
        <v>708</v>
      </c>
      <c r="P47" s="27" t="s">
        <v>708</v>
      </c>
      <c r="Q47" s="27" t="s">
        <v>709</v>
      </c>
      <c r="R47" s="27" t="s">
        <v>710</v>
      </c>
      <c r="S47" s="27"/>
      <c r="T47" s="27"/>
      <c r="U47" s="27" t="s">
        <v>711</v>
      </c>
      <c r="V47" s="27" t="s">
        <v>712</v>
      </c>
      <c r="W47" s="27" t="s">
        <v>607</v>
      </c>
      <c r="X47" s="27" t="s">
        <v>120</v>
      </c>
      <c r="Y47" s="27" t="s">
        <v>713</v>
      </c>
      <c r="Z47" s="27" t="s">
        <v>714</v>
      </c>
    </row>
    <row r="48" spans="1:26" ht="52.05" customHeight="1">
      <c r="A48" s="28" t="s">
        <v>702</v>
      </c>
      <c r="B48" s="28" t="s">
        <v>715</v>
      </c>
      <c r="C48" s="28" t="s">
        <v>716</v>
      </c>
      <c r="D48" s="28" t="s">
        <v>705</v>
      </c>
      <c r="E48" s="28" t="s">
        <v>251</v>
      </c>
      <c r="F48" s="28">
        <v>22</v>
      </c>
      <c r="G48" s="28" t="s">
        <v>717</v>
      </c>
      <c r="H48" s="28" t="s">
        <v>104</v>
      </c>
      <c r="I48" s="28" t="s">
        <v>341</v>
      </c>
      <c r="J48" s="28" t="s">
        <v>718</v>
      </c>
      <c r="K48" s="28">
        <v>22</v>
      </c>
      <c r="L48" s="28" t="s">
        <v>717</v>
      </c>
      <c r="M48" s="28" t="s">
        <v>199</v>
      </c>
      <c r="N48" s="28">
        <v>1</v>
      </c>
      <c r="O48" s="28" t="s">
        <v>719</v>
      </c>
      <c r="P48" s="28" t="s">
        <v>719</v>
      </c>
      <c r="Q48" s="28" t="s">
        <v>720</v>
      </c>
      <c r="R48" s="28" t="s">
        <v>721</v>
      </c>
      <c r="S48" s="28"/>
      <c r="T48" s="28"/>
      <c r="U48" s="28" t="s">
        <v>722</v>
      </c>
      <c r="V48" s="28" t="s">
        <v>723</v>
      </c>
      <c r="W48" s="28" t="s">
        <v>341</v>
      </c>
      <c r="X48" s="28" t="s">
        <v>219</v>
      </c>
      <c r="Y48" s="28" t="s">
        <v>724</v>
      </c>
      <c r="Z48" s="28" t="s">
        <v>725</v>
      </c>
    </row>
    <row r="49" spans="1:26" ht="52.05" customHeight="1">
      <c r="A49" s="27" t="s">
        <v>702</v>
      </c>
      <c r="B49" s="27" t="s">
        <v>726</v>
      </c>
      <c r="C49" s="27" t="s">
        <v>727</v>
      </c>
      <c r="D49" s="27" t="s">
        <v>705</v>
      </c>
      <c r="E49" s="27" t="s">
        <v>195</v>
      </c>
      <c r="F49" s="27">
        <v>5</v>
      </c>
      <c r="G49" s="27" t="s">
        <v>728</v>
      </c>
      <c r="H49" s="27" t="s">
        <v>104</v>
      </c>
      <c r="I49" s="27" t="s">
        <v>729</v>
      </c>
      <c r="J49" s="27" t="s">
        <v>730</v>
      </c>
      <c r="K49" s="27">
        <v>5</v>
      </c>
      <c r="L49" s="27" t="s">
        <v>728</v>
      </c>
      <c r="M49" s="27" t="s">
        <v>199</v>
      </c>
      <c r="N49" s="27">
        <v>1</v>
      </c>
      <c r="O49" s="27" t="s">
        <v>731</v>
      </c>
      <c r="P49" s="27" t="s">
        <v>731</v>
      </c>
      <c r="Q49" s="27" t="s">
        <v>732</v>
      </c>
      <c r="R49" s="27" t="s">
        <v>733</v>
      </c>
      <c r="S49" s="27"/>
      <c r="T49" s="27"/>
      <c r="U49" s="27" t="s">
        <v>734</v>
      </c>
      <c r="V49" s="27" t="s">
        <v>735</v>
      </c>
      <c r="W49" s="27" t="s">
        <v>729</v>
      </c>
      <c r="X49" s="27" t="s">
        <v>120</v>
      </c>
      <c r="Y49" s="27" t="s">
        <v>736</v>
      </c>
      <c r="Z49" s="27" t="s">
        <v>737</v>
      </c>
    </row>
    <row r="50" spans="1:26" ht="52.05" customHeight="1">
      <c r="A50" s="28" t="s">
        <v>702</v>
      </c>
      <c r="B50" s="28" t="s">
        <v>738</v>
      </c>
      <c r="C50" s="28" t="s">
        <v>739</v>
      </c>
      <c r="D50" s="28" t="s">
        <v>705</v>
      </c>
      <c r="E50" s="28" t="s">
        <v>251</v>
      </c>
      <c r="F50" s="28">
        <v>1.65</v>
      </c>
      <c r="G50" s="28" t="s">
        <v>740</v>
      </c>
      <c r="H50" s="28" t="s">
        <v>104</v>
      </c>
      <c r="I50" s="28" t="s">
        <v>741</v>
      </c>
      <c r="J50" s="28" t="s">
        <v>742</v>
      </c>
      <c r="K50" s="28">
        <v>1.65</v>
      </c>
      <c r="L50" s="28" t="s">
        <v>740</v>
      </c>
      <c r="M50" s="28" t="s">
        <v>199</v>
      </c>
      <c r="N50" s="28">
        <v>1</v>
      </c>
      <c r="O50" s="28" t="s">
        <v>743</v>
      </c>
      <c r="P50" s="28" t="s">
        <v>743</v>
      </c>
      <c r="Q50" s="28" t="s">
        <v>744</v>
      </c>
      <c r="R50" s="28" t="s">
        <v>745</v>
      </c>
      <c r="S50" s="28"/>
      <c r="T50" s="28"/>
      <c r="U50" s="28" t="s">
        <v>746</v>
      </c>
      <c r="V50" s="28" t="s">
        <v>747</v>
      </c>
      <c r="W50" s="28" t="s">
        <v>741</v>
      </c>
      <c r="X50" s="28" t="s">
        <v>246</v>
      </c>
      <c r="Y50" s="28" t="s">
        <v>748</v>
      </c>
      <c r="Z50" s="28" t="s">
        <v>749</v>
      </c>
    </row>
    <row r="51" spans="1:26" ht="52.05" customHeight="1">
      <c r="A51" s="27" t="s">
        <v>702</v>
      </c>
      <c r="B51" s="27" t="s">
        <v>750</v>
      </c>
      <c r="C51" s="27" t="s">
        <v>751</v>
      </c>
      <c r="D51" s="27" t="s">
        <v>705</v>
      </c>
      <c r="E51" s="27" t="s">
        <v>251</v>
      </c>
      <c r="F51" s="27">
        <v>4.5</v>
      </c>
      <c r="G51" s="27" t="s">
        <v>752</v>
      </c>
      <c r="H51" s="27" t="s">
        <v>104</v>
      </c>
      <c r="I51" s="27" t="s">
        <v>341</v>
      </c>
      <c r="J51" s="27" t="s">
        <v>753</v>
      </c>
      <c r="K51" s="27">
        <v>4.5</v>
      </c>
      <c r="L51" s="27" t="s">
        <v>752</v>
      </c>
      <c r="M51" s="27" t="s">
        <v>199</v>
      </c>
      <c r="N51" s="27">
        <v>1</v>
      </c>
      <c r="O51" s="27" t="s">
        <v>754</v>
      </c>
      <c r="P51" s="27" t="s">
        <v>754</v>
      </c>
      <c r="Q51" s="27" t="s">
        <v>755</v>
      </c>
      <c r="R51" s="27" t="s">
        <v>756</v>
      </c>
      <c r="S51" s="27"/>
      <c r="T51" s="27"/>
      <c r="U51" s="27" t="s">
        <v>757</v>
      </c>
      <c r="V51" s="27" t="s">
        <v>758</v>
      </c>
      <c r="W51" s="27" t="s">
        <v>341</v>
      </c>
      <c r="X51" s="27" t="s">
        <v>219</v>
      </c>
      <c r="Y51" s="27" t="s">
        <v>759</v>
      </c>
      <c r="Z51" s="27" t="s">
        <v>760</v>
      </c>
    </row>
    <row r="52" spans="1:26" ht="52.05" customHeight="1">
      <c r="A52" s="28" t="s">
        <v>702</v>
      </c>
      <c r="B52" s="28" t="s">
        <v>761</v>
      </c>
      <c r="C52" s="28" t="s">
        <v>762</v>
      </c>
      <c r="D52" s="28" t="s">
        <v>705</v>
      </c>
      <c r="E52" s="28" t="s">
        <v>251</v>
      </c>
      <c r="F52" s="28">
        <v>28</v>
      </c>
      <c r="G52" s="28" t="s">
        <v>763</v>
      </c>
      <c r="H52" s="28" t="s">
        <v>104</v>
      </c>
      <c r="I52" s="28" t="s">
        <v>764</v>
      </c>
      <c r="J52" s="28" t="s">
        <v>281</v>
      </c>
      <c r="K52" s="28">
        <v>28</v>
      </c>
      <c r="L52" s="28" t="s">
        <v>763</v>
      </c>
      <c r="M52" s="28" t="s">
        <v>199</v>
      </c>
      <c r="N52" s="28">
        <v>1</v>
      </c>
      <c r="O52" s="28" t="s">
        <v>765</v>
      </c>
      <c r="P52" s="28" t="s">
        <v>765</v>
      </c>
      <c r="Q52" s="28" t="s">
        <v>766</v>
      </c>
      <c r="R52" s="28" t="s">
        <v>767</v>
      </c>
      <c r="S52" s="28"/>
      <c r="T52" s="28"/>
      <c r="U52" s="28" t="s">
        <v>768</v>
      </c>
      <c r="V52" s="28" t="s">
        <v>769</v>
      </c>
      <c r="W52" s="28" t="s">
        <v>764</v>
      </c>
      <c r="X52" s="28" t="s">
        <v>120</v>
      </c>
      <c r="Y52" s="28" t="s">
        <v>770</v>
      </c>
      <c r="Z52" s="28" t="s">
        <v>771</v>
      </c>
    </row>
    <row r="53" spans="1:26" ht="52.05" customHeight="1">
      <c r="A53" s="27" t="s">
        <v>702</v>
      </c>
      <c r="B53" s="27" t="s">
        <v>772</v>
      </c>
      <c r="C53" s="27" t="s">
        <v>773</v>
      </c>
      <c r="D53" s="27" t="s">
        <v>705</v>
      </c>
      <c r="E53" s="27" t="s">
        <v>251</v>
      </c>
      <c r="F53" s="27">
        <v>68.12</v>
      </c>
      <c r="G53" s="27" t="s">
        <v>774</v>
      </c>
      <c r="H53" s="27" t="s">
        <v>104</v>
      </c>
      <c r="I53" s="27" t="s">
        <v>775</v>
      </c>
      <c r="J53" s="27" t="s">
        <v>776</v>
      </c>
      <c r="K53" s="27">
        <v>68.12</v>
      </c>
      <c r="L53" s="27" t="s">
        <v>777</v>
      </c>
      <c r="M53" s="27" t="s">
        <v>199</v>
      </c>
      <c r="N53" s="27">
        <v>1</v>
      </c>
      <c r="O53" s="27" t="s">
        <v>778</v>
      </c>
      <c r="P53" s="27" t="s">
        <v>778</v>
      </c>
      <c r="Q53" s="27" t="s">
        <v>779</v>
      </c>
      <c r="R53" s="27" t="s">
        <v>780</v>
      </c>
      <c r="S53" s="27"/>
      <c r="T53" s="27"/>
      <c r="U53" s="27" t="s">
        <v>781</v>
      </c>
      <c r="V53" s="27" t="s">
        <v>782</v>
      </c>
      <c r="W53" s="27" t="s">
        <v>253</v>
      </c>
      <c r="X53" s="27" t="s">
        <v>219</v>
      </c>
      <c r="Y53" s="27" t="s">
        <v>783</v>
      </c>
      <c r="Z53" s="27" t="s">
        <v>784</v>
      </c>
    </row>
    <row r="54" spans="1:26" ht="52.05" customHeight="1">
      <c r="A54" s="28" t="s">
        <v>702</v>
      </c>
      <c r="B54" s="28" t="s">
        <v>450</v>
      </c>
      <c r="C54" s="28" t="s">
        <v>785</v>
      </c>
      <c r="D54" s="28" t="s">
        <v>705</v>
      </c>
      <c r="E54" s="28" t="s">
        <v>195</v>
      </c>
      <c r="F54" s="28">
        <v>6.5</v>
      </c>
      <c r="G54" s="28" t="s">
        <v>786</v>
      </c>
      <c r="H54" s="28" t="s">
        <v>104</v>
      </c>
      <c r="I54" s="28" t="s">
        <v>341</v>
      </c>
      <c r="J54" s="28" t="s">
        <v>787</v>
      </c>
      <c r="K54" s="28">
        <v>6.5</v>
      </c>
      <c r="L54" s="28" t="s">
        <v>786</v>
      </c>
      <c r="M54" s="28" t="s">
        <v>199</v>
      </c>
      <c r="N54" s="28">
        <v>1</v>
      </c>
      <c r="O54" s="28" t="s">
        <v>788</v>
      </c>
      <c r="P54" s="28" t="s">
        <v>788</v>
      </c>
      <c r="Q54" s="28" t="s">
        <v>789</v>
      </c>
      <c r="R54" s="28" t="s">
        <v>790</v>
      </c>
      <c r="S54" s="28"/>
      <c r="T54" s="28"/>
      <c r="U54" s="28" t="s">
        <v>791</v>
      </c>
      <c r="V54" s="28" t="s">
        <v>792</v>
      </c>
      <c r="W54" s="28" t="s">
        <v>341</v>
      </c>
      <c r="X54" s="28" t="s">
        <v>219</v>
      </c>
      <c r="Y54" s="28" t="s">
        <v>793</v>
      </c>
      <c r="Z54" s="28" t="s">
        <v>275</v>
      </c>
    </row>
    <row r="55" spans="1:26" ht="52.05" customHeight="1">
      <c r="A55" s="27" t="s">
        <v>702</v>
      </c>
      <c r="B55" s="27" t="s">
        <v>794</v>
      </c>
      <c r="C55" s="27" t="s">
        <v>795</v>
      </c>
      <c r="D55" s="27" t="s">
        <v>705</v>
      </c>
      <c r="E55" s="27" t="s">
        <v>251</v>
      </c>
      <c r="F55" s="27">
        <v>0.3</v>
      </c>
      <c r="G55" s="27" t="s">
        <v>796</v>
      </c>
      <c r="H55" s="27" t="s">
        <v>104</v>
      </c>
      <c r="I55" s="27" t="s">
        <v>253</v>
      </c>
      <c r="J55" s="27" t="s">
        <v>742</v>
      </c>
      <c r="K55" s="27">
        <v>0.3</v>
      </c>
      <c r="L55" s="27" t="s">
        <v>797</v>
      </c>
      <c r="M55" s="27" t="s">
        <v>199</v>
      </c>
      <c r="N55" s="27">
        <v>1</v>
      </c>
      <c r="O55" s="27" t="s">
        <v>731</v>
      </c>
      <c r="P55" s="27" t="s">
        <v>731</v>
      </c>
      <c r="Q55" s="27" t="s">
        <v>798</v>
      </c>
      <c r="R55" s="27" t="s">
        <v>799</v>
      </c>
      <c r="S55" s="27"/>
      <c r="T55" s="27"/>
      <c r="U55" s="27" t="s">
        <v>800</v>
      </c>
      <c r="V55" s="27" t="s">
        <v>801</v>
      </c>
      <c r="W55" s="27" t="s">
        <v>253</v>
      </c>
      <c r="X55" s="27" t="s">
        <v>120</v>
      </c>
      <c r="Y55" s="27" t="s">
        <v>802</v>
      </c>
      <c r="Z55" s="27" t="s">
        <v>803</v>
      </c>
    </row>
    <row r="56" spans="1:26" ht="52.05" customHeight="1">
      <c r="A56" s="28" t="s">
        <v>702</v>
      </c>
      <c r="B56" s="28" t="s">
        <v>804</v>
      </c>
      <c r="C56" s="28" t="s">
        <v>805</v>
      </c>
      <c r="D56" s="28" t="s">
        <v>705</v>
      </c>
      <c r="E56" s="28" t="s">
        <v>195</v>
      </c>
      <c r="F56" s="28">
        <v>5</v>
      </c>
      <c r="G56" s="28" t="s">
        <v>806</v>
      </c>
      <c r="H56" s="28" t="s">
        <v>104</v>
      </c>
      <c r="I56" s="28" t="s">
        <v>341</v>
      </c>
      <c r="J56" s="28" t="s">
        <v>807</v>
      </c>
      <c r="K56" s="28">
        <v>5</v>
      </c>
      <c r="L56" s="28" t="s">
        <v>806</v>
      </c>
      <c r="M56" s="28" t="s">
        <v>199</v>
      </c>
      <c r="N56" s="28">
        <v>1</v>
      </c>
      <c r="O56" s="28" t="s">
        <v>808</v>
      </c>
      <c r="P56" s="28" t="s">
        <v>808</v>
      </c>
      <c r="Q56" s="28" t="s">
        <v>809</v>
      </c>
      <c r="R56" s="28" t="s">
        <v>810</v>
      </c>
      <c r="S56" s="28"/>
      <c r="T56" s="28"/>
      <c r="U56" s="28" t="s">
        <v>811</v>
      </c>
      <c r="V56" s="28" t="s">
        <v>812</v>
      </c>
      <c r="W56" s="28" t="s">
        <v>341</v>
      </c>
      <c r="X56" s="28" t="s">
        <v>120</v>
      </c>
      <c r="Y56" s="28" t="s">
        <v>813</v>
      </c>
      <c r="Z56" s="28" t="s">
        <v>814</v>
      </c>
    </row>
    <row r="57" spans="1:26" ht="52.05" customHeight="1">
      <c r="A57" s="27" t="s">
        <v>702</v>
      </c>
      <c r="B57" s="27" t="s">
        <v>815</v>
      </c>
      <c r="C57" s="27" t="s">
        <v>816</v>
      </c>
      <c r="D57" s="27" t="s">
        <v>705</v>
      </c>
      <c r="E57" s="27" t="s">
        <v>195</v>
      </c>
      <c r="F57" s="27">
        <v>2500</v>
      </c>
      <c r="G57" s="27" t="s">
        <v>817</v>
      </c>
      <c r="H57" s="27" t="s">
        <v>104</v>
      </c>
      <c r="I57" s="27" t="s">
        <v>818</v>
      </c>
      <c r="J57" s="27" t="s">
        <v>819</v>
      </c>
      <c r="K57" s="27">
        <v>2500</v>
      </c>
      <c r="L57" s="27" t="s">
        <v>817</v>
      </c>
      <c r="M57" s="27" t="s">
        <v>199</v>
      </c>
      <c r="N57" s="27">
        <v>1</v>
      </c>
      <c r="O57" s="27" t="s">
        <v>820</v>
      </c>
      <c r="P57" s="27" t="s">
        <v>820</v>
      </c>
      <c r="Q57" s="27" t="s">
        <v>821</v>
      </c>
      <c r="R57" s="27" t="s">
        <v>822</v>
      </c>
      <c r="S57" s="27"/>
      <c r="T57" s="27"/>
      <c r="U57" s="27" t="s">
        <v>823</v>
      </c>
      <c r="V57" s="27" t="s">
        <v>362</v>
      </c>
      <c r="W57" s="27" t="s">
        <v>818</v>
      </c>
      <c r="X57" s="27" t="s">
        <v>120</v>
      </c>
      <c r="Y57" s="27" t="s">
        <v>824</v>
      </c>
      <c r="Z57" s="27" t="s">
        <v>825</v>
      </c>
    </row>
    <row r="58" spans="1:26" ht="37.950000000000003" customHeight="1"/>
    <row r="59" spans="1:26" ht="37.950000000000003" customHeight="1"/>
    <row r="60" spans="1:26" ht="37.950000000000003" customHeight="1"/>
    <row r="61" spans="1:26" ht="37.950000000000003" customHeight="1"/>
    <row r="62" spans="1:26" ht="37.950000000000003" customHeight="1"/>
    <row r="63" spans="1:26" ht="37.950000000000003" customHeight="1"/>
    <row r="64" spans="1:26" ht="37.950000000000003" customHeight="1"/>
    <row r="65" ht="37.950000000000003" customHeight="1"/>
    <row r="66" ht="37.950000000000003" customHeight="1"/>
    <row r="67" ht="37.950000000000003" customHeight="1"/>
    <row r="68" ht="37.950000000000003" customHeight="1"/>
    <row r="69" ht="37.950000000000003" customHeight="1"/>
    <row r="70" ht="37.950000000000003" customHeight="1"/>
    <row r="71" ht="37.950000000000003" customHeight="1"/>
    <row r="72" ht="37.950000000000003" customHeight="1"/>
    <row r="73" ht="37.950000000000003" customHeight="1"/>
    <row r="74" ht="37.950000000000003" customHeight="1"/>
  </sheetData>
  <autoFilter ref="A4:Z57" xr:uid="{00000000-0009-0000-0000-000003000000}"/>
  <mergeCells count="2">
    <mergeCell ref="A1:Z1"/>
    <mergeCell ref="A2:Z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showGridLines="0" tabSelected="1" workbookViewId="0">
      <pane ySplit="3" topLeftCell="A19" activePane="bottomLeft" state="frozen"/>
      <selection pane="bottomLeft" sqref="A1:F1"/>
    </sheetView>
  </sheetViews>
  <sheetFormatPr defaultRowHeight="13.8"/>
  <cols>
    <col min="1" max="1" width="23" customWidth="1"/>
    <col min="2" max="2" width="55" customWidth="1"/>
    <col min="3" max="3" width="22" customWidth="1"/>
    <col min="4" max="4" width="14" customWidth="1"/>
    <col min="5" max="5" width="72" customWidth="1"/>
    <col min="6" max="6" width="75" customWidth="1"/>
  </cols>
  <sheetData>
    <row r="1" spans="1:6">
      <c r="A1" s="35" t="s">
        <v>826</v>
      </c>
      <c r="B1" s="33"/>
      <c r="C1" s="33"/>
      <c r="D1" s="33"/>
      <c r="E1" s="33"/>
      <c r="F1" s="33"/>
    </row>
    <row r="2" spans="1:6">
      <c r="A2" s="35" t="s">
        <v>827</v>
      </c>
      <c r="B2" s="33"/>
      <c r="C2" s="33"/>
      <c r="D2" s="33"/>
      <c r="E2" s="33"/>
      <c r="F2" s="33"/>
    </row>
    <row r="4" spans="1:6" ht="37.950000000000003" customHeight="1">
      <c r="A4" s="30" t="s">
        <v>828</v>
      </c>
      <c r="B4" s="30" t="s">
        <v>829</v>
      </c>
      <c r="C4" s="30" t="s">
        <v>830</v>
      </c>
      <c r="D4" s="30" t="s">
        <v>831</v>
      </c>
      <c r="E4" s="30" t="s">
        <v>832</v>
      </c>
      <c r="F4" s="30" t="s">
        <v>833</v>
      </c>
    </row>
    <row r="5" spans="1:6" ht="42" customHeight="1">
      <c r="A5" s="30" t="s">
        <v>834</v>
      </c>
      <c r="B5" s="30" t="s">
        <v>835</v>
      </c>
      <c r="C5" s="30" t="s">
        <v>836</v>
      </c>
      <c r="D5" s="30" t="s">
        <v>121</v>
      </c>
      <c r="E5" s="30" t="s">
        <v>837</v>
      </c>
      <c r="F5" s="30" t="s">
        <v>838</v>
      </c>
    </row>
    <row r="6" spans="1:6" ht="42" customHeight="1">
      <c r="A6" s="30" t="s">
        <v>191</v>
      </c>
      <c r="B6" s="30" t="s">
        <v>839</v>
      </c>
      <c r="C6" s="30" t="s">
        <v>840</v>
      </c>
      <c r="D6" s="30" t="s">
        <v>121</v>
      </c>
      <c r="E6" s="30" t="s">
        <v>841</v>
      </c>
      <c r="F6" s="30" t="s">
        <v>842</v>
      </c>
    </row>
    <row r="7" spans="1:6" ht="42" customHeight="1">
      <c r="A7" s="30" t="s">
        <v>222</v>
      </c>
      <c r="B7" s="30" t="s">
        <v>843</v>
      </c>
      <c r="C7" s="30" t="s">
        <v>844</v>
      </c>
      <c r="D7" s="30" t="s">
        <v>121</v>
      </c>
      <c r="E7" s="30" t="s">
        <v>845</v>
      </c>
      <c r="F7" s="30" t="s">
        <v>846</v>
      </c>
    </row>
    <row r="8" spans="1:6" ht="42" customHeight="1">
      <c r="A8" s="30" t="s">
        <v>276</v>
      </c>
      <c r="B8" s="30" t="s">
        <v>847</v>
      </c>
      <c r="C8" s="30" t="s">
        <v>844</v>
      </c>
      <c r="D8" s="30" t="s">
        <v>121</v>
      </c>
      <c r="E8" s="30" t="s">
        <v>848</v>
      </c>
      <c r="F8" s="30" t="s">
        <v>849</v>
      </c>
    </row>
    <row r="9" spans="1:6" ht="42" customHeight="1">
      <c r="A9" s="30" t="s">
        <v>289</v>
      </c>
      <c r="B9" s="30" t="s">
        <v>850</v>
      </c>
      <c r="C9" s="30" t="s">
        <v>851</v>
      </c>
      <c r="D9" s="30" t="s">
        <v>121</v>
      </c>
      <c r="E9" s="30" t="s">
        <v>852</v>
      </c>
      <c r="F9" s="30" t="s">
        <v>853</v>
      </c>
    </row>
    <row r="10" spans="1:6" ht="42" customHeight="1">
      <c r="A10" s="30" t="s">
        <v>854</v>
      </c>
      <c r="B10" s="30" t="s">
        <v>855</v>
      </c>
      <c r="C10" s="30" t="s">
        <v>844</v>
      </c>
      <c r="D10" s="30" t="s">
        <v>121</v>
      </c>
      <c r="E10" s="30" t="s">
        <v>856</v>
      </c>
      <c r="F10" s="30" t="s">
        <v>857</v>
      </c>
    </row>
    <row r="11" spans="1:6" ht="42" customHeight="1">
      <c r="A11" s="30" t="s">
        <v>351</v>
      </c>
      <c r="B11" s="30" t="s">
        <v>858</v>
      </c>
      <c r="C11" s="30" t="s">
        <v>859</v>
      </c>
      <c r="D11" s="30" t="s">
        <v>121</v>
      </c>
      <c r="E11" s="30" t="s">
        <v>860</v>
      </c>
      <c r="F11" s="30" t="s">
        <v>861</v>
      </c>
    </row>
    <row r="12" spans="1:6" ht="42" customHeight="1">
      <c r="A12" s="30" t="s">
        <v>862</v>
      </c>
      <c r="B12" s="30" t="s">
        <v>863</v>
      </c>
      <c r="C12" s="30" t="s">
        <v>851</v>
      </c>
      <c r="D12" s="30" t="s">
        <v>121</v>
      </c>
      <c r="E12" s="30" t="s">
        <v>864</v>
      </c>
      <c r="F12" s="30" t="s">
        <v>865</v>
      </c>
    </row>
    <row r="13" spans="1:6" ht="42" customHeight="1">
      <c r="A13" s="30" t="s">
        <v>866</v>
      </c>
      <c r="B13" s="30" t="s">
        <v>867</v>
      </c>
      <c r="C13" s="30" t="s">
        <v>844</v>
      </c>
      <c r="D13" s="30" t="s">
        <v>121</v>
      </c>
      <c r="E13" s="30" t="s">
        <v>868</v>
      </c>
      <c r="F13" s="30" t="s">
        <v>869</v>
      </c>
    </row>
    <row r="14" spans="1:6" ht="42" customHeight="1">
      <c r="A14" s="30" t="s">
        <v>436</v>
      </c>
      <c r="B14" s="30" t="s">
        <v>870</v>
      </c>
      <c r="C14" s="30" t="s">
        <v>844</v>
      </c>
      <c r="D14" s="30" t="s">
        <v>219</v>
      </c>
      <c r="E14" s="30" t="s">
        <v>871</v>
      </c>
      <c r="F14" s="30" t="s">
        <v>872</v>
      </c>
    </row>
    <row r="15" spans="1:6" ht="42" customHeight="1">
      <c r="A15" s="30" t="s">
        <v>486</v>
      </c>
      <c r="B15" s="30" t="s">
        <v>873</v>
      </c>
      <c r="C15" s="30" t="s">
        <v>874</v>
      </c>
      <c r="D15" s="30" t="s">
        <v>121</v>
      </c>
      <c r="E15" s="30" t="s">
        <v>875</v>
      </c>
      <c r="F15" s="30" t="s">
        <v>876</v>
      </c>
    </row>
    <row r="16" spans="1:6" ht="42" customHeight="1">
      <c r="A16" s="30" t="s">
        <v>877</v>
      </c>
      <c r="B16" s="30" t="s">
        <v>878</v>
      </c>
      <c r="C16" s="30" t="s">
        <v>879</v>
      </c>
      <c r="D16" s="30" t="s">
        <v>121</v>
      </c>
      <c r="E16" s="30" t="s">
        <v>880</v>
      </c>
      <c r="F16" s="30" t="s">
        <v>881</v>
      </c>
    </row>
    <row r="17" spans="1:6" ht="42" customHeight="1">
      <c r="A17" s="30" t="s">
        <v>702</v>
      </c>
      <c r="B17" s="30" t="s">
        <v>882</v>
      </c>
      <c r="C17" s="30" t="s">
        <v>883</v>
      </c>
      <c r="D17" s="30" t="s">
        <v>121</v>
      </c>
      <c r="E17" s="30" t="s">
        <v>884</v>
      </c>
      <c r="F17" s="30" t="s">
        <v>885</v>
      </c>
    </row>
    <row r="18" spans="1:6" ht="42" customHeight="1">
      <c r="A18" s="30" t="s">
        <v>513</v>
      </c>
      <c r="B18" s="30" t="s">
        <v>886</v>
      </c>
      <c r="C18" s="30" t="s">
        <v>887</v>
      </c>
      <c r="D18" s="30" t="s">
        <v>121</v>
      </c>
      <c r="E18" s="30" t="s">
        <v>888</v>
      </c>
      <c r="F18" s="30" t="s">
        <v>889</v>
      </c>
    </row>
    <row r="19" spans="1:6" ht="42" customHeight="1">
      <c r="A19" s="30" t="s">
        <v>556</v>
      </c>
      <c r="B19" s="30" t="s">
        <v>890</v>
      </c>
      <c r="C19" s="30" t="s">
        <v>874</v>
      </c>
      <c r="D19" s="30" t="s">
        <v>219</v>
      </c>
      <c r="E19" s="30" t="s">
        <v>891</v>
      </c>
      <c r="F19" s="30" t="s">
        <v>892</v>
      </c>
    </row>
    <row r="20" spans="1:6" ht="42" customHeight="1">
      <c r="A20" s="30" t="s">
        <v>893</v>
      </c>
      <c r="B20" s="30" t="s">
        <v>894</v>
      </c>
      <c r="C20" s="30" t="s">
        <v>883</v>
      </c>
      <c r="D20" s="30" t="s">
        <v>219</v>
      </c>
      <c r="E20" s="30" t="s">
        <v>895</v>
      </c>
      <c r="F20" s="30" t="s">
        <v>896</v>
      </c>
    </row>
    <row r="21" spans="1:6" ht="42" customHeight="1">
      <c r="A21" s="30" t="s">
        <v>897</v>
      </c>
      <c r="B21" s="30" t="s">
        <v>898</v>
      </c>
      <c r="C21" s="30" t="s">
        <v>859</v>
      </c>
      <c r="D21" s="30" t="s">
        <v>121</v>
      </c>
      <c r="E21" s="30" t="s">
        <v>899</v>
      </c>
      <c r="F21" s="30" t="s">
        <v>900</v>
      </c>
    </row>
    <row r="22" spans="1:6" ht="42" customHeight="1">
      <c r="A22" s="30" t="s">
        <v>901</v>
      </c>
      <c r="B22" s="30" t="s">
        <v>902</v>
      </c>
      <c r="C22" s="30" t="s">
        <v>903</v>
      </c>
      <c r="D22" s="30" t="s">
        <v>219</v>
      </c>
      <c r="E22" s="30" t="s">
        <v>904</v>
      </c>
      <c r="F22" s="30" t="s">
        <v>905</v>
      </c>
    </row>
    <row r="23" spans="1:6" ht="37.950000000000003" customHeight="1"/>
    <row r="24" spans="1:6" ht="37.950000000000003" customHeight="1"/>
    <row r="25" spans="1:6" ht="37.950000000000003" customHeight="1"/>
    <row r="26" spans="1:6" ht="37.950000000000003" customHeight="1"/>
    <row r="27" spans="1:6" ht="37.950000000000003" customHeight="1"/>
    <row r="28" spans="1:6" ht="37.950000000000003" customHeight="1"/>
    <row r="29" spans="1:6" ht="37.950000000000003" customHeight="1"/>
    <row r="30" spans="1:6" ht="37.950000000000003" customHeight="1"/>
    <row r="31" spans="1:6" ht="37.950000000000003" customHeight="1"/>
    <row r="32" spans="1:6" ht="37.950000000000003" customHeight="1"/>
  </sheetData>
  <autoFilter ref="A4:F22" xr:uid="{00000000-0009-0000-0000-000004000000}"/>
  <mergeCells count="2"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1"/>
  <sheetViews>
    <sheetView showGridLines="0" workbookViewId="0">
      <pane ySplit="3" topLeftCell="A4" activePane="bottomLeft" state="frozen"/>
      <selection pane="bottomLeft" sqref="A1:E1"/>
    </sheetView>
  </sheetViews>
  <sheetFormatPr defaultRowHeight="13.8"/>
  <cols>
    <col min="1" max="1" width="52" customWidth="1"/>
    <col min="2" max="2" width="82" customWidth="1"/>
    <col min="3" max="3" width="20" customWidth="1"/>
    <col min="4" max="4" width="38" customWidth="1"/>
    <col min="5" max="5" width="80" customWidth="1"/>
  </cols>
  <sheetData>
    <row r="1" spans="1:5">
      <c r="A1" s="35" t="s">
        <v>906</v>
      </c>
      <c r="B1" s="33"/>
      <c r="C1" s="33"/>
      <c r="D1" s="33"/>
      <c r="E1" s="33"/>
    </row>
    <row r="3" spans="1:5">
      <c r="A3" s="30" t="s">
        <v>907</v>
      </c>
      <c r="B3" s="30" t="s">
        <v>908</v>
      </c>
      <c r="C3" s="30" t="s">
        <v>909</v>
      </c>
      <c r="D3" s="30" t="s">
        <v>910</v>
      </c>
      <c r="E3" s="30" t="s">
        <v>911</v>
      </c>
    </row>
    <row r="4" spans="1:5" ht="37.950000000000003" customHeight="1">
      <c r="A4" s="30" t="s">
        <v>912</v>
      </c>
      <c r="B4" s="31" t="s">
        <v>913</v>
      </c>
      <c r="C4" s="30" t="s">
        <v>914</v>
      </c>
      <c r="D4" s="30" t="s">
        <v>915</v>
      </c>
      <c r="E4" s="30" t="s">
        <v>916</v>
      </c>
    </row>
    <row r="5" spans="1:5" ht="37.950000000000003" customHeight="1">
      <c r="A5" s="30" t="s">
        <v>917</v>
      </c>
      <c r="B5" s="31" t="s">
        <v>362</v>
      </c>
      <c r="C5" s="30" t="s">
        <v>918</v>
      </c>
      <c r="D5" s="30" t="s">
        <v>919</v>
      </c>
      <c r="E5" s="30" t="s">
        <v>920</v>
      </c>
    </row>
    <row r="6" spans="1:5" ht="37.950000000000003" customHeight="1">
      <c r="A6" s="30" t="s">
        <v>921</v>
      </c>
      <c r="B6" s="31" t="s">
        <v>260</v>
      </c>
      <c r="C6" s="30" t="s">
        <v>253</v>
      </c>
      <c r="D6" s="30" t="s">
        <v>922</v>
      </c>
      <c r="E6" s="30" t="s">
        <v>923</v>
      </c>
    </row>
    <row r="7" spans="1:5" ht="37.950000000000003" customHeight="1">
      <c r="A7" s="30" t="s">
        <v>924</v>
      </c>
      <c r="B7" s="31" t="s">
        <v>925</v>
      </c>
      <c r="C7" s="30" t="s">
        <v>440</v>
      </c>
      <c r="D7" s="30" t="s">
        <v>926</v>
      </c>
      <c r="E7" s="30" t="s">
        <v>927</v>
      </c>
    </row>
    <row r="8" spans="1:5" ht="37.950000000000003" customHeight="1">
      <c r="A8" s="30" t="s">
        <v>928</v>
      </c>
      <c r="B8" s="31" t="s">
        <v>592</v>
      </c>
      <c r="C8" s="30" t="s">
        <v>440</v>
      </c>
      <c r="D8" s="30" t="s">
        <v>587</v>
      </c>
      <c r="E8" s="30" t="s">
        <v>929</v>
      </c>
    </row>
    <row r="9" spans="1:5" ht="37.950000000000003" customHeight="1">
      <c r="A9" s="30" t="s">
        <v>930</v>
      </c>
      <c r="B9" s="31" t="s">
        <v>931</v>
      </c>
      <c r="C9" s="30" t="s">
        <v>607</v>
      </c>
      <c r="D9" s="30" t="s">
        <v>491</v>
      </c>
      <c r="E9" s="30" t="s">
        <v>932</v>
      </c>
    </row>
    <row r="10" spans="1:5" ht="37.950000000000003" customHeight="1">
      <c r="A10" s="30" t="s">
        <v>933</v>
      </c>
      <c r="B10" s="31" t="s">
        <v>497</v>
      </c>
      <c r="C10" s="30" t="s">
        <v>253</v>
      </c>
      <c r="D10" s="30" t="s">
        <v>491</v>
      </c>
      <c r="E10" s="30" t="s">
        <v>934</v>
      </c>
    </row>
    <row r="11" spans="1:5" ht="37.950000000000003" customHeight="1">
      <c r="A11" s="30" t="s">
        <v>935</v>
      </c>
      <c r="B11" s="31" t="s">
        <v>936</v>
      </c>
      <c r="C11" s="30" t="s">
        <v>253</v>
      </c>
      <c r="D11" s="30" t="s">
        <v>937</v>
      </c>
      <c r="E11" s="30" t="s">
        <v>938</v>
      </c>
    </row>
    <row r="12" spans="1:5" ht="37.950000000000003" customHeight="1">
      <c r="A12" s="30" t="s">
        <v>939</v>
      </c>
      <c r="B12" s="31" t="s">
        <v>666</v>
      </c>
      <c r="C12" s="30" t="s">
        <v>607</v>
      </c>
      <c r="D12" s="30" t="s">
        <v>940</v>
      </c>
      <c r="E12" s="30" t="s">
        <v>941</v>
      </c>
    </row>
    <row r="13" spans="1:5" ht="37.950000000000003" customHeight="1">
      <c r="A13" s="30" t="s">
        <v>942</v>
      </c>
      <c r="B13" s="31" t="s">
        <v>943</v>
      </c>
      <c r="C13" s="30" t="s">
        <v>944</v>
      </c>
      <c r="D13" s="30" t="s">
        <v>945</v>
      </c>
      <c r="E13" s="30" t="s">
        <v>946</v>
      </c>
    </row>
    <row r="14" spans="1:5" ht="37.950000000000003" customHeight="1">
      <c r="A14" s="30" t="s">
        <v>947</v>
      </c>
      <c r="B14" s="31" t="s">
        <v>948</v>
      </c>
      <c r="C14" s="30" t="s">
        <v>607</v>
      </c>
      <c r="D14" s="30" t="s">
        <v>491</v>
      </c>
      <c r="E14" s="30" t="s">
        <v>949</v>
      </c>
    </row>
    <row r="15" spans="1:5" ht="37.950000000000003" customHeight="1">
      <c r="A15" s="30" t="s">
        <v>950</v>
      </c>
      <c r="B15" s="31" t="s">
        <v>562</v>
      </c>
      <c r="C15" s="30" t="s">
        <v>253</v>
      </c>
      <c r="D15" s="30" t="s">
        <v>491</v>
      </c>
      <c r="E15" s="30" t="s">
        <v>951</v>
      </c>
    </row>
    <row r="16" spans="1:5" ht="37.950000000000003" customHeight="1">
      <c r="A16" s="30" t="s">
        <v>952</v>
      </c>
      <c r="B16" s="31" t="s">
        <v>425</v>
      </c>
      <c r="C16" s="30" t="s">
        <v>918</v>
      </c>
      <c r="D16" s="30" t="s">
        <v>953</v>
      </c>
      <c r="E16" s="30" t="s">
        <v>954</v>
      </c>
    </row>
    <row r="17" spans="1:5" ht="37.950000000000003" customHeight="1">
      <c r="A17" s="30" t="s">
        <v>955</v>
      </c>
      <c r="B17" s="31" t="s">
        <v>956</v>
      </c>
      <c r="C17" s="30" t="s">
        <v>957</v>
      </c>
      <c r="D17" s="30" t="s">
        <v>958</v>
      </c>
      <c r="E17" s="30" t="s">
        <v>959</v>
      </c>
    </row>
    <row r="18" spans="1:5" ht="37.950000000000003" customHeight="1">
      <c r="A18" s="30" t="s">
        <v>960</v>
      </c>
      <c r="B18" s="31" t="s">
        <v>961</v>
      </c>
      <c r="C18" s="30" t="s">
        <v>957</v>
      </c>
      <c r="D18" s="30" t="s">
        <v>958</v>
      </c>
      <c r="E18" s="30" t="s">
        <v>959</v>
      </c>
    </row>
    <row r="19" spans="1:5" ht="37.950000000000003" customHeight="1">
      <c r="A19" s="30" t="s">
        <v>962</v>
      </c>
      <c r="B19" s="31" t="s">
        <v>963</v>
      </c>
      <c r="C19" s="30" t="s">
        <v>957</v>
      </c>
      <c r="D19" s="30" t="s">
        <v>958</v>
      </c>
      <c r="E19" s="30" t="s">
        <v>959</v>
      </c>
    </row>
    <row r="20" spans="1:5" ht="37.950000000000003" customHeight="1">
      <c r="A20" s="30" t="s">
        <v>964</v>
      </c>
      <c r="B20" s="31" t="s">
        <v>310</v>
      </c>
      <c r="C20" s="30" t="s">
        <v>303</v>
      </c>
      <c r="D20" s="30" t="s">
        <v>965</v>
      </c>
      <c r="E20" s="30" t="s">
        <v>966</v>
      </c>
    </row>
    <row r="21" spans="1:5" ht="37.950000000000003" customHeight="1">
      <c r="A21" s="30" t="s">
        <v>967</v>
      </c>
      <c r="B21" s="31" t="s">
        <v>447</v>
      </c>
      <c r="C21" s="30" t="s">
        <v>303</v>
      </c>
      <c r="D21" s="30" t="s">
        <v>968</v>
      </c>
      <c r="E21" s="30" t="s">
        <v>969</v>
      </c>
    </row>
    <row r="22" spans="1:5" ht="37.950000000000003" customHeight="1">
      <c r="A22" s="30" t="s">
        <v>970</v>
      </c>
      <c r="B22" s="31" t="s">
        <v>971</v>
      </c>
      <c r="C22" s="30" t="s">
        <v>972</v>
      </c>
      <c r="D22" s="30" t="s">
        <v>973</v>
      </c>
      <c r="E22" s="30" t="s">
        <v>974</v>
      </c>
    </row>
    <row r="23" spans="1:5" ht="37.950000000000003" customHeight="1">
      <c r="A23" s="30" t="s">
        <v>975</v>
      </c>
      <c r="B23" s="31" t="s">
        <v>976</v>
      </c>
      <c r="C23" s="30" t="s">
        <v>607</v>
      </c>
      <c r="D23" s="30" t="s">
        <v>977</v>
      </c>
      <c r="E23" s="30" t="s">
        <v>978</v>
      </c>
    </row>
    <row r="24" spans="1:5" ht="37.950000000000003" customHeight="1">
      <c r="A24" s="30" t="s">
        <v>979</v>
      </c>
      <c r="B24" s="31" t="s">
        <v>980</v>
      </c>
      <c r="C24" s="30" t="s">
        <v>212</v>
      </c>
      <c r="D24" s="30" t="s">
        <v>981</v>
      </c>
      <c r="E24" s="30" t="s">
        <v>982</v>
      </c>
    </row>
    <row r="25" spans="1:5" ht="37.950000000000003" customHeight="1">
      <c r="A25" s="30" t="s">
        <v>983</v>
      </c>
      <c r="B25" s="31" t="s">
        <v>984</v>
      </c>
      <c r="C25" s="30" t="s">
        <v>985</v>
      </c>
      <c r="D25" s="30" t="s">
        <v>986</v>
      </c>
      <c r="E25" s="30" t="s">
        <v>987</v>
      </c>
    </row>
    <row r="26" spans="1:5" ht="37.950000000000003" customHeight="1">
      <c r="A26" s="30" t="s">
        <v>988</v>
      </c>
      <c r="B26" s="31" t="s">
        <v>537</v>
      </c>
      <c r="C26" s="30" t="s">
        <v>253</v>
      </c>
      <c r="D26" s="30" t="s">
        <v>989</v>
      </c>
      <c r="E26" s="30" t="s">
        <v>990</v>
      </c>
    </row>
    <row r="27" spans="1:5" ht="37.950000000000003" customHeight="1">
      <c r="A27" s="30" t="s">
        <v>991</v>
      </c>
      <c r="B27" s="31" t="s">
        <v>636</v>
      </c>
      <c r="C27" s="30" t="s">
        <v>631</v>
      </c>
      <c r="D27" s="30" t="s">
        <v>992</v>
      </c>
      <c r="E27" s="30" t="s">
        <v>993</v>
      </c>
    </row>
    <row r="28" spans="1:5" ht="37.950000000000003" customHeight="1">
      <c r="A28" s="30" t="s">
        <v>994</v>
      </c>
      <c r="B28" s="31" t="s">
        <v>995</v>
      </c>
      <c r="C28" s="30" t="s">
        <v>607</v>
      </c>
      <c r="D28" s="30" t="s">
        <v>996</v>
      </c>
      <c r="E28" s="30" t="s">
        <v>997</v>
      </c>
    </row>
    <row r="29" spans="1:5" ht="37.950000000000003" customHeight="1">
      <c r="A29" s="30" t="s">
        <v>998</v>
      </c>
      <c r="B29" s="31" t="s">
        <v>999</v>
      </c>
      <c r="C29" s="30" t="s">
        <v>607</v>
      </c>
      <c r="D29" s="30" t="s">
        <v>491</v>
      </c>
      <c r="E29" s="30" t="s">
        <v>1000</v>
      </c>
    </row>
    <row r="30" spans="1:5" ht="37.950000000000003" customHeight="1">
      <c r="A30" s="30" t="s">
        <v>1001</v>
      </c>
      <c r="B30" s="31" t="s">
        <v>625</v>
      </c>
      <c r="C30" s="30" t="s">
        <v>620</v>
      </c>
      <c r="D30" s="30" t="s">
        <v>491</v>
      </c>
      <c r="E30" s="30" t="s">
        <v>1002</v>
      </c>
    </row>
    <row r="31" spans="1:5" ht="37.950000000000003" customHeight="1">
      <c r="A31" s="30" t="s">
        <v>1003</v>
      </c>
      <c r="B31" s="31" t="s">
        <v>1004</v>
      </c>
      <c r="C31" s="30" t="s">
        <v>253</v>
      </c>
      <c r="D31" s="30" t="s">
        <v>491</v>
      </c>
      <c r="E31" s="30" t="s">
        <v>1005</v>
      </c>
    </row>
    <row r="32" spans="1:5" ht="37.950000000000003" customHeight="1">
      <c r="A32" s="30" t="s">
        <v>1006</v>
      </c>
      <c r="B32" s="31" t="s">
        <v>747</v>
      </c>
      <c r="C32" s="30" t="s">
        <v>741</v>
      </c>
      <c r="D32" s="30" t="s">
        <v>1007</v>
      </c>
      <c r="E32" s="30" t="s">
        <v>1008</v>
      </c>
    </row>
    <row r="33" spans="1:5" ht="37.950000000000003" customHeight="1">
      <c r="A33" s="30" t="s">
        <v>1009</v>
      </c>
      <c r="B33" s="31" t="s">
        <v>712</v>
      </c>
      <c r="C33" s="30" t="s">
        <v>607</v>
      </c>
      <c r="D33" s="30" t="s">
        <v>1010</v>
      </c>
      <c r="E33" s="30" t="s">
        <v>1011</v>
      </c>
    </row>
    <row r="34" spans="1:5" ht="37.950000000000003" customHeight="1">
      <c r="A34" s="30" t="s">
        <v>1012</v>
      </c>
      <c r="B34" s="31" t="s">
        <v>782</v>
      </c>
      <c r="C34" s="30" t="s">
        <v>253</v>
      </c>
      <c r="D34" s="30" t="s">
        <v>776</v>
      </c>
      <c r="E34" s="30" t="s">
        <v>1013</v>
      </c>
    </row>
    <row r="35" spans="1:5" ht="37.950000000000003" customHeight="1">
      <c r="A35" s="30" t="s">
        <v>1014</v>
      </c>
      <c r="B35" s="31" t="s">
        <v>205</v>
      </c>
      <c r="C35" s="30" t="s">
        <v>212</v>
      </c>
      <c r="D35" s="30" t="s">
        <v>381</v>
      </c>
      <c r="E35" s="30" t="s">
        <v>1015</v>
      </c>
    </row>
    <row r="36" spans="1:5" ht="37.950000000000003" customHeight="1">
      <c r="A36" s="30" t="s">
        <v>1016</v>
      </c>
      <c r="B36" s="31" t="s">
        <v>218</v>
      </c>
      <c r="C36" s="30" t="s">
        <v>212</v>
      </c>
      <c r="D36" s="30" t="s">
        <v>1017</v>
      </c>
      <c r="E36" s="30" t="s">
        <v>1018</v>
      </c>
    </row>
    <row r="37" spans="1:5" ht="37.950000000000003" customHeight="1">
      <c r="A37" s="30" t="s">
        <v>1019</v>
      </c>
      <c r="B37" s="31" t="s">
        <v>233</v>
      </c>
      <c r="C37" s="30" t="s">
        <v>212</v>
      </c>
      <c r="D37" s="30" t="s">
        <v>1020</v>
      </c>
      <c r="E37" s="30" t="s">
        <v>1021</v>
      </c>
    </row>
    <row r="38" spans="1:5" ht="37.950000000000003" customHeight="1">
      <c r="A38" s="30" t="s">
        <v>1022</v>
      </c>
      <c r="B38" s="31" t="s">
        <v>245</v>
      </c>
      <c r="C38" s="30" t="s">
        <v>1023</v>
      </c>
      <c r="D38" s="30" t="s">
        <v>1024</v>
      </c>
      <c r="E38" s="30" t="s">
        <v>1025</v>
      </c>
    </row>
    <row r="39" spans="1:5" ht="37.950000000000003" customHeight="1">
      <c r="A39" s="30" t="s">
        <v>1026</v>
      </c>
      <c r="B39" s="31" t="s">
        <v>273</v>
      </c>
      <c r="C39" s="30" t="s">
        <v>607</v>
      </c>
      <c r="D39" s="30" t="s">
        <v>1027</v>
      </c>
      <c r="E39" s="30" t="s">
        <v>1028</v>
      </c>
    </row>
    <row r="40" spans="1:5" ht="37.950000000000003" customHeight="1">
      <c r="A40" s="30" t="s">
        <v>1029</v>
      </c>
      <c r="B40" s="31" t="s">
        <v>286</v>
      </c>
      <c r="C40" s="30" t="s">
        <v>1023</v>
      </c>
      <c r="D40" s="30" t="s">
        <v>1030</v>
      </c>
      <c r="E40" s="30" t="s">
        <v>1031</v>
      </c>
    </row>
    <row r="41" spans="1:5" ht="37.950000000000003" customHeight="1">
      <c r="A41" s="30" t="s">
        <v>1032</v>
      </c>
      <c r="B41" s="31" t="s">
        <v>323</v>
      </c>
      <c r="C41" s="30" t="s">
        <v>607</v>
      </c>
      <c r="D41" s="30" t="s">
        <v>1033</v>
      </c>
      <c r="E41" s="30" t="s">
        <v>1034</v>
      </c>
    </row>
    <row r="42" spans="1:5" ht="37.950000000000003" customHeight="1">
      <c r="A42" s="30" t="s">
        <v>1035</v>
      </c>
      <c r="B42" s="31" t="s">
        <v>348</v>
      </c>
      <c r="C42" s="30" t="s">
        <v>607</v>
      </c>
      <c r="D42" s="30" t="s">
        <v>1036</v>
      </c>
      <c r="E42" s="30" t="s">
        <v>1037</v>
      </c>
    </row>
    <row r="43" spans="1:5" ht="27.6">
      <c r="A43" s="30" t="s">
        <v>1038</v>
      </c>
      <c r="B43" s="31" t="s">
        <v>386</v>
      </c>
      <c r="C43" s="30" t="s">
        <v>253</v>
      </c>
      <c r="D43" s="30" t="s">
        <v>381</v>
      </c>
      <c r="E43" s="30" t="s">
        <v>1039</v>
      </c>
    </row>
    <row r="44" spans="1:5" ht="41.4">
      <c r="A44" s="30" t="s">
        <v>397</v>
      </c>
      <c r="B44" s="31" t="s">
        <v>398</v>
      </c>
      <c r="C44" s="30" t="s">
        <v>392</v>
      </c>
      <c r="D44" s="30" t="s">
        <v>393</v>
      </c>
      <c r="E44" s="30" t="s">
        <v>399</v>
      </c>
    </row>
    <row r="45" spans="1:5" ht="15.6">
      <c r="A45" s="30" t="s">
        <v>1040</v>
      </c>
      <c r="B45" s="31" t="s">
        <v>459</v>
      </c>
      <c r="C45" s="30" t="s">
        <v>477</v>
      </c>
      <c r="D45" s="30" t="s">
        <v>1041</v>
      </c>
      <c r="E45" s="30" t="s">
        <v>1042</v>
      </c>
    </row>
    <row r="46" spans="1:5" ht="27.6">
      <c r="A46" s="30" t="s">
        <v>1043</v>
      </c>
      <c r="B46" s="31" t="s">
        <v>471</v>
      </c>
      <c r="C46" s="30" t="s">
        <v>1044</v>
      </c>
      <c r="D46" s="30" t="s">
        <v>1045</v>
      </c>
      <c r="E46" s="30" t="s">
        <v>1046</v>
      </c>
    </row>
    <row r="47" spans="1:5" ht="15.6">
      <c r="A47" s="30" t="s">
        <v>1047</v>
      </c>
      <c r="B47" s="31" t="s">
        <v>483</v>
      </c>
      <c r="C47" s="30" t="s">
        <v>607</v>
      </c>
      <c r="D47" s="30" t="s">
        <v>1048</v>
      </c>
      <c r="E47" s="30" t="s">
        <v>1049</v>
      </c>
    </row>
    <row r="48" spans="1:5" ht="15.6">
      <c r="A48" s="30" t="s">
        <v>1050</v>
      </c>
      <c r="B48" s="31" t="s">
        <v>510</v>
      </c>
      <c r="C48" s="30" t="s">
        <v>607</v>
      </c>
      <c r="D48" s="30" t="s">
        <v>1051</v>
      </c>
      <c r="E48" s="30" t="s">
        <v>1052</v>
      </c>
    </row>
    <row r="49" spans="1:5" ht="27.6">
      <c r="A49" s="30" t="s">
        <v>1053</v>
      </c>
      <c r="B49" s="31" t="s">
        <v>525</v>
      </c>
      <c r="C49" s="30" t="s">
        <v>1054</v>
      </c>
      <c r="D49" s="30" t="s">
        <v>1055</v>
      </c>
      <c r="E49" s="30" t="s">
        <v>1056</v>
      </c>
    </row>
    <row r="50" spans="1:5" ht="27.6">
      <c r="A50" s="30" t="s">
        <v>1057</v>
      </c>
      <c r="B50" s="31" t="s">
        <v>550</v>
      </c>
      <c r="C50" s="30" t="s">
        <v>440</v>
      </c>
      <c r="D50" s="30" t="s">
        <v>1058</v>
      </c>
      <c r="E50" s="30" t="s">
        <v>1059</v>
      </c>
    </row>
    <row r="51" spans="1:5" ht="15.6">
      <c r="A51" s="30" t="s">
        <v>1060</v>
      </c>
      <c r="B51" s="31" t="s">
        <v>723</v>
      </c>
      <c r="C51" s="30" t="s">
        <v>607</v>
      </c>
      <c r="D51" s="30" t="s">
        <v>1061</v>
      </c>
      <c r="E51" s="30" t="s">
        <v>1062</v>
      </c>
    </row>
    <row r="52" spans="1:5" ht="27.6">
      <c r="A52" s="30" t="s">
        <v>734</v>
      </c>
      <c r="B52" s="31" t="s">
        <v>735</v>
      </c>
      <c r="C52" s="30" t="s">
        <v>729</v>
      </c>
      <c r="D52" s="30" t="s">
        <v>730</v>
      </c>
      <c r="E52" s="30" t="s">
        <v>736</v>
      </c>
    </row>
    <row r="53" spans="1:5" ht="15.6">
      <c r="A53" s="30" t="s">
        <v>1063</v>
      </c>
      <c r="B53" s="31" t="s">
        <v>758</v>
      </c>
      <c r="C53" s="30" t="s">
        <v>607</v>
      </c>
      <c r="D53" s="30" t="s">
        <v>753</v>
      </c>
      <c r="E53" s="30" t="s">
        <v>1064</v>
      </c>
    </row>
    <row r="54" spans="1:5" ht="15.6">
      <c r="A54" s="30" t="s">
        <v>1065</v>
      </c>
      <c r="B54" s="31" t="s">
        <v>769</v>
      </c>
      <c r="C54" s="30" t="s">
        <v>607</v>
      </c>
      <c r="D54" s="30" t="s">
        <v>1066</v>
      </c>
      <c r="E54" s="30" t="s">
        <v>1067</v>
      </c>
    </row>
    <row r="55" spans="1:5" ht="15.6">
      <c r="A55" s="30" t="s">
        <v>1068</v>
      </c>
      <c r="B55" s="31" t="s">
        <v>792</v>
      </c>
      <c r="C55" s="30" t="s">
        <v>607</v>
      </c>
      <c r="D55" s="30" t="s">
        <v>787</v>
      </c>
      <c r="E55" s="30" t="s">
        <v>1069</v>
      </c>
    </row>
    <row r="56" spans="1:5" ht="15.6">
      <c r="A56" s="30" t="s">
        <v>1070</v>
      </c>
      <c r="B56" s="31" t="s">
        <v>812</v>
      </c>
      <c r="C56" s="30" t="s">
        <v>607</v>
      </c>
      <c r="D56" s="30" t="s">
        <v>1071</v>
      </c>
      <c r="E56" s="30" t="s">
        <v>1072</v>
      </c>
    </row>
    <row r="57" spans="1:5" ht="15.6">
      <c r="A57" s="30" t="s">
        <v>1073</v>
      </c>
      <c r="B57" s="31" t="s">
        <v>1074</v>
      </c>
      <c r="C57" s="30" t="s">
        <v>212</v>
      </c>
      <c r="D57" s="30" t="s">
        <v>1075</v>
      </c>
      <c r="E57" s="30" t="s">
        <v>1076</v>
      </c>
    </row>
    <row r="58" spans="1:5" ht="15.6">
      <c r="A58" s="30" t="s">
        <v>1077</v>
      </c>
      <c r="B58" s="31" t="s">
        <v>1078</v>
      </c>
      <c r="C58" s="30" t="s">
        <v>253</v>
      </c>
      <c r="D58" s="30" t="s">
        <v>1079</v>
      </c>
      <c r="E58" s="30" t="s">
        <v>1080</v>
      </c>
    </row>
    <row r="59" spans="1:5" ht="27.6">
      <c r="A59" s="30" t="s">
        <v>1081</v>
      </c>
      <c r="B59" s="31" t="s">
        <v>1082</v>
      </c>
      <c r="C59" s="30" t="s">
        <v>1083</v>
      </c>
      <c r="D59" s="30" t="s">
        <v>1084</v>
      </c>
      <c r="E59" s="30" t="s">
        <v>1085</v>
      </c>
    </row>
    <row r="60" spans="1:5" ht="27.6">
      <c r="A60" s="30" t="s">
        <v>1086</v>
      </c>
      <c r="B60" s="31" t="s">
        <v>1087</v>
      </c>
      <c r="C60" s="30" t="s">
        <v>253</v>
      </c>
      <c r="D60" s="30" t="s">
        <v>1088</v>
      </c>
      <c r="E60" s="30" t="s">
        <v>1089</v>
      </c>
    </row>
    <row r="61" spans="1:5" ht="15.6">
      <c r="A61" s="30" t="s">
        <v>1090</v>
      </c>
      <c r="B61" s="31" t="s">
        <v>1091</v>
      </c>
      <c r="C61" s="30" t="s">
        <v>607</v>
      </c>
      <c r="D61" s="30" t="s">
        <v>1061</v>
      </c>
      <c r="E61" s="30" t="s">
        <v>1092</v>
      </c>
    </row>
    <row r="62" spans="1:5" ht="27.6">
      <c r="A62" s="30" t="s">
        <v>1093</v>
      </c>
      <c r="B62" s="31" t="s">
        <v>1094</v>
      </c>
      <c r="C62" s="30" t="s">
        <v>631</v>
      </c>
      <c r="D62" s="30" t="s">
        <v>1095</v>
      </c>
      <c r="E62" s="30" t="s">
        <v>1096</v>
      </c>
    </row>
    <row r="63" spans="1:5" ht="27.6">
      <c r="A63" s="30" t="s">
        <v>1097</v>
      </c>
      <c r="B63" s="31" t="s">
        <v>613</v>
      </c>
      <c r="C63" s="30" t="s">
        <v>607</v>
      </c>
      <c r="D63" s="30" t="s">
        <v>1098</v>
      </c>
      <c r="E63" s="30" t="s">
        <v>1099</v>
      </c>
    </row>
    <row r="64" spans="1:5" ht="27.6">
      <c r="A64" s="30" t="s">
        <v>1100</v>
      </c>
      <c r="B64" s="31" t="s">
        <v>1101</v>
      </c>
      <c r="C64" s="30" t="s">
        <v>607</v>
      </c>
      <c r="D64" s="30" t="s">
        <v>1102</v>
      </c>
      <c r="E64" s="30" t="s">
        <v>1103</v>
      </c>
    </row>
    <row r="65" spans="1:5" ht="27.6">
      <c r="A65" s="30" t="s">
        <v>1104</v>
      </c>
      <c r="B65" s="31" t="s">
        <v>1105</v>
      </c>
      <c r="C65" s="30" t="s">
        <v>607</v>
      </c>
      <c r="D65" s="30" t="s">
        <v>1106</v>
      </c>
      <c r="E65" s="30" t="s">
        <v>1107</v>
      </c>
    </row>
    <row r="66" spans="1:5" ht="27.6">
      <c r="A66" s="30" t="s">
        <v>1108</v>
      </c>
      <c r="B66" s="31" t="s">
        <v>1109</v>
      </c>
      <c r="C66" s="30" t="s">
        <v>607</v>
      </c>
      <c r="D66" s="30" t="s">
        <v>1110</v>
      </c>
      <c r="E66" s="30" t="s">
        <v>1111</v>
      </c>
    </row>
    <row r="67" spans="1:5" ht="15.6">
      <c r="A67" t="s">
        <v>1112</v>
      </c>
      <c r="B67" s="31" t="s">
        <v>335</v>
      </c>
      <c r="C67" t="s">
        <v>329</v>
      </c>
      <c r="D67" t="s">
        <v>1113</v>
      </c>
      <c r="E67" t="s">
        <v>1114</v>
      </c>
    </row>
    <row r="68" spans="1:5" ht="15.6">
      <c r="A68" t="s">
        <v>1115</v>
      </c>
      <c r="B68" s="31" t="s">
        <v>412</v>
      </c>
      <c r="C68" t="s">
        <v>440</v>
      </c>
      <c r="D68" t="s">
        <v>406</v>
      </c>
      <c r="E68" t="s">
        <v>1116</v>
      </c>
    </row>
    <row r="69" spans="1:5" ht="15.6">
      <c r="A69" t="s">
        <v>1117</v>
      </c>
      <c r="B69" s="31" t="s">
        <v>676</v>
      </c>
      <c r="C69" t="s">
        <v>607</v>
      </c>
      <c r="D69" t="s">
        <v>1118</v>
      </c>
      <c r="E69" t="s">
        <v>1119</v>
      </c>
    </row>
    <row r="70" spans="1:5" ht="15.6">
      <c r="A70" t="s">
        <v>687</v>
      </c>
      <c r="B70" s="31" t="s">
        <v>688</v>
      </c>
      <c r="C70" t="s">
        <v>682</v>
      </c>
      <c r="D70" t="s">
        <v>683</v>
      </c>
      <c r="E70" t="s">
        <v>1120</v>
      </c>
    </row>
    <row r="71" spans="1:5" ht="15.6">
      <c r="A71" t="s">
        <v>1121</v>
      </c>
      <c r="B71" s="31" t="s">
        <v>801</v>
      </c>
      <c r="C71" t="s">
        <v>253</v>
      </c>
      <c r="D71" t="s">
        <v>1122</v>
      </c>
      <c r="E71" t="s">
        <v>1123</v>
      </c>
    </row>
  </sheetData>
  <autoFilter ref="A3:E56" xr:uid="{00000000-0009-0000-0000-000005000000}"/>
  <mergeCells count="1">
    <mergeCell ref="A1:E1"/>
  </mergeCells>
  <hyperlinks>
    <hyperlink ref="B4" r:id="rId1" xr:uid="{00000000-0004-0000-0500-000000000000}"/>
    <hyperlink ref="B5" r:id="rId2" xr:uid="{00000000-0004-0000-0500-000001000000}"/>
    <hyperlink ref="B6" r:id="rId3" xr:uid="{00000000-0004-0000-0500-000002000000}"/>
    <hyperlink ref="B7" r:id="rId4" xr:uid="{00000000-0004-0000-0500-000003000000}"/>
    <hyperlink ref="B8" r:id="rId5" xr:uid="{00000000-0004-0000-0500-000004000000}"/>
    <hyperlink ref="B9" r:id="rId6" xr:uid="{00000000-0004-0000-0500-000005000000}"/>
    <hyperlink ref="B10" r:id="rId7" xr:uid="{00000000-0004-0000-0500-000006000000}"/>
    <hyperlink ref="B11" r:id="rId8" xr:uid="{00000000-0004-0000-0500-000007000000}"/>
    <hyperlink ref="B12" r:id="rId9" xr:uid="{00000000-0004-0000-0500-000008000000}"/>
    <hyperlink ref="B13" r:id="rId10" xr:uid="{00000000-0004-0000-0500-000009000000}"/>
    <hyperlink ref="B14" r:id="rId11" xr:uid="{00000000-0004-0000-0500-00000A000000}"/>
    <hyperlink ref="B15" r:id="rId12" xr:uid="{00000000-0004-0000-0500-00000B000000}"/>
    <hyperlink ref="B16" r:id="rId13" xr:uid="{00000000-0004-0000-0500-00000C000000}"/>
    <hyperlink ref="B17" r:id="rId14" xr:uid="{00000000-0004-0000-0500-00000D000000}"/>
    <hyperlink ref="B18" r:id="rId15" xr:uid="{00000000-0004-0000-0500-00000E000000}"/>
    <hyperlink ref="B19" r:id="rId16" xr:uid="{00000000-0004-0000-0500-00000F000000}"/>
    <hyperlink ref="B20" r:id="rId17" xr:uid="{00000000-0004-0000-0500-000010000000}"/>
    <hyperlink ref="B21" r:id="rId18" xr:uid="{00000000-0004-0000-0500-000011000000}"/>
    <hyperlink ref="B22" r:id="rId19" xr:uid="{00000000-0004-0000-0500-000012000000}"/>
    <hyperlink ref="B23" r:id="rId20" xr:uid="{00000000-0004-0000-0500-000013000000}"/>
    <hyperlink ref="B24" r:id="rId21" xr:uid="{00000000-0004-0000-0500-000014000000}"/>
    <hyperlink ref="B25" r:id="rId22" xr:uid="{00000000-0004-0000-0500-000015000000}"/>
    <hyperlink ref="B26" r:id="rId23" xr:uid="{00000000-0004-0000-0500-000016000000}"/>
    <hyperlink ref="B27" r:id="rId24" xr:uid="{00000000-0004-0000-0500-000017000000}"/>
    <hyperlink ref="B28" r:id="rId25" xr:uid="{00000000-0004-0000-0500-000018000000}"/>
    <hyperlink ref="B29" r:id="rId26" xr:uid="{00000000-0004-0000-0500-000019000000}"/>
    <hyperlink ref="B30" r:id="rId27" xr:uid="{00000000-0004-0000-0500-00001A000000}"/>
    <hyperlink ref="B31" r:id="rId28" xr:uid="{00000000-0004-0000-0500-00001B000000}"/>
    <hyperlink ref="B32" r:id="rId29" xr:uid="{00000000-0004-0000-0500-00001C000000}"/>
    <hyperlink ref="B33" r:id="rId30" xr:uid="{00000000-0004-0000-0500-00001D000000}"/>
    <hyperlink ref="B34" r:id="rId31" xr:uid="{00000000-0004-0000-0500-00001E000000}"/>
    <hyperlink ref="B35" r:id="rId32" xr:uid="{00000000-0004-0000-0500-00001F000000}"/>
    <hyperlink ref="B36" r:id="rId33" xr:uid="{00000000-0004-0000-0500-000020000000}"/>
    <hyperlink ref="B37" r:id="rId34" xr:uid="{00000000-0004-0000-0500-000021000000}"/>
    <hyperlink ref="B38" r:id="rId35" xr:uid="{00000000-0004-0000-0500-000022000000}"/>
    <hyperlink ref="B39" r:id="rId36" xr:uid="{00000000-0004-0000-0500-000023000000}"/>
    <hyperlink ref="B40" r:id="rId37" xr:uid="{00000000-0004-0000-0500-000024000000}"/>
    <hyperlink ref="B41" r:id="rId38" xr:uid="{00000000-0004-0000-0500-000025000000}"/>
    <hyperlink ref="B42" r:id="rId39" xr:uid="{00000000-0004-0000-0500-000026000000}"/>
    <hyperlink ref="B43" r:id="rId40" xr:uid="{00000000-0004-0000-0500-000027000000}"/>
    <hyperlink ref="B44" r:id="rId41" xr:uid="{00000000-0004-0000-0500-000028000000}"/>
    <hyperlink ref="B45" r:id="rId42" xr:uid="{00000000-0004-0000-0500-000029000000}"/>
    <hyperlink ref="B46" r:id="rId43" xr:uid="{00000000-0004-0000-0500-00002A000000}"/>
    <hyperlink ref="B47" r:id="rId44" xr:uid="{00000000-0004-0000-0500-00002B000000}"/>
    <hyperlink ref="B48" r:id="rId45" xr:uid="{00000000-0004-0000-0500-00002C000000}"/>
    <hyperlink ref="B49" r:id="rId46" xr:uid="{00000000-0004-0000-0500-00002D000000}"/>
    <hyperlink ref="B50" r:id="rId47" xr:uid="{00000000-0004-0000-0500-00002E000000}"/>
    <hyperlink ref="B51" r:id="rId48" xr:uid="{00000000-0004-0000-0500-00002F000000}"/>
    <hyperlink ref="B52" r:id="rId49" xr:uid="{00000000-0004-0000-0500-000030000000}"/>
    <hyperlink ref="B53" r:id="rId50" xr:uid="{00000000-0004-0000-0500-000031000000}"/>
    <hyperlink ref="B54" r:id="rId51" xr:uid="{00000000-0004-0000-0500-000032000000}"/>
    <hyperlink ref="B55" r:id="rId52" xr:uid="{00000000-0004-0000-0500-000033000000}"/>
    <hyperlink ref="B56" r:id="rId53" xr:uid="{00000000-0004-0000-0500-000034000000}"/>
    <hyperlink ref="B57" r:id="rId54" xr:uid="{00000000-0004-0000-0500-000035000000}"/>
    <hyperlink ref="B58" r:id="rId55" xr:uid="{00000000-0004-0000-0500-000036000000}"/>
    <hyperlink ref="B59" r:id="rId56" xr:uid="{00000000-0004-0000-0500-000037000000}"/>
    <hyperlink ref="B60" r:id="rId57" xr:uid="{00000000-0004-0000-0500-000038000000}"/>
    <hyperlink ref="B61" r:id="rId58" xr:uid="{00000000-0004-0000-0500-000039000000}"/>
    <hyperlink ref="B62" r:id="rId59" xr:uid="{00000000-0004-0000-0500-00003A000000}"/>
    <hyperlink ref="B63" r:id="rId60" xr:uid="{00000000-0004-0000-0500-00003B000000}"/>
    <hyperlink ref="B64" r:id="rId61" xr:uid="{00000000-0004-0000-0500-00003C000000}"/>
    <hyperlink ref="B65" r:id="rId62" xr:uid="{00000000-0004-0000-0500-00003D000000}"/>
    <hyperlink ref="B66" r:id="rId63" xr:uid="{00000000-0004-0000-0500-00003E000000}"/>
    <hyperlink ref="B67" r:id="rId64" xr:uid="{00000000-0004-0000-0500-00003F000000}"/>
    <hyperlink ref="B68" r:id="rId65" xr:uid="{00000000-0004-0000-0500-000040000000}"/>
    <hyperlink ref="B69" r:id="rId66" xr:uid="{00000000-0004-0000-0500-000041000000}"/>
    <hyperlink ref="B70" r:id="rId67" xr:uid="{00000000-0004-0000-0500-000042000000}"/>
    <hyperlink ref="B71" r:id="rId68" xr:uid="{00000000-0004-0000-0500-00004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09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14" customWidth="1"/>
    <col min="3" max="3" width="13" customWidth="1"/>
    <col min="4" max="4" width="15" customWidth="1"/>
    <col min="5" max="5" width="23" customWidth="1"/>
    <col min="6" max="7" width="13" customWidth="1"/>
    <col min="8" max="9" width="12" customWidth="1"/>
  </cols>
  <sheetData>
    <row r="1" spans="1:9">
      <c r="A1" s="11" t="s">
        <v>165</v>
      </c>
      <c r="B1" s="11" t="s">
        <v>166</v>
      </c>
      <c r="C1" s="11" t="s">
        <v>1124</v>
      </c>
      <c r="D1" s="11" t="s">
        <v>1125</v>
      </c>
      <c r="E1" s="11" t="s">
        <v>1126</v>
      </c>
      <c r="F1" s="11" t="s">
        <v>1127</v>
      </c>
      <c r="G1" s="11" t="s">
        <v>1128</v>
      </c>
      <c r="H1" s="11" t="s">
        <v>1129</v>
      </c>
      <c r="I1" s="11" t="s">
        <v>1130</v>
      </c>
    </row>
    <row r="2" spans="1:9">
      <c r="A2" t="s">
        <v>1131</v>
      </c>
      <c r="B2" t="s">
        <v>1132</v>
      </c>
      <c r="C2" t="s">
        <v>1133</v>
      </c>
      <c r="D2" t="s">
        <v>1134</v>
      </c>
      <c r="E2" t="s">
        <v>1135</v>
      </c>
      <c r="G2" t="s">
        <v>1136</v>
      </c>
      <c r="H2">
        <v>2</v>
      </c>
    </row>
    <row r="3" spans="1:9">
      <c r="A3" t="s">
        <v>1131</v>
      </c>
      <c r="B3" t="s">
        <v>1132</v>
      </c>
      <c r="C3" t="s">
        <v>1133</v>
      </c>
      <c r="D3" t="s">
        <v>1137</v>
      </c>
      <c r="E3" t="s">
        <v>1135</v>
      </c>
      <c r="G3" t="s">
        <v>1136</v>
      </c>
      <c r="H3">
        <v>3</v>
      </c>
    </row>
    <row r="4" spans="1:9">
      <c r="A4" t="s">
        <v>1131</v>
      </c>
      <c r="B4" t="s">
        <v>1132</v>
      </c>
      <c r="C4" t="s">
        <v>1133</v>
      </c>
      <c r="D4" t="s">
        <v>1138</v>
      </c>
      <c r="E4" t="s">
        <v>1135</v>
      </c>
      <c r="G4" t="s">
        <v>1136</v>
      </c>
      <c r="H4">
        <v>4</v>
      </c>
    </row>
    <row r="5" spans="1:9">
      <c r="A5" t="s">
        <v>1131</v>
      </c>
      <c r="B5" t="s">
        <v>1132</v>
      </c>
      <c r="C5" t="s">
        <v>1133</v>
      </c>
      <c r="D5" t="s">
        <v>1139</v>
      </c>
      <c r="E5" t="s">
        <v>1135</v>
      </c>
      <c r="G5" t="s">
        <v>1136</v>
      </c>
      <c r="H5">
        <v>5</v>
      </c>
    </row>
    <row r="6" spans="1:9">
      <c r="A6" t="s">
        <v>1131</v>
      </c>
      <c r="B6" t="s">
        <v>1132</v>
      </c>
      <c r="C6" t="s">
        <v>1133</v>
      </c>
      <c r="D6" t="s">
        <v>1140</v>
      </c>
      <c r="E6" t="s">
        <v>1135</v>
      </c>
      <c r="G6" t="s">
        <v>1136</v>
      </c>
      <c r="H6">
        <v>6</v>
      </c>
    </row>
    <row r="7" spans="1:9">
      <c r="A7" t="s">
        <v>1131</v>
      </c>
      <c r="B7" t="s">
        <v>1132</v>
      </c>
      <c r="C7" t="s">
        <v>1133</v>
      </c>
      <c r="D7" t="s">
        <v>1141</v>
      </c>
      <c r="E7" t="s">
        <v>1135</v>
      </c>
      <c r="G7" t="s">
        <v>1136</v>
      </c>
      <c r="H7">
        <v>7</v>
      </c>
    </row>
    <row r="8" spans="1:9">
      <c r="A8" t="s">
        <v>1131</v>
      </c>
      <c r="B8" t="s">
        <v>1132</v>
      </c>
      <c r="C8" t="s">
        <v>1133</v>
      </c>
      <c r="D8" t="s">
        <v>1142</v>
      </c>
      <c r="E8" t="s">
        <v>1135</v>
      </c>
      <c r="G8" t="s">
        <v>1136</v>
      </c>
      <c r="H8">
        <v>8</v>
      </c>
    </row>
    <row r="9" spans="1:9">
      <c r="A9" t="s">
        <v>1131</v>
      </c>
      <c r="B9" t="s">
        <v>1132</v>
      </c>
      <c r="C9" t="s">
        <v>1143</v>
      </c>
      <c r="D9" t="s">
        <v>1144</v>
      </c>
      <c r="E9" t="s">
        <v>1145</v>
      </c>
      <c r="G9" t="s">
        <v>1136</v>
      </c>
      <c r="H9">
        <v>9</v>
      </c>
    </row>
    <row r="10" spans="1:9">
      <c r="A10" t="s">
        <v>1131</v>
      </c>
      <c r="B10" t="s">
        <v>1132</v>
      </c>
      <c r="C10" t="s">
        <v>1143</v>
      </c>
      <c r="D10" t="s">
        <v>1146</v>
      </c>
      <c r="E10" t="s">
        <v>1145</v>
      </c>
      <c r="G10" t="s">
        <v>1136</v>
      </c>
      <c r="H10">
        <v>10</v>
      </c>
    </row>
    <row r="11" spans="1:9">
      <c r="A11" t="s">
        <v>1131</v>
      </c>
      <c r="B11" t="s">
        <v>1132</v>
      </c>
      <c r="C11" t="s">
        <v>1143</v>
      </c>
      <c r="D11" t="s">
        <v>1147</v>
      </c>
      <c r="E11" t="s">
        <v>1145</v>
      </c>
      <c r="G11" t="s">
        <v>1136</v>
      </c>
      <c r="H11">
        <v>11</v>
      </c>
    </row>
    <row r="12" spans="1:9">
      <c r="A12" t="s">
        <v>1131</v>
      </c>
      <c r="B12" t="s">
        <v>1132</v>
      </c>
      <c r="C12" t="s">
        <v>1148</v>
      </c>
      <c r="D12" t="s">
        <v>1149</v>
      </c>
      <c r="E12" t="s">
        <v>1150</v>
      </c>
      <c r="G12" t="s">
        <v>1136</v>
      </c>
      <c r="H12">
        <v>12</v>
      </c>
    </row>
    <row r="13" spans="1:9">
      <c r="A13" t="s">
        <v>1131</v>
      </c>
      <c r="B13" t="s">
        <v>1132</v>
      </c>
      <c r="C13" t="s">
        <v>1143</v>
      </c>
      <c r="D13" t="s">
        <v>1146</v>
      </c>
      <c r="E13" t="s">
        <v>1145</v>
      </c>
      <c r="G13" t="s">
        <v>1136</v>
      </c>
      <c r="H13">
        <v>13</v>
      </c>
    </row>
    <row r="14" spans="1:9">
      <c r="A14" t="s">
        <v>1131</v>
      </c>
      <c r="B14" t="s">
        <v>1132</v>
      </c>
      <c r="C14" t="s">
        <v>1133</v>
      </c>
      <c r="D14" t="s">
        <v>1151</v>
      </c>
      <c r="E14" t="s">
        <v>1152</v>
      </c>
      <c r="G14" t="s">
        <v>1136</v>
      </c>
      <c r="H14">
        <v>14</v>
      </c>
    </row>
    <row r="15" spans="1:9">
      <c r="A15" t="s">
        <v>1131</v>
      </c>
      <c r="B15" t="s">
        <v>1132</v>
      </c>
      <c r="C15" t="s">
        <v>1133</v>
      </c>
      <c r="D15" t="s">
        <v>1153</v>
      </c>
      <c r="E15" t="s">
        <v>1152</v>
      </c>
      <c r="G15" t="s">
        <v>1136</v>
      </c>
      <c r="H15">
        <v>15</v>
      </c>
    </row>
    <row r="16" spans="1:9">
      <c r="A16" t="s">
        <v>1131</v>
      </c>
      <c r="B16" t="s">
        <v>1132</v>
      </c>
      <c r="C16" t="s">
        <v>1143</v>
      </c>
      <c r="D16" t="s">
        <v>1154</v>
      </c>
      <c r="E16" t="s">
        <v>1155</v>
      </c>
      <c r="G16" t="s">
        <v>1136</v>
      </c>
      <c r="H16">
        <v>16</v>
      </c>
    </row>
    <row r="17" spans="1:8">
      <c r="A17" t="s">
        <v>1131</v>
      </c>
      <c r="B17" t="s">
        <v>1132</v>
      </c>
      <c r="C17" t="s">
        <v>1143</v>
      </c>
      <c r="D17" t="s">
        <v>1151</v>
      </c>
      <c r="E17" t="s">
        <v>1155</v>
      </c>
      <c r="G17" t="s">
        <v>1136</v>
      </c>
      <c r="H17">
        <v>17</v>
      </c>
    </row>
    <row r="18" spans="1:8">
      <c r="A18" t="s">
        <v>1131</v>
      </c>
      <c r="B18" t="s">
        <v>1132</v>
      </c>
      <c r="C18" t="s">
        <v>1143</v>
      </c>
      <c r="D18" t="s">
        <v>1153</v>
      </c>
      <c r="E18" t="s">
        <v>1155</v>
      </c>
      <c r="G18" t="s">
        <v>1136</v>
      </c>
      <c r="H18">
        <v>18</v>
      </c>
    </row>
    <row r="19" spans="1:8">
      <c r="A19" t="s">
        <v>1131</v>
      </c>
      <c r="B19" t="s">
        <v>1132</v>
      </c>
      <c r="C19" t="s">
        <v>1143</v>
      </c>
      <c r="D19" t="s">
        <v>1156</v>
      </c>
      <c r="E19" t="s">
        <v>1155</v>
      </c>
      <c r="G19" t="s">
        <v>1136</v>
      </c>
      <c r="H19">
        <v>19</v>
      </c>
    </row>
    <row r="20" spans="1:8">
      <c r="A20" t="s">
        <v>1131</v>
      </c>
      <c r="B20" t="s">
        <v>1132</v>
      </c>
      <c r="C20" t="s">
        <v>1143</v>
      </c>
      <c r="D20" t="s">
        <v>1146</v>
      </c>
      <c r="E20" t="s">
        <v>1155</v>
      </c>
      <c r="G20" t="s">
        <v>1136</v>
      </c>
      <c r="H20">
        <v>20</v>
      </c>
    </row>
    <row r="21" spans="1:8">
      <c r="A21" t="s">
        <v>1131</v>
      </c>
      <c r="B21" t="s">
        <v>1132</v>
      </c>
      <c r="C21" t="s">
        <v>1143</v>
      </c>
      <c r="D21" t="s">
        <v>1146</v>
      </c>
      <c r="E21" t="s">
        <v>1155</v>
      </c>
      <c r="G21" t="s">
        <v>1136</v>
      </c>
      <c r="H21">
        <v>21</v>
      </c>
    </row>
    <row r="22" spans="1:8">
      <c r="A22" t="s">
        <v>1131</v>
      </c>
      <c r="B22" t="s">
        <v>1132</v>
      </c>
      <c r="C22" t="s">
        <v>1143</v>
      </c>
      <c r="D22" t="s">
        <v>1146</v>
      </c>
      <c r="E22" t="s">
        <v>1155</v>
      </c>
      <c r="G22" t="s">
        <v>1136</v>
      </c>
      <c r="H22">
        <v>22</v>
      </c>
    </row>
    <row r="23" spans="1:8">
      <c r="A23" t="s">
        <v>1131</v>
      </c>
      <c r="B23" t="s">
        <v>1132</v>
      </c>
      <c r="C23" t="s">
        <v>1143</v>
      </c>
      <c r="D23" t="s">
        <v>1157</v>
      </c>
      <c r="E23" t="s">
        <v>1145</v>
      </c>
      <c r="G23" t="s">
        <v>1136</v>
      </c>
      <c r="H23">
        <v>23</v>
      </c>
    </row>
    <row r="24" spans="1:8">
      <c r="A24" t="s">
        <v>1131</v>
      </c>
      <c r="B24" t="s">
        <v>1132</v>
      </c>
      <c r="C24" t="s">
        <v>1148</v>
      </c>
      <c r="D24" t="s">
        <v>1158</v>
      </c>
      <c r="E24" t="s">
        <v>1150</v>
      </c>
      <c r="G24" t="s">
        <v>1136</v>
      </c>
      <c r="H24">
        <v>24</v>
      </c>
    </row>
    <row r="25" spans="1:8">
      <c r="A25" t="s">
        <v>1131</v>
      </c>
      <c r="B25" t="s">
        <v>1132</v>
      </c>
      <c r="C25" t="s">
        <v>1133</v>
      </c>
      <c r="D25" t="s">
        <v>1146</v>
      </c>
      <c r="E25" t="s">
        <v>1152</v>
      </c>
      <c r="G25" t="s">
        <v>1136</v>
      </c>
      <c r="H25">
        <v>25</v>
      </c>
    </row>
    <row r="26" spans="1:8">
      <c r="A26" t="s">
        <v>1131</v>
      </c>
      <c r="B26" t="s">
        <v>1132</v>
      </c>
      <c r="C26" t="s">
        <v>1148</v>
      </c>
      <c r="D26" t="s">
        <v>1159</v>
      </c>
      <c r="E26" t="s">
        <v>1150</v>
      </c>
      <c r="G26" t="s">
        <v>1136</v>
      </c>
      <c r="H26">
        <v>26</v>
      </c>
    </row>
    <row r="27" spans="1:8">
      <c r="A27" t="s">
        <v>1131</v>
      </c>
      <c r="B27" t="s">
        <v>1132</v>
      </c>
      <c r="C27" t="s">
        <v>1143</v>
      </c>
      <c r="D27" t="s">
        <v>1160</v>
      </c>
      <c r="E27" t="s">
        <v>1145</v>
      </c>
      <c r="G27" t="s">
        <v>1136</v>
      </c>
      <c r="H27">
        <v>27</v>
      </c>
    </row>
    <row r="28" spans="1:8">
      <c r="A28" t="s">
        <v>1131</v>
      </c>
      <c r="B28" t="s">
        <v>1132</v>
      </c>
      <c r="C28" t="s">
        <v>1148</v>
      </c>
      <c r="D28" t="s">
        <v>1161</v>
      </c>
      <c r="E28" t="s">
        <v>1150</v>
      </c>
      <c r="G28" t="s">
        <v>1136</v>
      </c>
      <c r="H28">
        <v>28</v>
      </c>
    </row>
    <row r="29" spans="1:8">
      <c r="A29" t="s">
        <v>1131</v>
      </c>
      <c r="B29" t="s">
        <v>1132</v>
      </c>
      <c r="C29" t="s">
        <v>1148</v>
      </c>
      <c r="D29" t="s">
        <v>1146</v>
      </c>
      <c r="E29" t="s">
        <v>1150</v>
      </c>
      <c r="G29" t="s">
        <v>1136</v>
      </c>
      <c r="H29">
        <v>29</v>
      </c>
    </row>
    <row r="30" spans="1:8">
      <c r="A30" t="s">
        <v>1131</v>
      </c>
      <c r="B30" t="s">
        <v>1132</v>
      </c>
      <c r="C30" t="s">
        <v>1133</v>
      </c>
      <c r="D30" t="s">
        <v>1146</v>
      </c>
      <c r="E30" t="s">
        <v>1152</v>
      </c>
      <c r="G30" t="s">
        <v>1136</v>
      </c>
      <c r="H30">
        <v>30</v>
      </c>
    </row>
    <row r="31" spans="1:8">
      <c r="A31" t="s">
        <v>1131</v>
      </c>
      <c r="B31" t="s">
        <v>1132</v>
      </c>
      <c r="C31" t="s">
        <v>1143</v>
      </c>
      <c r="D31" t="s">
        <v>1146</v>
      </c>
      <c r="E31" t="s">
        <v>1145</v>
      </c>
      <c r="G31" t="s">
        <v>1136</v>
      </c>
      <c r="H31">
        <v>31</v>
      </c>
    </row>
    <row r="32" spans="1:8">
      <c r="A32" t="s">
        <v>1131</v>
      </c>
      <c r="B32" t="s">
        <v>1132</v>
      </c>
      <c r="C32" t="s">
        <v>1143</v>
      </c>
      <c r="D32" t="s">
        <v>1146</v>
      </c>
      <c r="E32" t="s">
        <v>1145</v>
      </c>
      <c r="G32" t="s">
        <v>1136</v>
      </c>
      <c r="H32">
        <v>32</v>
      </c>
    </row>
    <row r="33" spans="1:8">
      <c r="A33" t="s">
        <v>1131</v>
      </c>
      <c r="B33" t="s">
        <v>1132</v>
      </c>
      <c r="C33" t="s">
        <v>1148</v>
      </c>
      <c r="D33" t="s">
        <v>1162</v>
      </c>
      <c r="E33" t="s">
        <v>1150</v>
      </c>
      <c r="G33" t="s">
        <v>1136</v>
      </c>
      <c r="H33">
        <v>33</v>
      </c>
    </row>
    <row r="34" spans="1:8">
      <c r="A34" t="s">
        <v>1131</v>
      </c>
      <c r="B34" t="s">
        <v>1132</v>
      </c>
      <c r="C34" t="s">
        <v>1143</v>
      </c>
      <c r="D34" t="s">
        <v>1163</v>
      </c>
      <c r="E34" t="s">
        <v>1145</v>
      </c>
      <c r="G34" t="s">
        <v>1136</v>
      </c>
      <c r="H34">
        <v>34</v>
      </c>
    </row>
    <row r="35" spans="1:8">
      <c r="A35" t="s">
        <v>1131</v>
      </c>
      <c r="B35" t="s">
        <v>1132</v>
      </c>
      <c r="C35" t="s">
        <v>1143</v>
      </c>
      <c r="D35" t="s">
        <v>1146</v>
      </c>
      <c r="E35" t="s">
        <v>1145</v>
      </c>
      <c r="G35" t="s">
        <v>1136</v>
      </c>
      <c r="H35">
        <v>35</v>
      </c>
    </row>
    <row r="36" spans="1:8">
      <c r="A36" t="s">
        <v>1131</v>
      </c>
      <c r="B36" t="s">
        <v>1132</v>
      </c>
      <c r="C36" t="s">
        <v>1133</v>
      </c>
      <c r="D36" t="s">
        <v>1164</v>
      </c>
      <c r="E36" t="s">
        <v>1152</v>
      </c>
      <c r="G36" t="s">
        <v>1136</v>
      </c>
      <c r="H36">
        <v>36</v>
      </c>
    </row>
    <row r="37" spans="1:8">
      <c r="A37" t="s">
        <v>1131</v>
      </c>
      <c r="B37" t="s">
        <v>1132</v>
      </c>
      <c r="C37" t="s">
        <v>1143</v>
      </c>
      <c r="D37" t="s">
        <v>1165</v>
      </c>
      <c r="E37" t="s">
        <v>1145</v>
      </c>
      <c r="G37" t="s">
        <v>1136</v>
      </c>
      <c r="H37">
        <v>37</v>
      </c>
    </row>
    <row r="38" spans="1:8">
      <c r="A38" t="s">
        <v>1131</v>
      </c>
      <c r="B38" t="s">
        <v>1132</v>
      </c>
      <c r="C38" t="s">
        <v>1148</v>
      </c>
      <c r="D38" t="s">
        <v>1166</v>
      </c>
      <c r="E38" t="s">
        <v>1150</v>
      </c>
      <c r="G38" t="s">
        <v>1136</v>
      </c>
      <c r="H38">
        <v>38</v>
      </c>
    </row>
    <row r="39" spans="1:8">
      <c r="A39" t="s">
        <v>1131</v>
      </c>
      <c r="B39" t="s">
        <v>1132</v>
      </c>
      <c r="C39" t="s">
        <v>1167</v>
      </c>
      <c r="D39" t="s">
        <v>1168</v>
      </c>
      <c r="E39" t="s">
        <v>1169</v>
      </c>
      <c r="G39" t="s">
        <v>1136</v>
      </c>
      <c r="H39">
        <v>39</v>
      </c>
    </row>
    <row r="40" spans="1:8">
      <c r="A40" t="s">
        <v>1131</v>
      </c>
      <c r="B40" t="s">
        <v>1132</v>
      </c>
      <c r="C40" t="s">
        <v>1133</v>
      </c>
      <c r="D40" t="s">
        <v>1146</v>
      </c>
      <c r="E40" t="s">
        <v>1152</v>
      </c>
      <c r="G40" t="s">
        <v>1136</v>
      </c>
      <c r="H40">
        <v>40</v>
      </c>
    </row>
    <row r="41" spans="1:8">
      <c r="A41" t="s">
        <v>1131</v>
      </c>
      <c r="B41" t="s">
        <v>1132</v>
      </c>
      <c r="C41" t="s">
        <v>1148</v>
      </c>
      <c r="D41" t="s">
        <v>1146</v>
      </c>
      <c r="E41" t="s">
        <v>1150</v>
      </c>
      <c r="G41" t="s">
        <v>1136</v>
      </c>
      <c r="H41">
        <v>41</v>
      </c>
    </row>
    <row r="42" spans="1:8">
      <c r="A42" t="s">
        <v>1131</v>
      </c>
      <c r="B42" t="s">
        <v>1132</v>
      </c>
      <c r="C42" t="s">
        <v>1133</v>
      </c>
      <c r="D42" t="s">
        <v>1170</v>
      </c>
      <c r="E42" t="s">
        <v>1152</v>
      </c>
      <c r="G42" t="s">
        <v>1136</v>
      </c>
      <c r="H42">
        <v>42</v>
      </c>
    </row>
    <row r="43" spans="1:8">
      <c r="A43" t="s">
        <v>1131</v>
      </c>
      <c r="B43" t="s">
        <v>1132</v>
      </c>
      <c r="C43" t="s">
        <v>1143</v>
      </c>
      <c r="D43" t="s">
        <v>1146</v>
      </c>
      <c r="E43" t="s">
        <v>1145</v>
      </c>
      <c r="G43" t="s">
        <v>1136</v>
      </c>
      <c r="H43">
        <v>43</v>
      </c>
    </row>
    <row r="44" spans="1:8">
      <c r="A44" t="s">
        <v>1131</v>
      </c>
      <c r="B44" t="s">
        <v>1132</v>
      </c>
      <c r="C44" t="s">
        <v>1133</v>
      </c>
      <c r="D44" t="s">
        <v>1146</v>
      </c>
      <c r="E44" t="s">
        <v>1152</v>
      </c>
      <c r="G44" t="s">
        <v>1136</v>
      </c>
      <c r="H44">
        <v>44</v>
      </c>
    </row>
    <row r="45" spans="1:8">
      <c r="A45" t="s">
        <v>1131</v>
      </c>
      <c r="B45" t="s">
        <v>1132</v>
      </c>
      <c r="C45" t="s">
        <v>1133</v>
      </c>
      <c r="D45" t="s">
        <v>1146</v>
      </c>
      <c r="E45" t="s">
        <v>1152</v>
      </c>
      <c r="G45" t="s">
        <v>1136</v>
      </c>
      <c r="H45">
        <v>45</v>
      </c>
    </row>
    <row r="46" spans="1:8">
      <c r="A46" t="s">
        <v>1131</v>
      </c>
      <c r="B46" t="s">
        <v>1132</v>
      </c>
      <c r="C46" t="s">
        <v>1148</v>
      </c>
      <c r="D46" t="s">
        <v>1151</v>
      </c>
      <c r="E46" t="s">
        <v>1150</v>
      </c>
      <c r="G46" t="s">
        <v>1136</v>
      </c>
      <c r="H46">
        <v>46</v>
      </c>
    </row>
    <row r="47" spans="1:8">
      <c r="A47" t="s">
        <v>1131</v>
      </c>
      <c r="B47" t="s">
        <v>1132</v>
      </c>
      <c r="C47" t="s">
        <v>1143</v>
      </c>
      <c r="D47" t="s">
        <v>1171</v>
      </c>
      <c r="E47" t="s">
        <v>1145</v>
      </c>
      <c r="G47" t="s">
        <v>1136</v>
      </c>
      <c r="H47">
        <v>47</v>
      </c>
    </row>
    <row r="48" spans="1:8">
      <c r="A48" t="s">
        <v>1131</v>
      </c>
      <c r="B48" t="s">
        <v>1132</v>
      </c>
      <c r="C48" t="s">
        <v>1143</v>
      </c>
      <c r="D48" t="s">
        <v>1146</v>
      </c>
      <c r="E48" t="s">
        <v>1145</v>
      </c>
      <c r="G48" t="s">
        <v>1136</v>
      </c>
      <c r="H48">
        <v>48</v>
      </c>
    </row>
    <row r="49" spans="1:8">
      <c r="A49" t="s">
        <v>1131</v>
      </c>
      <c r="B49" t="s">
        <v>1132</v>
      </c>
      <c r="C49" t="s">
        <v>1148</v>
      </c>
      <c r="D49" t="s">
        <v>1172</v>
      </c>
      <c r="E49" t="s">
        <v>1150</v>
      </c>
      <c r="G49" t="s">
        <v>1136</v>
      </c>
      <c r="H49">
        <v>49</v>
      </c>
    </row>
    <row r="50" spans="1:8">
      <c r="A50" t="s">
        <v>1131</v>
      </c>
      <c r="B50" t="s">
        <v>1132</v>
      </c>
      <c r="C50" t="s">
        <v>1143</v>
      </c>
      <c r="D50" t="s">
        <v>1151</v>
      </c>
      <c r="E50" t="s">
        <v>1145</v>
      </c>
      <c r="G50" t="s">
        <v>1136</v>
      </c>
      <c r="H50">
        <v>50</v>
      </c>
    </row>
    <row r="51" spans="1:8">
      <c r="A51" t="s">
        <v>1131</v>
      </c>
      <c r="B51" t="s">
        <v>1132</v>
      </c>
      <c r="C51" t="s">
        <v>1143</v>
      </c>
      <c r="D51" t="s">
        <v>1173</v>
      </c>
      <c r="E51" t="s">
        <v>1145</v>
      </c>
      <c r="G51" t="s">
        <v>1136</v>
      </c>
      <c r="H51">
        <v>51</v>
      </c>
    </row>
    <row r="52" spans="1:8">
      <c r="A52" t="s">
        <v>1131</v>
      </c>
      <c r="B52" t="s">
        <v>1132</v>
      </c>
      <c r="C52" t="s">
        <v>1143</v>
      </c>
      <c r="D52" t="s">
        <v>1153</v>
      </c>
      <c r="E52" t="s">
        <v>1145</v>
      </c>
      <c r="G52" t="s">
        <v>1136</v>
      </c>
      <c r="H52">
        <v>52</v>
      </c>
    </row>
    <row r="53" spans="1:8">
      <c r="A53" t="s">
        <v>1131</v>
      </c>
      <c r="B53" t="s">
        <v>1132</v>
      </c>
      <c r="C53" t="s">
        <v>1148</v>
      </c>
      <c r="D53" t="s">
        <v>1146</v>
      </c>
      <c r="E53" t="s">
        <v>1150</v>
      </c>
      <c r="G53" t="s">
        <v>1136</v>
      </c>
      <c r="H53">
        <v>53</v>
      </c>
    </row>
    <row r="54" spans="1:8">
      <c r="A54" t="s">
        <v>1131</v>
      </c>
      <c r="B54" t="s">
        <v>1132</v>
      </c>
      <c r="C54" t="s">
        <v>1133</v>
      </c>
      <c r="D54" t="s">
        <v>1174</v>
      </c>
      <c r="E54" t="s">
        <v>1152</v>
      </c>
      <c r="G54" t="s">
        <v>1136</v>
      </c>
      <c r="H54">
        <v>54</v>
      </c>
    </row>
    <row r="55" spans="1:8">
      <c r="A55" t="s">
        <v>1131</v>
      </c>
      <c r="B55" t="s">
        <v>1132</v>
      </c>
      <c r="C55" t="s">
        <v>1133</v>
      </c>
      <c r="D55" t="s">
        <v>1146</v>
      </c>
      <c r="E55" t="s">
        <v>1152</v>
      </c>
      <c r="G55" t="s">
        <v>1136</v>
      </c>
      <c r="H55">
        <v>55</v>
      </c>
    </row>
    <row r="56" spans="1:8">
      <c r="A56" t="s">
        <v>1131</v>
      </c>
      <c r="B56" t="s">
        <v>1132</v>
      </c>
      <c r="C56" t="s">
        <v>1133</v>
      </c>
      <c r="D56" t="s">
        <v>1175</v>
      </c>
      <c r="E56" t="s">
        <v>1152</v>
      </c>
      <c r="G56" t="s">
        <v>1136</v>
      </c>
      <c r="H56">
        <v>56</v>
      </c>
    </row>
    <row r="57" spans="1:8">
      <c r="A57" t="s">
        <v>1131</v>
      </c>
      <c r="B57" t="s">
        <v>1132</v>
      </c>
      <c r="C57" t="s">
        <v>1133</v>
      </c>
      <c r="D57" t="s">
        <v>1176</v>
      </c>
      <c r="E57" t="s">
        <v>1152</v>
      </c>
      <c r="G57" t="s">
        <v>1136</v>
      </c>
      <c r="H57">
        <v>57</v>
      </c>
    </row>
    <row r="58" spans="1:8">
      <c r="A58" t="s">
        <v>1131</v>
      </c>
      <c r="B58" t="s">
        <v>1132</v>
      </c>
      <c r="C58" t="s">
        <v>1148</v>
      </c>
      <c r="D58" t="s">
        <v>1177</v>
      </c>
      <c r="E58" t="s">
        <v>1150</v>
      </c>
      <c r="G58" t="s">
        <v>1136</v>
      </c>
      <c r="H58">
        <v>58</v>
      </c>
    </row>
    <row r="59" spans="1:8">
      <c r="A59" t="s">
        <v>1131</v>
      </c>
      <c r="B59" t="s">
        <v>1132</v>
      </c>
      <c r="C59" t="s">
        <v>1133</v>
      </c>
      <c r="D59" t="s">
        <v>1146</v>
      </c>
      <c r="E59" t="s">
        <v>1152</v>
      </c>
      <c r="G59" t="s">
        <v>1136</v>
      </c>
      <c r="H59">
        <v>59</v>
      </c>
    </row>
    <row r="60" spans="1:8">
      <c r="A60" t="s">
        <v>1131</v>
      </c>
      <c r="B60" t="s">
        <v>1132</v>
      </c>
      <c r="C60" t="s">
        <v>1143</v>
      </c>
      <c r="D60" t="s">
        <v>1146</v>
      </c>
      <c r="E60" t="s">
        <v>1145</v>
      </c>
      <c r="G60" t="s">
        <v>1136</v>
      </c>
      <c r="H60">
        <v>60</v>
      </c>
    </row>
    <row r="61" spans="1:8">
      <c r="A61" t="s">
        <v>1131</v>
      </c>
      <c r="B61" t="s">
        <v>1132</v>
      </c>
      <c r="C61" t="s">
        <v>1148</v>
      </c>
      <c r="D61" t="s">
        <v>1178</v>
      </c>
      <c r="E61" t="s">
        <v>1150</v>
      </c>
      <c r="G61" t="s">
        <v>1136</v>
      </c>
      <c r="H61">
        <v>61</v>
      </c>
    </row>
    <row r="62" spans="1:8">
      <c r="A62" t="s">
        <v>1131</v>
      </c>
      <c r="B62" t="s">
        <v>1132</v>
      </c>
      <c r="C62" t="s">
        <v>1143</v>
      </c>
      <c r="D62" t="s">
        <v>1146</v>
      </c>
      <c r="E62" t="s">
        <v>1145</v>
      </c>
      <c r="G62" t="s">
        <v>1136</v>
      </c>
      <c r="H62">
        <v>62</v>
      </c>
    </row>
    <row r="63" spans="1:8">
      <c r="A63" t="s">
        <v>1131</v>
      </c>
      <c r="B63" t="s">
        <v>1132</v>
      </c>
      <c r="C63" t="s">
        <v>1148</v>
      </c>
      <c r="D63" t="s">
        <v>1179</v>
      </c>
      <c r="E63" t="s">
        <v>1150</v>
      </c>
      <c r="G63" t="s">
        <v>1136</v>
      </c>
      <c r="H63">
        <v>63</v>
      </c>
    </row>
    <row r="64" spans="1:8">
      <c r="A64" t="s">
        <v>1131</v>
      </c>
      <c r="B64" t="s">
        <v>1132</v>
      </c>
      <c r="C64" t="s">
        <v>1143</v>
      </c>
      <c r="D64" t="s">
        <v>1146</v>
      </c>
      <c r="E64" t="s">
        <v>1145</v>
      </c>
      <c r="G64" t="s">
        <v>1136</v>
      </c>
      <c r="H64">
        <v>64</v>
      </c>
    </row>
    <row r="65" spans="1:8">
      <c r="A65" t="s">
        <v>1131</v>
      </c>
      <c r="B65" t="s">
        <v>1132</v>
      </c>
      <c r="C65" t="s">
        <v>1148</v>
      </c>
      <c r="D65" t="s">
        <v>1180</v>
      </c>
      <c r="E65" t="s">
        <v>1150</v>
      </c>
      <c r="G65" t="s">
        <v>1136</v>
      </c>
      <c r="H65">
        <v>65</v>
      </c>
    </row>
    <row r="66" spans="1:8">
      <c r="A66" t="s">
        <v>1131</v>
      </c>
      <c r="B66" t="s">
        <v>1132</v>
      </c>
      <c r="C66" t="s">
        <v>1143</v>
      </c>
      <c r="D66" t="s">
        <v>1146</v>
      </c>
      <c r="E66" t="s">
        <v>1145</v>
      </c>
      <c r="G66" t="s">
        <v>1136</v>
      </c>
      <c r="H66">
        <v>66</v>
      </c>
    </row>
    <row r="67" spans="1:8">
      <c r="A67" t="s">
        <v>1131</v>
      </c>
      <c r="B67" t="s">
        <v>1132</v>
      </c>
      <c r="C67" t="s">
        <v>1133</v>
      </c>
      <c r="D67" t="s">
        <v>1146</v>
      </c>
      <c r="E67" t="s">
        <v>1152</v>
      </c>
      <c r="G67" t="s">
        <v>1136</v>
      </c>
      <c r="H67">
        <v>67</v>
      </c>
    </row>
    <row r="68" spans="1:8">
      <c r="A68" t="s">
        <v>1131</v>
      </c>
      <c r="B68" t="s">
        <v>1132</v>
      </c>
      <c r="C68" t="s">
        <v>1148</v>
      </c>
      <c r="D68" t="s">
        <v>1180</v>
      </c>
      <c r="E68" t="s">
        <v>1150</v>
      </c>
      <c r="G68" t="s">
        <v>1136</v>
      </c>
      <c r="H68">
        <v>68</v>
      </c>
    </row>
    <row r="69" spans="1:8">
      <c r="A69" t="s">
        <v>1131</v>
      </c>
      <c r="B69" t="s">
        <v>1132</v>
      </c>
      <c r="C69" t="s">
        <v>1148</v>
      </c>
      <c r="D69" t="s">
        <v>1181</v>
      </c>
      <c r="E69" t="s">
        <v>1150</v>
      </c>
      <c r="G69" t="s">
        <v>1136</v>
      </c>
      <c r="H69">
        <v>69</v>
      </c>
    </row>
    <row r="70" spans="1:8">
      <c r="A70" t="s">
        <v>1131</v>
      </c>
      <c r="B70" t="s">
        <v>1132</v>
      </c>
      <c r="C70" t="s">
        <v>1148</v>
      </c>
      <c r="D70" t="s">
        <v>1146</v>
      </c>
      <c r="E70" t="s">
        <v>1150</v>
      </c>
      <c r="G70" t="s">
        <v>1136</v>
      </c>
      <c r="H70">
        <v>70</v>
      </c>
    </row>
    <row r="71" spans="1:8">
      <c r="A71" t="s">
        <v>1131</v>
      </c>
      <c r="B71" t="s">
        <v>1132</v>
      </c>
      <c r="C71" t="s">
        <v>1148</v>
      </c>
      <c r="D71" t="s">
        <v>1182</v>
      </c>
      <c r="E71" t="s">
        <v>1150</v>
      </c>
      <c r="G71" t="s">
        <v>1136</v>
      </c>
      <c r="H71">
        <v>71</v>
      </c>
    </row>
    <row r="72" spans="1:8">
      <c r="A72" t="s">
        <v>1131</v>
      </c>
      <c r="B72" t="s">
        <v>1132</v>
      </c>
      <c r="C72" t="s">
        <v>1148</v>
      </c>
      <c r="D72" t="s">
        <v>1183</v>
      </c>
      <c r="E72" t="s">
        <v>1150</v>
      </c>
      <c r="G72" t="s">
        <v>1136</v>
      </c>
      <c r="H72">
        <v>72</v>
      </c>
    </row>
    <row r="73" spans="1:8">
      <c r="A73" t="s">
        <v>1131</v>
      </c>
      <c r="B73" t="s">
        <v>1132</v>
      </c>
      <c r="C73" t="s">
        <v>1148</v>
      </c>
      <c r="D73" t="s">
        <v>1146</v>
      </c>
      <c r="E73" t="s">
        <v>1150</v>
      </c>
      <c r="G73" t="s">
        <v>1136</v>
      </c>
      <c r="H73">
        <v>73</v>
      </c>
    </row>
    <row r="74" spans="1:8">
      <c r="A74" t="s">
        <v>1131</v>
      </c>
      <c r="B74" t="s">
        <v>1132</v>
      </c>
      <c r="C74" t="s">
        <v>1133</v>
      </c>
      <c r="D74" t="s">
        <v>1146</v>
      </c>
      <c r="E74" t="s">
        <v>1152</v>
      </c>
      <c r="G74" t="s">
        <v>1136</v>
      </c>
      <c r="H74">
        <v>74</v>
      </c>
    </row>
    <row r="75" spans="1:8">
      <c r="A75" t="s">
        <v>1131</v>
      </c>
      <c r="B75" t="s">
        <v>1132</v>
      </c>
      <c r="C75" t="s">
        <v>1133</v>
      </c>
      <c r="D75" t="s">
        <v>1146</v>
      </c>
      <c r="E75" t="s">
        <v>1152</v>
      </c>
      <c r="G75" t="s">
        <v>1136</v>
      </c>
      <c r="H75">
        <v>75</v>
      </c>
    </row>
    <row r="76" spans="1:8">
      <c r="A76" t="s">
        <v>1131</v>
      </c>
      <c r="B76" t="s">
        <v>1132</v>
      </c>
      <c r="C76" t="s">
        <v>1133</v>
      </c>
      <c r="D76" t="s">
        <v>1170</v>
      </c>
      <c r="E76" t="s">
        <v>1152</v>
      </c>
      <c r="G76" t="s">
        <v>1136</v>
      </c>
      <c r="H76">
        <v>76</v>
      </c>
    </row>
    <row r="77" spans="1:8">
      <c r="A77" t="s">
        <v>1131</v>
      </c>
      <c r="B77" t="s">
        <v>1132</v>
      </c>
      <c r="C77" t="s">
        <v>1143</v>
      </c>
      <c r="D77" t="s">
        <v>1184</v>
      </c>
      <c r="E77" t="s">
        <v>1145</v>
      </c>
      <c r="G77" t="s">
        <v>1136</v>
      </c>
      <c r="H77">
        <v>77</v>
      </c>
    </row>
    <row r="78" spans="1:8">
      <c r="A78" t="s">
        <v>1131</v>
      </c>
      <c r="B78" t="s">
        <v>1132</v>
      </c>
      <c r="C78" t="s">
        <v>1133</v>
      </c>
      <c r="D78" t="s">
        <v>1185</v>
      </c>
      <c r="E78" t="s">
        <v>1186</v>
      </c>
      <c r="G78" t="s">
        <v>1136</v>
      </c>
      <c r="H78">
        <v>78</v>
      </c>
    </row>
    <row r="79" spans="1:8">
      <c r="A79" t="s">
        <v>1131</v>
      </c>
      <c r="B79" t="s">
        <v>1132</v>
      </c>
      <c r="C79" t="s">
        <v>1133</v>
      </c>
      <c r="D79" t="s">
        <v>1185</v>
      </c>
      <c r="E79" t="s">
        <v>1186</v>
      </c>
      <c r="G79" t="s">
        <v>1136</v>
      </c>
      <c r="H79">
        <v>79</v>
      </c>
    </row>
    <row r="80" spans="1:8">
      <c r="A80" t="s">
        <v>1131</v>
      </c>
      <c r="B80" t="s">
        <v>1132</v>
      </c>
      <c r="C80" t="s">
        <v>1133</v>
      </c>
      <c r="D80" t="s">
        <v>1185</v>
      </c>
      <c r="E80" t="s">
        <v>1186</v>
      </c>
      <c r="G80" t="s">
        <v>1136</v>
      </c>
      <c r="H80">
        <v>80</v>
      </c>
    </row>
    <row r="81" spans="1:8">
      <c r="A81" t="s">
        <v>1131</v>
      </c>
      <c r="B81" t="s">
        <v>1132</v>
      </c>
      <c r="C81" t="s">
        <v>1133</v>
      </c>
      <c r="D81" t="s">
        <v>1185</v>
      </c>
      <c r="E81" t="s">
        <v>1186</v>
      </c>
      <c r="G81" t="s">
        <v>1136</v>
      </c>
      <c r="H81">
        <v>81</v>
      </c>
    </row>
    <row r="82" spans="1:8">
      <c r="A82" t="s">
        <v>1131</v>
      </c>
      <c r="B82" t="s">
        <v>1132</v>
      </c>
      <c r="C82" t="s">
        <v>1133</v>
      </c>
      <c r="D82" t="s">
        <v>1185</v>
      </c>
      <c r="E82" t="s">
        <v>1186</v>
      </c>
      <c r="G82" t="s">
        <v>1136</v>
      </c>
      <c r="H82">
        <v>82</v>
      </c>
    </row>
    <row r="83" spans="1:8">
      <c r="A83" t="s">
        <v>1131</v>
      </c>
      <c r="B83" t="s">
        <v>1132</v>
      </c>
      <c r="C83" t="s">
        <v>1133</v>
      </c>
      <c r="D83" t="s">
        <v>1185</v>
      </c>
      <c r="E83" t="s">
        <v>1186</v>
      </c>
      <c r="G83" t="s">
        <v>1136</v>
      </c>
      <c r="H83">
        <v>83</v>
      </c>
    </row>
    <row r="84" spans="1:8">
      <c r="A84" t="s">
        <v>1131</v>
      </c>
      <c r="B84" t="s">
        <v>1132</v>
      </c>
      <c r="C84" t="s">
        <v>1133</v>
      </c>
      <c r="D84" t="s">
        <v>1185</v>
      </c>
      <c r="E84" t="s">
        <v>1186</v>
      </c>
      <c r="G84" t="s">
        <v>1136</v>
      </c>
      <c r="H84">
        <v>84</v>
      </c>
    </row>
    <row r="85" spans="1:8">
      <c r="A85" t="s">
        <v>1131</v>
      </c>
      <c r="B85" t="s">
        <v>1132</v>
      </c>
      <c r="C85" t="s">
        <v>1133</v>
      </c>
      <c r="D85" t="s">
        <v>1185</v>
      </c>
      <c r="E85" t="s">
        <v>1186</v>
      </c>
      <c r="G85" t="s">
        <v>1136</v>
      </c>
      <c r="H85">
        <v>85</v>
      </c>
    </row>
    <row r="86" spans="1:8">
      <c r="A86" t="s">
        <v>1131</v>
      </c>
      <c r="B86" t="s">
        <v>1132</v>
      </c>
      <c r="C86" t="s">
        <v>1133</v>
      </c>
      <c r="D86" t="s">
        <v>1185</v>
      </c>
      <c r="E86" t="s">
        <v>1187</v>
      </c>
      <c r="G86" t="s">
        <v>1136</v>
      </c>
      <c r="H86">
        <v>86</v>
      </c>
    </row>
    <row r="87" spans="1:8">
      <c r="A87" t="s">
        <v>1131</v>
      </c>
      <c r="B87" t="s">
        <v>1132</v>
      </c>
      <c r="C87" t="s">
        <v>1133</v>
      </c>
      <c r="D87" t="s">
        <v>1188</v>
      </c>
      <c r="E87" t="s">
        <v>1187</v>
      </c>
      <c r="G87" t="s">
        <v>1136</v>
      </c>
      <c r="H87">
        <v>87</v>
      </c>
    </row>
    <row r="88" spans="1:8">
      <c r="A88" t="s">
        <v>1131</v>
      </c>
      <c r="B88" t="s">
        <v>1132</v>
      </c>
      <c r="C88" t="s">
        <v>1133</v>
      </c>
      <c r="D88" t="s">
        <v>1185</v>
      </c>
      <c r="E88" t="s">
        <v>1187</v>
      </c>
      <c r="G88" t="s">
        <v>1136</v>
      </c>
      <c r="H88">
        <v>88</v>
      </c>
    </row>
    <row r="89" spans="1:8">
      <c r="A89" t="s">
        <v>1131</v>
      </c>
      <c r="B89" t="s">
        <v>1132</v>
      </c>
      <c r="C89" t="s">
        <v>1133</v>
      </c>
      <c r="D89" t="s">
        <v>1185</v>
      </c>
      <c r="E89" t="s">
        <v>1187</v>
      </c>
      <c r="G89" t="s">
        <v>1136</v>
      </c>
      <c r="H89">
        <v>89</v>
      </c>
    </row>
    <row r="90" spans="1:8">
      <c r="A90" t="s">
        <v>1131</v>
      </c>
      <c r="B90" t="s">
        <v>1132</v>
      </c>
      <c r="C90" t="s">
        <v>1133</v>
      </c>
      <c r="D90" t="s">
        <v>1185</v>
      </c>
      <c r="E90" t="s">
        <v>1187</v>
      </c>
      <c r="G90" t="s">
        <v>1136</v>
      </c>
      <c r="H90">
        <v>90</v>
      </c>
    </row>
    <row r="91" spans="1:8">
      <c r="A91" t="s">
        <v>1131</v>
      </c>
      <c r="B91" t="s">
        <v>1132</v>
      </c>
      <c r="C91" t="s">
        <v>1133</v>
      </c>
      <c r="D91" t="s">
        <v>1185</v>
      </c>
      <c r="E91" t="s">
        <v>1187</v>
      </c>
      <c r="G91" t="s">
        <v>1136</v>
      </c>
      <c r="H91">
        <v>91</v>
      </c>
    </row>
    <row r="92" spans="1:8">
      <c r="A92" t="s">
        <v>1131</v>
      </c>
      <c r="B92" t="s">
        <v>1132</v>
      </c>
      <c r="C92" t="s">
        <v>1133</v>
      </c>
      <c r="D92" t="s">
        <v>1189</v>
      </c>
      <c r="E92" t="s">
        <v>1190</v>
      </c>
      <c r="G92" t="s">
        <v>1136</v>
      </c>
      <c r="H92">
        <v>92</v>
      </c>
    </row>
    <row r="93" spans="1:8">
      <c r="A93" t="s">
        <v>1131</v>
      </c>
      <c r="B93" t="s">
        <v>1132</v>
      </c>
      <c r="C93" t="s">
        <v>1133</v>
      </c>
      <c r="D93" t="s">
        <v>1185</v>
      </c>
      <c r="E93" t="s">
        <v>1191</v>
      </c>
      <c r="G93" t="s">
        <v>1136</v>
      </c>
      <c r="H93">
        <v>93</v>
      </c>
    </row>
    <row r="94" spans="1:8">
      <c r="A94" t="s">
        <v>1131</v>
      </c>
      <c r="B94" t="s">
        <v>1132</v>
      </c>
      <c r="C94" t="s">
        <v>1133</v>
      </c>
      <c r="D94" t="s">
        <v>1185</v>
      </c>
      <c r="E94" t="s">
        <v>1191</v>
      </c>
      <c r="G94" t="s">
        <v>1136</v>
      </c>
      <c r="H94">
        <v>94</v>
      </c>
    </row>
    <row r="95" spans="1:8">
      <c r="A95" t="s">
        <v>1131</v>
      </c>
      <c r="B95" t="s">
        <v>1132</v>
      </c>
      <c r="C95" t="s">
        <v>1133</v>
      </c>
      <c r="D95" t="s">
        <v>1185</v>
      </c>
      <c r="E95" t="s">
        <v>1191</v>
      </c>
      <c r="G95" t="s">
        <v>1136</v>
      </c>
      <c r="H95">
        <v>95</v>
      </c>
    </row>
    <row r="96" spans="1:8">
      <c r="A96" t="s">
        <v>1131</v>
      </c>
      <c r="B96" t="s">
        <v>1132</v>
      </c>
      <c r="C96" t="s">
        <v>1133</v>
      </c>
      <c r="D96" t="s">
        <v>1185</v>
      </c>
      <c r="E96" t="s">
        <v>1191</v>
      </c>
      <c r="G96" t="s">
        <v>1136</v>
      </c>
      <c r="H96">
        <v>96</v>
      </c>
    </row>
    <row r="97" spans="1:8">
      <c r="A97" t="s">
        <v>1131</v>
      </c>
      <c r="B97" t="s">
        <v>1132</v>
      </c>
      <c r="C97" t="s">
        <v>1133</v>
      </c>
      <c r="D97" t="s">
        <v>1185</v>
      </c>
      <c r="E97" t="s">
        <v>1191</v>
      </c>
      <c r="G97" t="s">
        <v>1136</v>
      </c>
      <c r="H97">
        <v>97</v>
      </c>
    </row>
    <row r="98" spans="1:8">
      <c r="A98" t="s">
        <v>1131</v>
      </c>
      <c r="B98" t="s">
        <v>1132</v>
      </c>
      <c r="C98" t="s">
        <v>1133</v>
      </c>
      <c r="D98" t="s">
        <v>1185</v>
      </c>
      <c r="E98" t="s">
        <v>1191</v>
      </c>
      <c r="G98" t="s">
        <v>1136</v>
      </c>
      <c r="H98">
        <v>98</v>
      </c>
    </row>
    <row r="99" spans="1:8">
      <c r="A99" t="s">
        <v>1131</v>
      </c>
      <c r="B99" t="s">
        <v>1132</v>
      </c>
      <c r="C99" t="s">
        <v>1133</v>
      </c>
      <c r="D99" t="s">
        <v>1185</v>
      </c>
      <c r="E99" t="s">
        <v>1191</v>
      </c>
      <c r="G99" t="s">
        <v>1136</v>
      </c>
      <c r="H99">
        <v>99</v>
      </c>
    </row>
    <row r="100" spans="1:8">
      <c r="A100" t="s">
        <v>1131</v>
      </c>
      <c r="B100" t="s">
        <v>1132</v>
      </c>
      <c r="C100" t="s">
        <v>1133</v>
      </c>
      <c r="D100" t="s">
        <v>1185</v>
      </c>
      <c r="E100" t="s">
        <v>1191</v>
      </c>
      <c r="G100" t="s">
        <v>1136</v>
      </c>
      <c r="H100">
        <v>100</v>
      </c>
    </row>
    <row r="101" spans="1:8">
      <c r="A101" t="s">
        <v>1131</v>
      </c>
      <c r="B101" t="s">
        <v>1132</v>
      </c>
      <c r="C101" t="s">
        <v>1133</v>
      </c>
      <c r="D101" t="s">
        <v>1192</v>
      </c>
      <c r="E101" t="s">
        <v>1193</v>
      </c>
      <c r="G101" t="s">
        <v>1136</v>
      </c>
      <c r="H101">
        <v>101</v>
      </c>
    </row>
    <row r="102" spans="1:8">
      <c r="A102" t="s">
        <v>1131</v>
      </c>
      <c r="B102" t="s">
        <v>1132</v>
      </c>
      <c r="C102" t="s">
        <v>1133</v>
      </c>
      <c r="D102" t="s">
        <v>1185</v>
      </c>
      <c r="E102" t="s">
        <v>1193</v>
      </c>
      <c r="G102" t="s">
        <v>1136</v>
      </c>
      <c r="H102">
        <v>102</v>
      </c>
    </row>
    <row r="103" spans="1:8">
      <c r="A103" t="s">
        <v>1131</v>
      </c>
      <c r="B103" t="s">
        <v>1132</v>
      </c>
      <c r="C103" t="s">
        <v>1133</v>
      </c>
      <c r="D103" t="s">
        <v>1185</v>
      </c>
      <c r="E103" t="s">
        <v>1193</v>
      </c>
      <c r="G103" t="s">
        <v>1136</v>
      </c>
      <c r="H103">
        <v>103</v>
      </c>
    </row>
    <row r="104" spans="1:8">
      <c r="A104" t="s">
        <v>1131</v>
      </c>
      <c r="B104" t="s">
        <v>1132</v>
      </c>
      <c r="C104" t="s">
        <v>1133</v>
      </c>
      <c r="D104" t="s">
        <v>1192</v>
      </c>
      <c r="E104" t="s">
        <v>854</v>
      </c>
      <c r="G104" t="s">
        <v>1136</v>
      </c>
      <c r="H104">
        <v>104</v>
      </c>
    </row>
    <row r="105" spans="1:8">
      <c r="A105" t="s">
        <v>1131</v>
      </c>
      <c r="B105" t="s">
        <v>1132</v>
      </c>
      <c r="C105" t="s">
        <v>1133</v>
      </c>
      <c r="D105" t="s">
        <v>1185</v>
      </c>
      <c r="E105" t="s">
        <v>854</v>
      </c>
      <c r="G105" t="s">
        <v>1136</v>
      </c>
      <c r="H105">
        <v>105</v>
      </c>
    </row>
    <row r="106" spans="1:8">
      <c r="A106" t="s">
        <v>1131</v>
      </c>
      <c r="B106" t="s">
        <v>1132</v>
      </c>
      <c r="C106" t="s">
        <v>1133</v>
      </c>
      <c r="D106" t="s">
        <v>1185</v>
      </c>
      <c r="E106" t="s">
        <v>854</v>
      </c>
      <c r="G106" t="s">
        <v>1136</v>
      </c>
      <c r="H106">
        <v>106</v>
      </c>
    </row>
    <row r="107" spans="1:8">
      <c r="A107" t="s">
        <v>1131</v>
      </c>
      <c r="B107" t="s">
        <v>1132</v>
      </c>
      <c r="C107" t="s">
        <v>1133</v>
      </c>
      <c r="D107" t="s">
        <v>1185</v>
      </c>
      <c r="E107" t="s">
        <v>854</v>
      </c>
      <c r="G107" t="s">
        <v>1136</v>
      </c>
      <c r="H107">
        <v>107</v>
      </c>
    </row>
    <row r="108" spans="1:8">
      <c r="A108" t="s">
        <v>1131</v>
      </c>
      <c r="B108" t="s">
        <v>1132</v>
      </c>
      <c r="C108" t="s">
        <v>1133</v>
      </c>
      <c r="D108" t="s">
        <v>1185</v>
      </c>
      <c r="E108" t="s">
        <v>854</v>
      </c>
      <c r="G108" t="s">
        <v>1136</v>
      </c>
      <c r="H108">
        <v>108</v>
      </c>
    </row>
    <row r="109" spans="1:8">
      <c r="A109" t="s">
        <v>1131</v>
      </c>
      <c r="B109" t="s">
        <v>1132</v>
      </c>
      <c r="C109" t="s">
        <v>1133</v>
      </c>
      <c r="D109" t="s">
        <v>1194</v>
      </c>
      <c r="E109" t="s">
        <v>854</v>
      </c>
      <c r="G109" t="s">
        <v>1136</v>
      </c>
      <c r="H109">
        <v>109</v>
      </c>
    </row>
    <row r="110" spans="1:8">
      <c r="A110" t="s">
        <v>1131</v>
      </c>
      <c r="B110" t="s">
        <v>1132</v>
      </c>
      <c r="C110" t="s">
        <v>1133</v>
      </c>
      <c r="D110" t="s">
        <v>1185</v>
      </c>
      <c r="E110" t="s">
        <v>854</v>
      </c>
      <c r="G110" t="s">
        <v>1136</v>
      </c>
      <c r="H110">
        <v>110</v>
      </c>
    </row>
    <row r="111" spans="1:8">
      <c r="A111" t="s">
        <v>1131</v>
      </c>
      <c r="B111" t="s">
        <v>1132</v>
      </c>
      <c r="C111" t="s">
        <v>1133</v>
      </c>
      <c r="D111" t="s">
        <v>1185</v>
      </c>
      <c r="E111" t="s">
        <v>854</v>
      </c>
      <c r="G111" t="s">
        <v>1136</v>
      </c>
      <c r="H111">
        <v>111</v>
      </c>
    </row>
    <row r="112" spans="1:8">
      <c r="A112" t="s">
        <v>1131</v>
      </c>
      <c r="B112" t="s">
        <v>1132</v>
      </c>
      <c r="C112" t="s">
        <v>1133</v>
      </c>
      <c r="D112" t="s">
        <v>1185</v>
      </c>
      <c r="E112" t="s">
        <v>854</v>
      </c>
      <c r="G112" t="s">
        <v>1136</v>
      </c>
      <c r="H112">
        <v>112</v>
      </c>
    </row>
    <row r="113" spans="1:8">
      <c r="A113" t="s">
        <v>1131</v>
      </c>
      <c r="B113" t="s">
        <v>1132</v>
      </c>
      <c r="C113" t="s">
        <v>1133</v>
      </c>
      <c r="D113" t="s">
        <v>1185</v>
      </c>
      <c r="E113" t="s">
        <v>854</v>
      </c>
      <c r="G113" t="s">
        <v>1136</v>
      </c>
      <c r="H113">
        <v>113</v>
      </c>
    </row>
    <row r="114" spans="1:8">
      <c r="A114" t="s">
        <v>1131</v>
      </c>
      <c r="B114" t="s">
        <v>1132</v>
      </c>
      <c r="C114" t="s">
        <v>1133</v>
      </c>
      <c r="D114" t="s">
        <v>1195</v>
      </c>
      <c r="E114" t="s">
        <v>854</v>
      </c>
      <c r="G114" t="s">
        <v>1136</v>
      </c>
      <c r="H114">
        <v>114</v>
      </c>
    </row>
    <row r="115" spans="1:8">
      <c r="A115" t="s">
        <v>1131</v>
      </c>
      <c r="B115" t="s">
        <v>1132</v>
      </c>
      <c r="C115" t="s">
        <v>1133</v>
      </c>
      <c r="D115" t="s">
        <v>1185</v>
      </c>
      <c r="E115" t="s">
        <v>1196</v>
      </c>
      <c r="G115" t="s">
        <v>1136</v>
      </c>
      <c r="H115">
        <v>115</v>
      </c>
    </row>
    <row r="116" spans="1:8">
      <c r="A116" t="s">
        <v>1131</v>
      </c>
      <c r="B116" t="s">
        <v>1132</v>
      </c>
      <c r="C116" t="s">
        <v>1133</v>
      </c>
      <c r="D116" t="s">
        <v>1197</v>
      </c>
      <c r="E116" t="s">
        <v>1196</v>
      </c>
      <c r="G116" t="s">
        <v>1136</v>
      </c>
      <c r="H116">
        <v>116</v>
      </c>
    </row>
    <row r="117" spans="1:8">
      <c r="A117" t="s">
        <v>1131</v>
      </c>
      <c r="B117" t="s">
        <v>1132</v>
      </c>
      <c r="C117" t="s">
        <v>1133</v>
      </c>
      <c r="D117" t="s">
        <v>1198</v>
      </c>
      <c r="E117" t="s">
        <v>1190</v>
      </c>
      <c r="G117" t="s">
        <v>1136</v>
      </c>
      <c r="H117">
        <v>117</v>
      </c>
    </row>
    <row r="118" spans="1:8">
      <c r="A118" t="s">
        <v>1131</v>
      </c>
      <c r="B118" t="s">
        <v>1132</v>
      </c>
      <c r="C118" t="s">
        <v>1133</v>
      </c>
      <c r="D118" t="s">
        <v>1185</v>
      </c>
      <c r="E118" t="s">
        <v>1190</v>
      </c>
      <c r="G118" t="s">
        <v>1136</v>
      </c>
      <c r="H118">
        <v>118</v>
      </c>
    </row>
    <row r="119" spans="1:8">
      <c r="A119" t="s">
        <v>1131</v>
      </c>
      <c r="B119" t="s">
        <v>1132</v>
      </c>
      <c r="C119" t="s">
        <v>1133</v>
      </c>
      <c r="D119" t="s">
        <v>1185</v>
      </c>
      <c r="E119" t="s">
        <v>1199</v>
      </c>
      <c r="G119" t="s">
        <v>1136</v>
      </c>
      <c r="H119">
        <v>119</v>
      </c>
    </row>
    <row r="120" spans="1:8">
      <c r="A120" t="s">
        <v>1131</v>
      </c>
      <c r="B120" t="s">
        <v>1132</v>
      </c>
      <c r="C120" t="s">
        <v>1133</v>
      </c>
      <c r="D120" t="s">
        <v>1185</v>
      </c>
      <c r="E120" t="s">
        <v>1199</v>
      </c>
      <c r="G120" t="s">
        <v>1136</v>
      </c>
      <c r="H120">
        <v>120</v>
      </c>
    </row>
    <row r="121" spans="1:8">
      <c r="A121" t="s">
        <v>1131</v>
      </c>
      <c r="B121" t="s">
        <v>1132</v>
      </c>
      <c r="C121" t="s">
        <v>1133</v>
      </c>
      <c r="D121" t="s">
        <v>1200</v>
      </c>
      <c r="E121" t="s">
        <v>1201</v>
      </c>
      <c r="G121" t="s">
        <v>1136</v>
      </c>
      <c r="H121">
        <v>121</v>
      </c>
    </row>
    <row r="122" spans="1:8">
      <c r="A122" t="s">
        <v>1131</v>
      </c>
      <c r="B122" t="s">
        <v>1132</v>
      </c>
      <c r="C122" t="s">
        <v>1133</v>
      </c>
      <c r="D122" t="s">
        <v>1185</v>
      </c>
      <c r="E122" t="s">
        <v>1201</v>
      </c>
      <c r="G122" t="s">
        <v>1136</v>
      </c>
      <c r="H122">
        <v>122</v>
      </c>
    </row>
    <row r="123" spans="1:8">
      <c r="A123" t="s">
        <v>1131</v>
      </c>
      <c r="B123" t="s">
        <v>1132</v>
      </c>
      <c r="C123" t="s">
        <v>1133</v>
      </c>
      <c r="D123" t="s">
        <v>1185</v>
      </c>
      <c r="E123" t="s">
        <v>1199</v>
      </c>
      <c r="G123" t="s">
        <v>1136</v>
      </c>
      <c r="H123">
        <v>123</v>
      </c>
    </row>
    <row r="124" spans="1:8">
      <c r="A124" t="s">
        <v>1131</v>
      </c>
      <c r="B124" t="s">
        <v>1132</v>
      </c>
      <c r="C124" t="s">
        <v>1133</v>
      </c>
      <c r="D124" t="s">
        <v>1185</v>
      </c>
      <c r="E124" t="s">
        <v>1196</v>
      </c>
      <c r="G124" t="s">
        <v>1136</v>
      </c>
      <c r="H124">
        <v>124</v>
      </c>
    </row>
    <row r="125" spans="1:8">
      <c r="A125" t="s">
        <v>1131</v>
      </c>
      <c r="B125" t="s">
        <v>1132</v>
      </c>
      <c r="C125" t="s">
        <v>1133</v>
      </c>
      <c r="D125" t="s">
        <v>1185</v>
      </c>
      <c r="E125" t="s">
        <v>1187</v>
      </c>
      <c r="G125" t="s">
        <v>1136</v>
      </c>
      <c r="H125">
        <v>125</v>
      </c>
    </row>
    <row r="126" spans="1:8">
      <c r="A126" t="s">
        <v>1131</v>
      </c>
      <c r="B126" t="s">
        <v>1132</v>
      </c>
      <c r="C126" t="s">
        <v>1133</v>
      </c>
      <c r="D126" t="s">
        <v>1185</v>
      </c>
      <c r="E126" t="s">
        <v>1187</v>
      </c>
      <c r="G126" t="s">
        <v>1136</v>
      </c>
      <c r="H126">
        <v>126</v>
      </c>
    </row>
    <row r="127" spans="1:8">
      <c r="A127" t="s">
        <v>1131</v>
      </c>
      <c r="B127" t="s">
        <v>1132</v>
      </c>
      <c r="C127" t="s">
        <v>1133</v>
      </c>
      <c r="D127" t="s">
        <v>1185</v>
      </c>
      <c r="E127" t="s">
        <v>1190</v>
      </c>
      <c r="G127" t="s">
        <v>1136</v>
      </c>
      <c r="H127">
        <v>127</v>
      </c>
    </row>
    <row r="128" spans="1:8">
      <c r="A128" t="s">
        <v>1131</v>
      </c>
      <c r="B128" t="s">
        <v>1132</v>
      </c>
      <c r="C128" t="s">
        <v>1133</v>
      </c>
      <c r="D128" t="s">
        <v>1185</v>
      </c>
      <c r="E128" t="s">
        <v>1191</v>
      </c>
      <c r="G128" t="s">
        <v>1136</v>
      </c>
      <c r="H128">
        <v>128</v>
      </c>
    </row>
    <row r="129" spans="1:8">
      <c r="A129" t="s">
        <v>1131</v>
      </c>
      <c r="B129" t="s">
        <v>1132</v>
      </c>
      <c r="C129" t="s">
        <v>1133</v>
      </c>
      <c r="D129" t="s">
        <v>1202</v>
      </c>
      <c r="E129" t="s">
        <v>1201</v>
      </c>
      <c r="G129" t="s">
        <v>1136</v>
      </c>
      <c r="H129">
        <v>129</v>
      </c>
    </row>
    <row r="130" spans="1:8">
      <c r="A130" t="s">
        <v>1131</v>
      </c>
      <c r="B130" t="s">
        <v>1132</v>
      </c>
      <c r="C130" t="s">
        <v>1133</v>
      </c>
      <c r="D130" t="s">
        <v>1185</v>
      </c>
      <c r="E130" t="s">
        <v>1196</v>
      </c>
      <c r="G130" t="s">
        <v>1136</v>
      </c>
      <c r="H130">
        <v>130</v>
      </c>
    </row>
    <row r="131" spans="1:8">
      <c r="A131" t="s">
        <v>1131</v>
      </c>
      <c r="B131" t="s">
        <v>1132</v>
      </c>
      <c r="C131" t="s">
        <v>1133</v>
      </c>
      <c r="D131" t="s">
        <v>1185</v>
      </c>
      <c r="E131" t="s">
        <v>1196</v>
      </c>
      <c r="G131" t="s">
        <v>1136</v>
      </c>
      <c r="H131">
        <v>131</v>
      </c>
    </row>
    <row r="132" spans="1:8">
      <c r="A132" t="s">
        <v>1131</v>
      </c>
      <c r="B132" t="s">
        <v>1132</v>
      </c>
      <c r="C132" t="s">
        <v>1133</v>
      </c>
      <c r="D132" t="s">
        <v>1185</v>
      </c>
      <c r="E132" t="s">
        <v>1196</v>
      </c>
      <c r="G132" t="s">
        <v>1136</v>
      </c>
      <c r="H132">
        <v>132</v>
      </c>
    </row>
    <row r="133" spans="1:8">
      <c r="A133" t="s">
        <v>1131</v>
      </c>
      <c r="B133" t="s">
        <v>1132</v>
      </c>
      <c r="C133" t="s">
        <v>1133</v>
      </c>
      <c r="D133" t="s">
        <v>1200</v>
      </c>
      <c r="E133" t="s">
        <v>1201</v>
      </c>
      <c r="G133" t="s">
        <v>1136</v>
      </c>
      <c r="H133">
        <v>133</v>
      </c>
    </row>
    <row r="134" spans="1:8">
      <c r="A134" t="s">
        <v>1131</v>
      </c>
      <c r="B134" t="s">
        <v>1132</v>
      </c>
      <c r="C134" t="s">
        <v>1133</v>
      </c>
      <c r="D134" t="s">
        <v>1185</v>
      </c>
      <c r="E134" t="s">
        <v>1196</v>
      </c>
      <c r="G134" t="s">
        <v>1136</v>
      </c>
      <c r="H134">
        <v>134</v>
      </c>
    </row>
    <row r="135" spans="1:8">
      <c r="A135" t="s">
        <v>1131</v>
      </c>
      <c r="B135" t="s">
        <v>1132</v>
      </c>
      <c r="C135" t="s">
        <v>1133</v>
      </c>
      <c r="D135" t="s">
        <v>1185</v>
      </c>
      <c r="E135" t="s">
        <v>1196</v>
      </c>
      <c r="G135" t="s">
        <v>1136</v>
      </c>
      <c r="H135">
        <v>135</v>
      </c>
    </row>
    <row r="136" spans="1:8">
      <c r="A136" t="s">
        <v>1131</v>
      </c>
      <c r="B136" t="s">
        <v>1132</v>
      </c>
      <c r="C136" t="s">
        <v>1133</v>
      </c>
      <c r="D136" t="s">
        <v>1185</v>
      </c>
      <c r="E136" t="s">
        <v>1196</v>
      </c>
      <c r="G136" t="s">
        <v>1136</v>
      </c>
      <c r="H136">
        <v>136</v>
      </c>
    </row>
    <row r="137" spans="1:8">
      <c r="A137" t="s">
        <v>1131</v>
      </c>
      <c r="B137" t="s">
        <v>1132</v>
      </c>
      <c r="C137" t="s">
        <v>1133</v>
      </c>
      <c r="D137" t="s">
        <v>1185</v>
      </c>
      <c r="E137" t="s">
        <v>854</v>
      </c>
      <c r="G137" t="s">
        <v>1136</v>
      </c>
      <c r="H137">
        <v>137</v>
      </c>
    </row>
    <row r="138" spans="1:8">
      <c r="A138" t="s">
        <v>1131</v>
      </c>
      <c r="B138" t="s">
        <v>1132</v>
      </c>
      <c r="C138" t="s">
        <v>1133</v>
      </c>
      <c r="D138" t="s">
        <v>1185</v>
      </c>
      <c r="E138" t="s">
        <v>1191</v>
      </c>
      <c r="G138" t="s">
        <v>1136</v>
      </c>
      <c r="H138">
        <v>138</v>
      </c>
    </row>
    <row r="139" spans="1:8">
      <c r="A139" t="s">
        <v>1131</v>
      </c>
      <c r="B139" t="s">
        <v>1132</v>
      </c>
      <c r="C139" t="s">
        <v>1133</v>
      </c>
      <c r="D139" t="s">
        <v>1192</v>
      </c>
      <c r="E139" t="s">
        <v>1191</v>
      </c>
      <c r="G139" t="s">
        <v>1136</v>
      </c>
      <c r="H139">
        <v>139</v>
      </c>
    </row>
    <row r="140" spans="1:8">
      <c r="A140" t="s">
        <v>1131</v>
      </c>
      <c r="B140" t="s">
        <v>1132</v>
      </c>
      <c r="C140" t="s">
        <v>1133</v>
      </c>
      <c r="D140" t="s">
        <v>1185</v>
      </c>
      <c r="E140" t="s">
        <v>1191</v>
      </c>
      <c r="G140" t="s">
        <v>1136</v>
      </c>
      <c r="H140">
        <v>140</v>
      </c>
    </row>
    <row r="141" spans="1:8">
      <c r="A141" t="s">
        <v>1131</v>
      </c>
      <c r="B141" t="s">
        <v>1132</v>
      </c>
      <c r="C141" t="s">
        <v>1133</v>
      </c>
      <c r="D141" t="s">
        <v>1192</v>
      </c>
      <c r="E141" t="s">
        <v>1191</v>
      </c>
      <c r="G141" t="s">
        <v>1136</v>
      </c>
      <c r="H141">
        <v>141</v>
      </c>
    </row>
    <row r="142" spans="1:8">
      <c r="A142" t="s">
        <v>1131</v>
      </c>
      <c r="B142" t="s">
        <v>1132</v>
      </c>
      <c r="C142" t="s">
        <v>1133</v>
      </c>
      <c r="D142" t="s">
        <v>1185</v>
      </c>
      <c r="E142" t="s">
        <v>1203</v>
      </c>
      <c r="G142" t="s">
        <v>1136</v>
      </c>
      <c r="H142">
        <v>142</v>
      </c>
    </row>
    <row r="143" spans="1:8">
      <c r="A143" t="s">
        <v>1131</v>
      </c>
      <c r="B143" t="s">
        <v>1132</v>
      </c>
      <c r="C143" t="s">
        <v>1133</v>
      </c>
      <c r="D143" t="s">
        <v>1185</v>
      </c>
      <c r="E143" t="s">
        <v>1203</v>
      </c>
      <c r="G143" t="s">
        <v>1136</v>
      </c>
      <c r="H143">
        <v>143</v>
      </c>
    </row>
    <row r="144" spans="1:8">
      <c r="A144" t="s">
        <v>1131</v>
      </c>
      <c r="B144" t="s">
        <v>1132</v>
      </c>
      <c r="C144" t="s">
        <v>1133</v>
      </c>
      <c r="D144" t="s">
        <v>1185</v>
      </c>
      <c r="E144" t="s">
        <v>1203</v>
      </c>
      <c r="G144" t="s">
        <v>1136</v>
      </c>
      <c r="H144">
        <v>144</v>
      </c>
    </row>
    <row r="145" spans="1:8">
      <c r="A145" t="s">
        <v>1131</v>
      </c>
      <c r="B145" t="s">
        <v>1132</v>
      </c>
      <c r="C145" t="s">
        <v>1133</v>
      </c>
      <c r="D145" t="s">
        <v>1185</v>
      </c>
      <c r="E145" t="s">
        <v>1203</v>
      </c>
      <c r="G145" t="s">
        <v>1136</v>
      </c>
      <c r="H145">
        <v>145</v>
      </c>
    </row>
    <row r="146" spans="1:8">
      <c r="A146" t="s">
        <v>1131</v>
      </c>
      <c r="B146" t="s">
        <v>1132</v>
      </c>
      <c r="C146" t="s">
        <v>1133</v>
      </c>
      <c r="D146" t="s">
        <v>1185</v>
      </c>
      <c r="E146" t="s">
        <v>1191</v>
      </c>
      <c r="G146" t="s">
        <v>1136</v>
      </c>
      <c r="H146">
        <v>146</v>
      </c>
    </row>
    <row r="147" spans="1:8">
      <c r="A147" t="s">
        <v>1131</v>
      </c>
      <c r="B147" t="s">
        <v>1132</v>
      </c>
      <c r="C147" t="s">
        <v>1133</v>
      </c>
      <c r="D147" t="s">
        <v>1185</v>
      </c>
      <c r="E147" t="s">
        <v>1203</v>
      </c>
      <c r="G147" t="s">
        <v>1136</v>
      </c>
      <c r="H147">
        <v>147</v>
      </c>
    </row>
    <row r="148" spans="1:8">
      <c r="A148" t="s">
        <v>1131</v>
      </c>
      <c r="B148" t="s">
        <v>1132</v>
      </c>
      <c r="C148" t="s">
        <v>1133</v>
      </c>
      <c r="D148" t="s">
        <v>1204</v>
      </c>
      <c r="E148" t="s">
        <v>854</v>
      </c>
      <c r="G148" t="s">
        <v>1136</v>
      </c>
      <c r="H148">
        <v>148</v>
      </c>
    </row>
    <row r="149" spans="1:8">
      <c r="A149" t="s">
        <v>1131</v>
      </c>
      <c r="B149" t="s">
        <v>1132</v>
      </c>
      <c r="C149" t="s">
        <v>1133</v>
      </c>
      <c r="D149" t="s">
        <v>1185</v>
      </c>
      <c r="E149" t="s">
        <v>1191</v>
      </c>
      <c r="G149" t="s">
        <v>1136</v>
      </c>
      <c r="H149">
        <v>149</v>
      </c>
    </row>
    <row r="150" spans="1:8">
      <c r="A150" t="s">
        <v>1131</v>
      </c>
      <c r="B150" t="s">
        <v>1132</v>
      </c>
      <c r="C150" t="s">
        <v>1133</v>
      </c>
      <c r="D150" t="s">
        <v>1185</v>
      </c>
      <c r="E150" t="s">
        <v>1187</v>
      </c>
      <c r="G150" t="s">
        <v>1136</v>
      </c>
      <c r="H150">
        <v>150</v>
      </c>
    </row>
    <row r="151" spans="1:8">
      <c r="A151" t="s">
        <v>1131</v>
      </c>
      <c r="B151" t="s">
        <v>1132</v>
      </c>
      <c r="C151" t="s">
        <v>1133</v>
      </c>
      <c r="D151" t="s">
        <v>1185</v>
      </c>
      <c r="E151" t="s">
        <v>1193</v>
      </c>
      <c r="G151" t="s">
        <v>1136</v>
      </c>
      <c r="H151">
        <v>151</v>
      </c>
    </row>
    <row r="152" spans="1:8">
      <c r="A152" t="s">
        <v>1131</v>
      </c>
      <c r="B152" t="s">
        <v>1132</v>
      </c>
      <c r="C152" t="s">
        <v>1133</v>
      </c>
      <c r="D152" t="s">
        <v>1185</v>
      </c>
      <c r="E152" t="s">
        <v>1186</v>
      </c>
      <c r="G152" t="s">
        <v>1136</v>
      </c>
      <c r="H152">
        <v>152</v>
      </c>
    </row>
    <row r="153" spans="1:8">
      <c r="A153" t="s">
        <v>1131</v>
      </c>
      <c r="B153" t="s">
        <v>1132</v>
      </c>
      <c r="C153" t="s">
        <v>1133</v>
      </c>
      <c r="D153" t="s">
        <v>1185</v>
      </c>
      <c r="E153" t="s">
        <v>854</v>
      </c>
      <c r="G153" t="s">
        <v>1136</v>
      </c>
      <c r="H153">
        <v>153</v>
      </c>
    </row>
    <row r="154" spans="1:8">
      <c r="A154" t="s">
        <v>1131</v>
      </c>
      <c r="B154" t="s">
        <v>1132</v>
      </c>
      <c r="C154" t="s">
        <v>1133</v>
      </c>
      <c r="D154" t="s">
        <v>1185</v>
      </c>
      <c r="E154" t="s">
        <v>854</v>
      </c>
      <c r="G154" t="s">
        <v>1136</v>
      </c>
      <c r="H154">
        <v>154</v>
      </c>
    </row>
    <row r="155" spans="1:8">
      <c r="A155" t="s">
        <v>1131</v>
      </c>
      <c r="B155" t="s">
        <v>1132</v>
      </c>
      <c r="C155" t="s">
        <v>1133</v>
      </c>
      <c r="D155" t="s">
        <v>1185</v>
      </c>
      <c r="E155" t="s">
        <v>1203</v>
      </c>
      <c r="G155" t="s">
        <v>1136</v>
      </c>
      <c r="H155">
        <v>155</v>
      </c>
    </row>
    <row r="156" spans="1:8">
      <c r="A156" t="s">
        <v>1131</v>
      </c>
      <c r="B156" t="s">
        <v>1132</v>
      </c>
      <c r="C156" t="s">
        <v>1133</v>
      </c>
      <c r="D156" t="s">
        <v>1185</v>
      </c>
      <c r="E156" t="s">
        <v>1203</v>
      </c>
      <c r="G156" t="s">
        <v>1136</v>
      </c>
      <c r="H156">
        <v>156</v>
      </c>
    </row>
    <row r="157" spans="1:8">
      <c r="A157" t="s">
        <v>1131</v>
      </c>
      <c r="B157" t="s">
        <v>1132</v>
      </c>
      <c r="C157" t="s">
        <v>1133</v>
      </c>
      <c r="D157" t="s">
        <v>1185</v>
      </c>
      <c r="E157" t="s">
        <v>1203</v>
      </c>
      <c r="G157" t="s">
        <v>1136</v>
      </c>
      <c r="H157">
        <v>157</v>
      </c>
    </row>
    <row r="158" spans="1:8">
      <c r="A158" t="s">
        <v>1131</v>
      </c>
      <c r="B158" t="s">
        <v>1132</v>
      </c>
      <c r="C158" t="s">
        <v>1133</v>
      </c>
      <c r="D158" t="s">
        <v>1205</v>
      </c>
      <c r="E158" t="s">
        <v>1206</v>
      </c>
      <c r="G158" t="s">
        <v>1136</v>
      </c>
      <c r="H158">
        <v>158</v>
      </c>
    </row>
    <row r="159" spans="1:8">
      <c r="A159" t="s">
        <v>1131</v>
      </c>
      <c r="B159" t="s">
        <v>1132</v>
      </c>
      <c r="C159" t="s">
        <v>1133</v>
      </c>
      <c r="D159" t="s">
        <v>1205</v>
      </c>
      <c r="E159" t="s">
        <v>486</v>
      </c>
      <c r="G159" t="s">
        <v>1136</v>
      </c>
      <c r="H159">
        <v>159</v>
      </c>
    </row>
    <row r="160" spans="1:8">
      <c r="A160" t="s">
        <v>1131</v>
      </c>
      <c r="B160" t="s">
        <v>1132</v>
      </c>
      <c r="C160" t="s">
        <v>1133</v>
      </c>
      <c r="D160" t="s">
        <v>1205</v>
      </c>
      <c r="E160" t="s">
        <v>1207</v>
      </c>
      <c r="G160" t="s">
        <v>1136</v>
      </c>
      <c r="H160">
        <v>160</v>
      </c>
    </row>
    <row r="161" spans="1:8">
      <c r="A161" t="s">
        <v>1131</v>
      </c>
      <c r="B161" t="s">
        <v>1132</v>
      </c>
      <c r="C161" t="s">
        <v>1133</v>
      </c>
      <c r="D161" t="s">
        <v>1205</v>
      </c>
      <c r="E161" t="s">
        <v>1208</v>
      </c>
      <c r="G161" t="s">
        <v>1136</v>
      </c>
      <c r="H161">
        <v>161</v>
      </c>
    </row>
    <row r="162" spans="1:8">
      <c r="A162" t="s">
        <v>1131</v>
      </c>
      <c r="B162" t="s">
        <v>1132</v>
      </c>
      <c r="C162" t="s">
        <v>1133</v>
      </c>
      <c r="D162" t="s">
        <v>1209</v>
      </c>
      <c r="E162" t="s">
        <v>1210</v>
      </c>
      <c r="G162" t="s">
        <v>1136</v>
      </c>
      <c r="H162">
        <v>162</v>
      </c>
    </row>
    <row r="163" spans="1:8">
      <c r="A163" t="s">
        <v>1131</v>
      </c>
      <c r="B163" t="s">
        <v>1132</v>
      </c>
      <c r="C163" t="s">
        <v>1133</v>
      </c>
      <c r="D163" t="s">
        <v>1205</v>
      </c>
      <c r="E163" t="s">
        <v>1211</v>
      </c>
      <c r="G163" t="s">
        <v>1136</v>
      </c>
      <c r="H163">
        <v>163</v>
      </c>
    </row>
    <row r="164" spans="1:8">
      <c r="A164" t="s">
        <v>1131</v>
      </c>
      <c r="B164" t="s">
        <v>1132</v>
      </c>
      <c r="C164" t="s">
        <v>1133</v>
      </c>
      <c r="D164" t="s">
        <v>1205</v>
      </c>
      <c r="E164" t="s">
        <v>1212</v>
      </c>
      <c r="G164" t="s">
        <v>1136</v>
      </c>
      <c r="H164">
        <v>164</v>
      </c>
    </row>
    <row r="165" spans="1:8">
      <c r="A165" t="s">
        <v>1131</v>
      </c>
      <c r="B165" t="s">
        <v>1132</v>
      </c>
      <c r="C165" t="s">
        <v>1133</v>
      </c>
      <c r="D165" t="s">
        <v>1205</v>
      </c>
      <c r="E165" t="s">
        <v>1206</v>
      </c>
      <c r="G165" t="s">
        <v>1136</v>
      </c>
      <c r="H165">
        <v>165</v>
      </c>
    </row>
    <row r="166" spans="1:8">
      <c r="A166" t="s">
        <v>1131</v>
      </c>
      <c r="B166" t="s">
        <v>1132</v>
      </c>
      <c r="C166" t="s">
        <v>1133</v>
      </c>
      <c r="D166" t="s">
        <v>1205</v>
      </c>
      <c r="E166" t="s">
        <v>1213</v>
      </c>
      <c r="G166" t="s">
        <v>1136</v>
      </c>
      <c r="H166">
        <v>166</v>
      </c>
    </row>
    <row r="167" spans="1:8">
      <c r="A167" t="s">
        <v>1131</v>
      </c>
      <c r="B167" t="s">
        <v>1132</v>
      </c>
      <c r="C167" t="s">
        <v>1133</v>
      </c>
      <c r="D167" t="s">
        <v>1205</v>
      </c>
      <c r="E167" t="s">
        <v>1207</v>
      </c>
      <c r="G167" t="s">
        <v>1136</v>
      </c>
      <c r="H167">
        <v>167</v>
      </c>
    </row>
    <row r="168" spans="1:8">
      <c r="A168" t="s">
        <v>1131</v>
      </c>
      <c r="B168" t="s">
        <v>1132</v>
      </c>
      <c r="C168" t="s">
        <v>1133</v>
      </c>
      <c r="D168" t="s">
        <v>1205</v>
      </c>
      <c r="E168" t="s">
        <v>1211</v>
      </c>
      <c r="G168" t="s">
        <v>1136</v>
      </c>
      <c r="H168">
        <v>168</v>
      </c>
    </row>
    <row r="169" spans="1:8">
      <c r="A169" t="s">
        <v>1131</v>
      </c>
      <c r="B169" t="s">
        <v>1132</v>
      </c>
      <c r="C169" t="s">
        <v>1133</v>
      </c>
      <c r="D169" t="s">
        <v>1205</v>
      </c>
      <c r="E169" t="s">
        <v>1214</v>
      </c>
      <c r="G169" t="s">
        <v>1136</v>
      </c>
      <c r="H169">
        <v>169</v>
      </c>
    </row>
    <row r="170" spans="1:8">
      <c r="A170" t="s">
        <v>1131</v>
      </c>
      <c r="B170" t="s">
        <v>1132</v>
      </c>
      <c r="C170" t="s">
        <v>1133</v>
      </c>
      <c r="D170" t="s">
        <v>1205</v>
      </c>
      <c r="E170" t="s">
        <v>1214</v>
      </c>
      <c r="G170" t="s">
        <v>1136</v>
      </c>
      <c r="H170">
        <v>170</v>
      </c>
    </row>
    <row r="171" spans="1:8">
      <c r="A171" t="s">
        <v>1131</v>
      </c>
      <c r="B171" t="s">
        <v>1132</v>
      </c>
      <c r="C171" t="s">
        <v>1133</v>
      </c>
      <c r="D171" t="s">
        <v>1205</v>
      </c>
      <c r="E171" t="s">
        <v>1214</v>
      </c>
      <c r="G171" t="s">
        <v>1136</v>
      </c>
      <c r="H171">
        <v>171</v>
      </c>
    </row>
    <row r="172" spans="1:8">
      <c r="A172" t="s">
        <v>1131</v>
      </c>
      <c r="B172" t="s">
        <v>1132</v>
      </c>
      <c r="C172" t="s">
        <v>1133</v>
      </c>
      <c r="D172" t="s">
        <v>1205</v>
      </c>
      <c r="E172" t="s">
        <v>1214</v>
      </c>
      <c r="G172" t="s">
        <v>1136</v>
      </c>
      <c r="H172">
        <v>172</v>
      </c>
    </row>
    <row r="173" spans="1:8">
      <c r="A173" t="s">
        <v>1131</v>
      </c>
      <c r="B173" t="s">
        <v>1132</v>
      </c>
      <c r="C173" t="s">
        <v>1133</v>
      </c>
      <c r="D173" t="s">
        <v>1205</v>
      </c>
      <c r="E173" t="s">
        <v>1214</v>
      </c>
      <c r="G173" t="s">
        <v>1136</v>
      </c>
      <c r="H173">
        <v>173</v>
      </c>
    </row>
    <row r="174" spans="1:8">
      <c r="A174" t="s">
        <v>1131</v>
      </c>
      <c r="B174" t="s">
        <v>1132</v>
      </c>
      <c r="C174" t="s">
        <v>1133</v>
      </c>
      <c r="D174" t="s">
        <v>1205</v>
      </c>
      <c r="E174" t="s">
        <v>1214</v>
      </c>
      <c r="G174" t="s">
        <v>1136</v>
      </c>
      <c r="H174">
        <v>174</v>
      </c>
    </row>
    <row r="175" spans="1:8">
      <c r="A175" t="s">
        <v>1131</v>
      </c>
      <c r="B175" t="s">
        <v>1132</v>
      </c>
      <c r="C175" t="s">
        <v>1133</v>
      </c>
      <c r="D175" t="s">
        <v>1205</v>
      </c>
      <c r="E175" t="s">
        <v>1214</v>
      </c>
      <c r="G175" t="s">
        <v>1136</v>
      </c>
      <c r="H175">
        <v>175</v>
      </c>
    </row>
    <row r="176" spans="1:8">
      <c r="A176" t="s">
        <v>1131</v>
      </c>
      <c r="B176" t="s">
        <v>1132</v>
      </c>
      <c r="C176" t="s">
        <v>1133</v>
      </c>
      <c r="D176" t="s">
        <v>1205</v>
      </c>
      <c r="E176" t="s">
        <v>1214</v>
      </c>
      <c r="G176" t="s">
        <v>1136</v>
      </c>
      <c r="H176">
        <v>176</v>
      </c>
    </row>
    <row r="177" spans="1:8">
      <c r="A177" t="s">
        <v>1131</v>
      </c>
      <c r="B177" t="s">
        <v>1132</v>
      </c>
      <c r="C177" t="s">
        <v>1133</v>
      </c>
      <c r="D177" t="s">
        <v>1205</v>
      </c>
      <c r="E177" t="s">
        <v>1214</v>
      </c>
      <c r="G177" t="s">
        <v>1136</v>
      </c>
      <c r="H177">
        <v>177</v>
      </c>
    </row>
    <row r="178" spans="1:8">
      <c r="A178" t="s">
        <v>1131</v>
      </c>
      <c r="B178" t="s">
        <v>1132</v>
      </c>
      <c r="C178" t="s">
        <v>1133</v>
      </c>
      <c r="D178" t="s">
        <v>1205</v>
      </c>
      <c r="E178" t="s">
        <v>486</v>
      </c>
      <c r="G178" t="s">
        <v>1136</v>
      </c>
      <c r="H178">
        <v>178</v>
      </c>
    </row>
    <row r="179" spans="1:8">
      <c r="A179" t="s">
        <v>1131</v>
      </c>
      <c r="B179" t="s">
        <v>1132</v>
      </c>
      <c r="C179" t="s">
        <v>1133</v>
      </c>
      <c r="D179" t="s">
        <v>1205</v>
      </c>
      <c r="E179" t="s">
        <v>486</v>
      </c>
      <c r="G179" t="s">
        <v>1136</v>
      </c>
      <c r="H179">
        <v>179</v>
      </c>
    </row>
    <row r="180" spans="1:8">
      <c r="A180" t="s">
        <v>1131</v>
      </c>
      <c r="B180" t="s">
        <v>1132</v>
      </c>
      <c r="C180" t="s">
        <v>1133</v>
      </c>
      <c r="D180" t="s">
        <v>1205</v>
      </c>
      <c r="E180" t="s">
        <v>1215</v>
      </c>
      <c r="G180" t="s">
        <v>1136</v>
      </c>
      <c r="H180">
        <v>180</v>
      </c>
    </row>
    <row r="181" spans="1:8">
      <c r="A181" t="s">
        <v>1131</v>
      </c>
      <c r="B181" t="s">
        <v>1132</v>
      </c>
      <c r="C181" t="s">
        <v>1133</v>
      </c>
      <c r="D181" t="s">
        <v>1205</v>
      </c>
      <c r="E181" t="s">
        <v>1216</v>
      </c>
      <c r="G181" t="s">
        <v>1136</v>
      </c>
      <c r="H181">
        <v>181</v>
      </c>
    </row>
    <row r="182" spans="1:8">
      <c r="A182" t="s">
        <v>1131</v>
      </c>
      <c r="B182" t="s">
        <v>1132</v>
      </c>
      <c r="C182" t="s">
        <v>1133</v>
      </c>
      <c r="D182" t="s">
        <v>1205</v>
      </c>
      <c r="E182" t="s">
        <v>1216</v>
      </c>
      <c r="G182" t="s">
        <v>1136</v>
      </c>
      <c r="H182">
        <v>182</v>
      </c>
    </row>
    <row r="183" spans="1:8">
      <c r="A183" t="s">
        <v>1131</v>
      </c>
      <c r="B183" t="s">
        <v>1132</v>
      </c>
      <c r="C183" t="s">
        <v>1133</v>
      </c>
      <c r="D183" t="s">
        <v>1205</v>
      </c>
      <c r="E183" t="s">
        <v>486</v>
      </c>
      <c r="G183" t="s">
        <v>1136</v>
      </c>
      <c r="H183">
        <v>183</v>
      </c>
    </row>
    <row r="184" spans="1:8">
      <c r="A184" t="s">
        <v>1131</v>
      </c>
      <c r="B184" t="s">
        <v>1132</v>
      </c>
      <c r="C184" t="s">
        <v>1133</v>
      </c>
      <c r="D184" t="s">
        <v>1205</v>
      </c>
      <c r="E184" t="s">
        <v>1216</v>
      </c>
      <c r="G184" t="s">
        <v>1136</v>
      </c>
      <c r="H184">
        <v>184</v>
      </c>
    </row>
    <row r="185" spans="1:8">
      <c r="A185" t="s">
        <v>1131</v>
      </c>
      <c r="B185" t="s">
        <v>1132</v>
      </c>
      <c r="C185" t="s">
        <v>1133</v>
      </c>
      <c r="D185" t="s">
        <v>1205</v>
      </c>
      <c r="E185" t="s">
        <v>1216</v>
      </c>
      <c r="G185" t="s">
        <v>1136</v>
      </c>
      <c r="H185">
        <v>185</v>
      </c>
    </row>
    <row r="186" spans="1:8">
      <c r="A186" t="s">
        <v>1131</v>
      </c>
      <c r="B186" t="s">
        <v>1132</v>
      </c>
      <c r="C186" t="s">
        <v>1133</v>
      </c>
      <c r="D186" t="s">
        <v>1205</v>
      </c>
      <c r="E186" t="s">
        <v>1210</v>
      </c>
      <c r="G186" t="s">
        <v>1136</v>
      </c>
      <c r="H186">
        <v>186</v>
      </c>
    </row>
    <row r="187" spans="1:8">
      <c r="A187" t="s">
        <v>1131</v>
      </c>
      <c r="B187" t="s">
        <v>1132</v>
      </c>
      <c r="C187" t="s">
        <v>1133</v>
      </c>
      <c r="D187" t="s">
        <v>1205</v>
      </c>
      <c r="E187" t="s">
        <v>1210</v>
      </c>
      <c r="G187" t="s">
        <v>1136</v>
      </c>
      <c r="H187">
        <v>187</v>
      </c>
    </row>
    <row r="188" spans="1:8">
      <c r="A188" t="s">
        <v>1131</v>
      </c>
      <c r="B188" t="s">
        <v>1132</v>
      </c>
      <c r="C188" t="s">
        <v>1133</v>
      </c>
      <c r="D188" t="s">
        <v>1205</v>
      </c>
      <c r="E188" t="s">
        <v>1216</v>
      </c>
      <c r="G188" t="s">
        <v>1136</v>
      </c>
      <c r="H188">
        <v>188</v>
      </c>
    </row>
    <row r="189" spans="1:8">
      <c r="A189" t="s">
        <v>1131</v>
      </c>
      <c r="B189" t="s">
        <v>1132</v>
      </c>
      <c r="C189" t="s">
        <v>1133</v>
      </c>
      <c r="D189" t="s">
        <v>1205</v>
      </c>
      <c r="E189" t="s">
        <v>1210</v>
      </c>
      <c r="G189" t="s">
        <v>1136</v>
      </c>
      <c r="H189">
        <v>189</v>
      </c>
    </row>
    <row r="190" spans="1:8">
      <c r="A190" t="s">
        <v>1131</v>
      </c>
      <c r="B190" t="s">
        <v>1132</v>
      </c>
      <c r="C190" t="s">
        <v>1133</v>
      </c>
      <c r="D190" t="s">
        <v>1205</v>
      </c>
      <c r="E190" t="s">
        <v>1210</v>
      </c>
      <c r="G190" t="s">
        <v>1136</v>
      </c>
      <c r="H190">
        <v>190</v>
      </c>
    </row>
    <row r="191" spans="1:8">
      <c r="A191" t="s">
        <v>1131</v>
      </c>
      <c r="B191" t="s">
        <v>1132</v>
      </c>
      <c r="C191" t="s">
        <v>1133</v>
      </c>
      <c r="D191" t="s">
        <v>1205</v>
      </c>
      <c r="E191" t="s">
        <v>1216</v>
      </c>
      <c r="G191" t="s">
        <v>1136</v>
      </c>
      <c r="H191">
        <v>191</v>
      </c>
    </row>
    <row r="192" spans="1:8">
      <c r="A192" t="s">
        <v>1131</v>
      </c>
      <c r="B192" t="s">
        <v>1132</v>
      </c>
      <c r="C192" t="s">
        <v>1133</v>
      </c>
      <c r="D192" t="s">
        <v>1205</v>
      </c>
      <c r="E192" t="s">
        <v>1216</v>
      </c>
      <c r="G192" t="s">
        <v>1136</v>
      </c>
      <c r="H192">
        <v>192</v>
      </c>
    </row>
    <row r="193" spans="1:8">
      <c r="A193" t="s">
        <v>1131</v>
      </c>
      <c r="B193" t="s">
        <v>1132</v>
      </c>
      <c r="C193" t="s">
        <v>1133</v>
      </c>
      <c r="D193" t="s">
        <v>1217</v>
      </c>
      <c r="E193" t="s">
        <v>1216</v>
      </c>
      <c r="G193" t="s">
        <v>1136</v>
      </c>
      <c r="H193">
        <v>193</v>
      </c>
    </row>
    <row r="194" spans="1:8">
      <c r="A194" t="s">
        <v>1131</v>
      </c>
      <c r="B194" t="s">
        <v>1132</v>
      </c>
      <c r="C194" t="s">
        <v>1133</v>
      </c>
      <c r="D194" t="s">
        <v>1205</v>
      </c>
      <c r="E194" t="s">
        <v>1216</v>
      </c>
      <c r="G194" t="s">
        <v>1136</v>
      </c>
      <c r="H194">
        <v>194</v>
      </c>
    </row>
    <row r="195" spans="1:8">
      <c r="A195" t="s">
        <v>1131</v>
      </c>
      <c r="B195" t="s">
        <v>1132</v>
      </c>
      <c r="C195" t="s">
        <v>1133</v>
      </c>
      <c r="D195" t="s">
        <v>1205</v>
      </c>
      <c r="E195" t="s">
        <v>1216</v>
      </c>
      <c r="G195" t="s">
        <v>1136</v>
      </c>
      <c r="H195">
        <v>195</v>
      </c>
    </row>
    <row r="196" spans="1:8">
      <c r="A196" t="s">
        <v>1131</v>
      </c>
      <c r="B196" t="s">
        <v>1132</v>
      </c>
      <c r="C196" t="s">
        <v>1133</v>
      </c>
      <c r="D196" t="s">
        <v>1205</v>
      </c>
      <c r="E196" t="s">
        <v>1216</v>
      </c>
      <c r="G196" t="s">
        <v>1136</v>
      </c>
      <c r="H196">
        <v>196</v>
      </c>
    </row>
    <row r="197" spans="1:8">
      <c r="A197" t="s">
        <v>1131</v>
      </c>
      <c r="B197" t="s">
        <v>1132</v>
      </c>
      <c r="C197" t="s">
        <v>1133</v>
      </c>
      <c r="D197" t="s">
        <v>1205</v>
      </c>
      <c r="E197" t="s">
        <v>1214</v>
      </c>
      <c r="G197" t="s">
        <v>1136</v>
      </c>
      <c r="H197">
        <v>197</v>
      </c>
    </row>
    <row r="198" spans="1:8">
      <c r="A198" t="s">
        <v>1131</v>
      </c>
      <c r="B198" t="s">
        <v>1132</v>
      </c>
      <c r="C198" t="s">
        <v>1133</v>
      </c>
      <c r="D198" t="s">
        <v>1205</v>
      </c>
      <c r="E198" t="s">
        <v>1208</v>
      </c>
      <c r="G198" t="s">
        <v>1136</v>
      </c>
      <c r="H198">
        <v>198</v>
      </c>
    </row>
    <row r="199" spans="1:8">
      <c r="A199" t="s">
        <v>1131</v>
      </c>
      <c r="B199" t="s">
        <v>1132</v>
      </c>
      <c r="C199" t="s">
        <v>1133</v>
      </c>
      <c r="D199" t="s">
        <v>1205</v>
      </c>
      <c r="E199" t="s">
        <v>1208</v>
      </c>
      <c r="G199" t="s">
        <v>1136</v>
      </c>
      <c r="H199">
        <v>199</v>
      </c>
    </row>
    <row r="200" spans="1:8">
      <c r="A200" t="s">
        <v>1131</v>
      </c>
      <c r="B200" t="s">
        <v>1132</v>
      </c>
      <c r="C200" t="s">
        <v>1133</v>
      </c>
      <c r="D200" t="s">
        <v>1205</v>
      </c>
      <c r="E200" t="s">
        <v>1208</v>
      </c>
      <c r="G200" t="s">
        <v>1136</v>
      </c>
      <c r="H200">
        <v>200</v>
      </c>
    </row>
    <row r="201" spans="1:8">
      <c r="A201" t="s">
        <v>1131</v>
      </c>
      <c r="B201" t="s">
        <v>1132</v>
      </c>
      <c r="C201" t="s">
        <v>1133</v>
      </c>
      <c r="D201" t="s">
        <v>1205</v>
      </c>
      <c r="E201" t="s">
        <v>1210</v>
      </c>
      <c r="G201" t="s">
        <v>1136</v>
      </c>
      <c r="H201">
        <v>201</v>
      </c>
    </row>
    <row r="202" spans="1:8">
      <c r="A202" t="s">
        <v>1131</v>
      </c>
      <c r="B202" t="s">
        <v>1132</v>
      </c>
      <c r="C202" t="s">
        <v>1133</v>
      </c>
      <c r="D202" t="s">
        <v>1205</v>
      </c>
      <c r="E202" t="s">
        <v>1208</v>
      </c>
      <c r="G202" t="s">
        <v>1136</v>
      </c>
      <c r="H202">
        <v>202</v>
      </c>
    </row>
    <row r="203" spans="1:8">
      <c r="A203" t="s">
        <v>1131</v>
      </c>
      <c r="B203" t="s">
        <v>1132</v>
      </c>
      <c r="C203" t="s">
        <v>1133</v>
      </c>
      <c r="D203" t="s">
        <v>1205</v>
      </c>
      <c r="E203" t="s">
        <v>1208</v>
      </c>
      <c r="G203" t="s">
        <v>1136</v>
      </c>
      <c r="H203">
        <v>203</v>
      </c>
    </row>
    <row r="204" spans="1:8">
      <c r="A204" t="s">
        <v>1131</v>
      </c>
      <c r="B204" t="s">
        <v>1132</v>
      </c>
      <c r="C204" t="s">
        <v>1133</v>
      </c>
      <c r="D204" t="s">
        <v>1205</v>
      </c>
      <c r="E204" t="s">
        <v>1207</v>
      </c>
      <c r="G204" t="s">
        <v>1136</v>
      </c>
      <c r="H204">
        <v>204</v>
      </c>
    </row>
    <row r="205" spans="1:8">
      <c r="A205" t="s">
        <v>1131</v>
      </c>
      <c r="B205" t="s">
        <v>1132</v>
      </c>
      <c r="C205" t="s">
        <v>1133</v>
      </c>
      <c r="D205" t="s">
        <v>1205</v>
      </c>
      <c r="E205" t="s">
        <v>1206</v>
      </c>
      <c r="G205" t="s">
        <v>1136</v>
      </c>
      <c r="H205">
        <v>205</v>
      </c>
    </row>
    <row r="206" spans="1:8">
      <c r="A206" t="s">
        <v>1131</v>
      </c>
      <c r="B206" t="s">
        <v>1132</v>
      </c>
      <c r="C206" t="s">
        <v>1133</v>
      </c>
      <c r="D206" t="s">
        <v>1205</v>
      </c>
      <c r="E206" t="s">
        <v>1218</v>
      </c>
      <c r="G206" t="s">
        <v>1136</v>
      </c>
      <c r="H206">
        <v>206</v>
      </c>
    </row>
    <row r="207" spans="1:8">
      <c r="A207" t="s">
        <v>1131</v>
      </c>
      <c r="B207" t="s">
        <v>1132</v>
      </c>
      <c r="C207" t="s">
        <v>1133</v>
      </c>
      <c r="D207" t="s">
        <v>1205</v>
      </c>
      <c r="E207" t="s">
        <v>1213</v>
      </c>
      <c r="G207" t="s">
        <v>1136</v>
      </c>
      <c r="H207">
        <v>207</v>
      </c>
    </row>
    <row r="208" spans="1:8">
      <c r="A208" t="s">
        <v>1131</v>
      </c>
      <c r="B208" t="s">
        <v>1132</v>
      </c>
      <c r="C208" t="s">
        <v>1133</v>
      </c>
      <c r="D208" t="s">
        <v>1205</v>
      </c>
      <c r="E208" t="s">
        <v>1207</v>
      </c>
      <c r="G208" t="s">
        <v>1136</v>
      </c>
      <c r="H208">
        <v>208</v>
      </c>
    </row>
    <row r="209" spans="1:8">
      <c r="A209" t="s">
        <v>1131</v>
      </c>
      <c r="B209" t="s">
        <v>1132</v>
      </c>
      <c r="C209" t="s">
        <v>1133</v>
      </c>
      <c r="D209" t="s">
        <v>1205</v>
      </c>
      <c r="E209" t="s">
        <v>1216</v>
      </c>
      <c r="G209" t="s">
        <v>1136</v>
      </c>
      <c r="H209">
        <v>209</v>
      </c>
    </row>
    <row r="210" spans="1:8">
      <c r="A210" t="s">
        <v>1131</v>
      </c>
      <c r="B210" t="s">
        <v>1132</v>
      </c>
      <c r="C210" t="s">
        <v>1133</v>
      </c>
      <c r="D210" t="s">
        <v>1205</v>
      </c>
      <c r="E210" t="s">
        <v>1211</v>
      </c>
      <c r="G210" t="s">
        <v>1136</v>
      </c>
      <c r="H210">
        <v>210</v>
      </c>
    </row>
    <row r="211" spans="1:8">
      <c r="A211" t="s">
        <v>1131</v>
      </c>
      <c r="B211" t="s">
        <v>1132</v>
      </c>
      <c r="C211" t="s">
        <v>1133</v>
      </c>
      <c r="D211" t="s">
        <v>1205</v>
      </c>
      <c r="E211" t="s">
        <v>1219</v>
      </c>
      <c r="G211" t="s">
        <v>1136</v>
      </c>
      <c r="H211">
        <v>211</v>
      </c>
    </row>
    <row r="212" spans="1:8">
      <c r="A212" t="s">
        <v>1131</v>
      </c>
      <c r="B212" t="s">
        <v>1132</v>
      </c>
      <c r="C212" t="s">
        <v>1133</v>
      </c>
      <c r="D212" t="s">
        <v>1205</v>
      </c>
      <c r="E212" t="s">
        <v>486</v>
      </c>
      <c r="G212" t="s">
        <v>1136</v>
      </c>
      <c r="H212">
        <v>212</v>
      </c>
    </row>
    <row r="213" spans="1:8">
      <c r="A213" t="s">
        <v>1131</v>
      </c>
      <c r="B213" t="s">
        <v>1132</v>
      </c>
      <c r="C213" t="s">
        <v>1133</v>
      </c>
      <c r="D213" t="s">
        <v>1205</v>
      </c>
      <c r="E213" t="s">
        <v>486</v>
      </c>
      <c r="G213" t="s">
        <v>1136</v>
      </c>
      <c r="H213">
        <v>213</v>
      </c>
    </row>
    <row r="214" spans="1:8">
      <c r="A214" t="s">
        <v>1131</v>
      </c>
      <c r="B214" t="s">
        <v>1132</v>
      </c>
      <c r="C214" t="s">
        <v>1133</v>
      </c>
      <c r="D214" t="s">
        <v>1205</v>
      </c>
      <c r="E214" t="s">
        <v>1220</v>
      </c>
      <c r="G214" t="s">
        <v>1136</v>
      </c>
      <c r="H214">
        <v>214</v>
      </c>
    </row>
    <row r="215" spans="1:8">
      <c r="A215" t="s">
        <v>1131</v>
      </c>
      <c r="B215" t="s">
        <v>1132</v>
      </c>
      <c r="C215" t="s">
        <v>1133</v>
      </c>
      <c r="D215" t="s">
        <v>1205</v>
      </c>
      <c r="E215" t="s">
        <v>1220</v>
      </c>
      <c r="G215" t="s">
        <v>1136</v>
      </c>
      <c r="H215">
        <v>215</v>
      </c>
    </row>
    <row r="216" spans="1:8">
      <c r="A216" t="s">
        <v>1131</v>
      </c>
      <c r="B216" t="s">
        <v>1132</v>
      </c>
      <c r="C216" t="s">
        <v>1133</v>
      </c>
      <c r="D216" t="s">
        <v>1205</v>
      </c>
      <c r="E216" t="s">
        <v>1213</v>
      </c>
      <c r="G216" t="s">
        <v>1136</v>
      </c>
      <c r="H216">
        <v>216</v>
      </c>
    </row>
    <row r="217" spans="1:8">
      <c r="A217" t="s">
        <v>1131</v>
      </c>
      <c r="B217" t="s">
        <v>1132</v>
      </c>
      <c r="C217" t="s">
        <v>1133</v>
      </c>
      <c r="D217" t="s">
        <v>1205</v>
      </c>
      <c r="E217" t="s">
        <v>1218</v>
      </c>
      <c r="G217" t="s">
        <v>1136</v>
      </c>
      <c r="H217">
        <v>217</v>
      </c>
    </row>
    <row r="218" spans="1:8">
      <c r="A218" t="s">
        <v>1131</v>
      </c>
      <c r="B218" t="s">
        <v>1132</v>
      </c>
      <c r="C218" t="s">
        <v>1133</v>
      </c>
      <c r="D218" t="s">
        <v>1205</v>
      </c>
      <c r="E218" t="s">
        <v>1210</v>
      </c>
      <c r="G218" t="s">
        <v>1136</v>
      </c>
      <c r="H218">
        <v>218</v>
      </c>
    </row>
    <row r="219" spans="1:8">
      <c r="A219" t="s">
        <v>1131</v>
      </c>
      <c r="B219" t="s">
        <v>1132</v>
      </c>
      <c r="C219" t="s">
        <v>1133</v>
      </c>
      <c r="D219" t="s">
        <v>1205</v>
      </c>
      <c r="E219" t="s">
        <v>1220</v>
      </c>
      <c r="G219" t="s">
        <v>1136</v>
      </c>
      <c r="H219">
        <v>219</v>
      </c>
    </row>
    <row r="220" spans="1:8">
      <c r="A220" t="s">
        <v>1131</v>
      </c>
      <c r="B220" t="s">
        <v>1132</v>
      </c>
      <c r="C220" t="s">
        <v>1133</v>
      </c>
      <c r="D220" t="s">
        <v>1205</v>
      </c>
      <c r="E220" t="s">
        <v>1207</v>
      </c>
      <c r="G220" t="s">
        <v>1136</v>
      </c>
      <c r="H220">
        <v>220</v>
      </c>
    </row>
    <row r="221" spans="1:8">
      <c r="A221" t="s">
        <v>1131</v>
      </c>
      <c r="B221" t="s">
        <v>1132</v>
      </c>
      <c r="C221" t="s">
        <v>1133</v>
      </c>
      <c r="D221" t="s">
        <v>1205</v>
      </c>
      <c r="E221" t="s">
        <v>1207</v>
      </c>
      <c r="G221" t="s">
        <v>1136</v>
      </c>
      <c r="H221">
        <v>221</v>
      </c>
    </row>
    <row r="222" spans="1:8">
      <c r="A222" t="s">
        <v>1131</v>
      </c>
      <c r="B222" t="s">
        <v>1132</v>
      </c>
      <c r="C222" t="s">
        <v>1133</v>
      </c>
      <c r="D222" t="s">
        <v>1205</v>
      </c>
      <c r="E222" t="s">
        <v>1215</v>
      </c>
      <c r="G222" t="s">
        <v>1136</v>
      </c>
      <c r="H222">
        <v>222</v>
      </c>
    </row>
    <row r="223" spans="1:8">
      <c r="A223" t="s">
        <v>1131</v>
      </c>
      <c r="B223" t="s">
        <v>1132</v>
      </c>
      <c r="C223" t="s">
        <v>1133</v>
      </c>
      <c r="D223" t="s">
        <v>1205</v>
      </c>
      <c r="E223" t="s">
        <v>1206</v>
      </c>
      <c r="G223" t="s">
        <v>1136</v>
      </c>
      <c r="H223">
        <v>223</v>
      </c>
    </row>
    <row r="224" spans="1:8">
      <c r="A224" t="s">
        <v>1131</v>
      </c>
      <c r="B224" t="s">
        <v>1132</v>
      </c>
      <c r="C224" t="s">
        <v>1133</v>
      </c>
      <c r="D224" t="s">
        <v>1205</v>
      </c>
      <c r="E224" t="s">
        <v>1218</v>
      </c>
      <c r="G224" t="s">
        <v>1136</v>
      </c>
      <c r="H224">
        <v>224</v>
      </c>
    </row>
    <row r="225" spans="1:8">
      <c r="A225" t="s">
        <v>1131</v>
      </c>
      <c r="B225" t="s">
        <v>1132</v>
      </c>
      <c r="C225" t="s">
        <v>1133</v>
      </c>
      <c r="D225" t="s">
        <v>1205</v>
      </c>
      <c r="E225" t="s">
        <v>1213</v>
      </c>
      <c r="G225" t="s">
        <v>1136</v>
      </c>
      <c r="H225">
        <v>225</v>
      </c>
    </row>
    <row r="226" spans="1:8">
      <c r="A226" t="s">
        <v>1131</v>
      </c>
      <c r="B226" t="s">
        <v>1132</v>
      </c>
      <c r="C226" t="s">
        <v>1133</v>
      </c>
      <c r="D226" t="s">
        <v>1205</v>
      </c>
      <c r="E226" t="s">
        <v>1207</v>
      </c>
      <c r="G226" t="s">
        <v>1136</v>
      </c>
      <c r="H226">
        <v>226</v>
      </c>
    </row>
    <row r="227" spans="1:8">
      <c r="A227" t="s">
        <v>1131</v>
      </c>
      <c r="B227" t="s">
        <v>1132</v>
      </c>
      <c r="C227" t="s">
        <v>1133</v>
      </c>
      <c r="D227" t="s">
        <v>1205</v>
      </c>
      <c r="E227" t="s">
        <v>1208</v>
      </c>
      <c r="G227" t="s">
        <v>1136</v>
      </c>
      <c r="H227">
        <v>227</v>
      </c>
    </row>
    <row r="228" spans="1:8">
      <c r="A228" t="s">
        <v>1131</v>
      </c>
      <c r="B228" t="s">
        <v>1132</v>
      </c>
      <c r="C228" t="s">
        <v>1133</v>
      </c>
      <c r="D228" t="s">
        <v>1205</v>
      </c>
      <c r="E228" t="s">
        <v>1208</v>
      </c>
      <c r="G228" t="s">
        <v>1136</v>
      </c>
      <c r="H228">
        <v>228</v>
      </c>
    </row>
    <row r="229" spans="1:8">
      <c r="A229" t="s">
        <v>1131</v>
      </c>
      <c r="B229" t="s">
        <v>1132</v>
      </c>
      <c r="C229" t="s">
        <v>1133</v>
      </c>
      <c r="D229" t="s">
        <v>1205</v>
      </c>
      <c r="E229" t="s">
        <v>1208</v>
      </c>
      <c r="G229" t="s">
        <v>1136</v>
      </c>
      <c r="H229">
        <v>229</v>
      </c>
    </row>
    <row r="230" spans="1:8">
      <c r="A230" t="s">
        <v>1131</v>
      </c>
      <c r="B230" t="s">
        <v>1132</v>
      </c>
      <c r="C230" t="s">
        <v>1133</v>
      </c>
      <c r="D230" t="s">
        <v>1205</v>
      </c>
      <c r="E230" t="s">
        <v>486</v>
      </c>
      <c r="G230" t="s">
        <v>1136</v>
      </c>
      <c r="H230">
        <v>230</v>
      </c>
    </row>
    <row r="231" spans="1:8">
      <c r="A231" t="s">
        <v>1131</v>
      </c>
      <c r="B231" t="s">
        <v>1132</v>
      </c>
      <c r="C231" t="s">
        <v>1133</v>
      </c>
      <c r="D231" t="s">
        <v>1205</v>
      </c>
      <c r="E231" t="s">
        <v>1207</v>
      </c>
      <c r="G231" t="s">
        <v>1136</v>
      </c>
      <c r="H231">
        <v>231</v>
      </c>
    </row>
    <row r="232" spans="1:8">
      <c r="A232" t="s">
        <v>1131</v>
      </c>
      <c r="B232" t="s">
        <v>1132</v>
      </c>
      <c r="C232" t="s">
        <v>1133</v>
      </c>
      <c r="D232" t="s">
        <v>1205</v>
      </c>
      <c r="E232" t="s">
        <v>1218</v>
      </c>
      <c r="G232" t="s">
        <v>1136</v>
      </c>
      <c r="H232">
        <v>232</v>
      </c>
    </row>
    <row r="233" spans="1:8">
      <c r="A233" t="s">
        <v>1131</v>
      </c>
      <c r="B233" t="s">
        <v>1132</v>
      </c>
      <c r="C233" t="s">
        <v>1133</v>
      </c>
      <c r="D233" t="s">
        <v>1205</v>
      </c>
      <c r="E233" t="s">
        <v>1221</v>
      </c>
      <c r="G233" t="s">
        <v>1136</v>
      </c>
      <c r="H233">
        <v>233</v>
      </c>
    </row>
    <row r="234" spans="1:8">
      <c r="A234" t="s">
        <v>1131</v>
      </c>
      <c r="B234" t="s">
        <v>1132</v>
      </c>
      <c r="C234" t="s">
        <v>1133</v>
      </c>
      <c r="D234" t="s">
        <v>1205</v>
      </c>
      <c r="E234" t="s">
        <v>1221</v>
      </c>
      <c r="G234" t="s">
        <v>1136</v>
      </c>
      <c r="H234">
        <v>234</v>
      </c>
    </row>
    <row r="235" spans="1:8">
      <c r="A235" t="s">
        <v>1131</v>
      </c>
      <c r="B235" t="s">
        <v>1132</v>
      </c>
      <c r="C235" t="s">
        <v>1133</v>
      </c>
      <c r="D235" t="s">
        <v>1205</v>
      </c>
      <c r="E235" t="s">
        <v>1207</v>
      </c>
      <c r="G235" t="s">
        <v>1136</v>
      </c>
      <c r="H235">
        <v>235</v>
      </c>
    </row>
    <row r="236" spans="1:8">
      <c r="A236" t="s">
        <v>1131</v>
      </c>
      <c r="B236" t="s">
        <v>1132</v>
      </c>
      <c r="C236" t="s">
        <v>1133</v>
      </c>
      <c r="D236" t="s">
        <v>1205</v>
      </c>
      <c r="E236" t="s">
        <v>1216</v>
      </c>
      <c r="G236" t="s">
        <v>1136</v>
      </c>
      <c r="H236">
        <v>236</v>
      </c>
    </row>
    <row r="237" spans="1:8">
      <c r="A237" t="s">
        <v>1131</v>
      </c>
      <c r="B237" t="s">
        <v>1132</v>
      </c>
      <c r="C237" t="s">
        <v>1133</v>
      </c>
      <c r="D237" t="s">
        <v>1205</v>
      </c>
      <c r="E237" t="s">
        <v>1214</v>
      </c>
      <c r="G237" t="s">
        <v>1136</v>
      </c>
      <c r="H237">
        <v>237</v>
      </c>
    </row>
    <row r="238" spans="1:8">
      <c r="A238" t="s">
        <v>1131</v>
      </c>
      <c r="B238" t="s">
        <v>1132</v>
      </c>
      <c r="C238" t="s">
        <v>1133</v>
      </c>
      <c r="D238" t="s">
        <v>1205</v>
      </c>
      <c r="E238" t="s">
        <v>1216</v>
      </c>
      <c r="G238" t="s">
        <v>1136</v>
      </c>
      <c r="H238">
        <v>238</v>
      </c>
    </row>
    <row r="239" spans="1:8">
      <c r="A239" t="s">
        <v>1131</v>
      </c>
      <c r="B239" t="s">
        <v>1132</v>
      </c>
      <c r="C239" t="s">
        <v>1133</v>
      </c>
      <c r="D239" t="s">
        <v>1222</v>
      </c>
      <c r="E239" t="s">
        <v>1223</v>
      </c>
      <c r="G239" t="s">
        <v>1136</v>
      </c>
      <c r="H239">
        <v>239</v>
      </c>
    </row>
    <row r="240" spans="1:8">
      <c r="A240" t="s">
        <v>1131</v>
      </c>
      <c r="B240" t="s">
        <v>1132</v>
      </c>
      <c r="C240" t="s">
        <v>1133</v>
      </c>
      <c r="D240" t="s">
        <v>1222</v>
      </c>
      <c r="E240" t="s">
        <v>1224</v>
      </c>
      <c r="G240" t="s">
        <v>1136</v>
      </c>
      <c r="H240">
        <v>240</v>
      </c>
    </row>
    <row r="241" spans="1:8">
      <c r="A241" t="s">
        <v>1131</v>
      </c>
      <c r="B241" t="s">
        <v>1132</v>
      </c>
      <c r="C241" t="s">
        <v>1133</v>
      </c>
      <c r="D241" t="s">
        <v>1222</v>
      </c>
      <c r="E241" t="s">
        <v>1224</v>
      </c>
      <c r="G241" t="s">
        <v>1136</v>
      </c>
      <c r="H241">
        <v>241</v>
      </c>
    </row>
    <row r="242" spans="1:8">
      <c r="A242" t="s">
        <v>1131</v>
      </c>
      <c r="B242" t="s">
        <v>1132</v>
      </c>
      <c r="C242" t="s">
        <v>1133</v>
      </c>
      <c r="D242" t="s">
        <v>1222</v>
      </c>
      <c r="E242" t="s">
        <v>1224</v>
      </c>
      <c r="G242" t="s">
        <v>1136</v>
      </c>
      <c r="H242">
        <v>242</v>
      </c>
    </row>
    <row r="243" spans="1:8">
      <c r="A243" t="s">
        <v>1131</v>
      </c>
      <c r="B243" t="s">
        <v>1132</v>
      </c>
      <c r="C243" t="s">
        <v>1133</v>
      </c>
      <c r="D243" t="s">
        <v>1222</v>
      </c>
      <c r="E243" t="s">
        <v>1224</v>
      </c>
      <c r="G243" t="s">
        <v>1136</v>
      </c>
      <c r="H243">
        <v>243</v>
      </c>
    </row>
    <row r="244" spans="1:8">
      <c r="A244" t="s">
        <v>1131</v>
      </c>
      <c r="B244" t="s">
        <v>1132</v>
      </c>
      <c r="C244" t="s">
        <v>1133</v>
      </c>
      <c r="D244" t="s">
        <v>1222</v>
      </c>
      <c r="E244" t="s">
        <v>1224</v>
      </c>
      <c r="G244" t="s">
        <v>1136</v>
      </c>
      <c r="H244">
        <v>244</v>
      </c>
    </row>
    <row r="245" spans="1:8">
      <c r="A245" t="s">
        <v>1131</v>
      </c>
      <c r="B245" t="s">
        <v>1132</v>
      </c>
      <c r="C245" t="s">
        <v>1133</v>
      </c>
      <c r="D245" t="s">
        <v>1222</v>
      </c>
      <c r="E245" t="s">
        <v>1224</v>
      </c>
      <c r="G245" t="s">
        <v>1136</v>
      </c>
      <c r="H245">
        <v>245</v>
      </c>
    </row>
    <row r="246" spans="1:8">
      <c r="A246" t="s">
        <v>1131</v>
      </c>
      <c r="B246" t="s">
        <v>1132</v>
      </c>
      <c r="C246" t="s">
        <v>1133</v>
      </c>
      <c r="D246" t="s">
        <v>1222</v>
      </c>
      <c r="E246" t="s">
        <v>1224</v>
      </c>
      <c r="G246" t="s">
        <v>1136</v>
      </c>
      <c r="H246">
        <v>246</v>
      </c>
    </row>
    <row r="247" spans="1:8">
      <c r="A247" t="s">
        <v>1131</v>
      </c>
      <c r="B247" t="s">
        <v>1132</v>
      </c>
      <c r="C247" t="s">
        <v>1133</v>
      </c>
      <c r="D247" t="s">
        <v>1222</v>
      </c>
      <c r="E247" t="s">
        <v>1224</v>
      </c>
      <c r="G247" t="s">
        <v>1136</v>
      </c>
      <c r="H247">
        <v>247</v>
      </c>
    </row>
    <row r="248" spans="1:8">
      <c r="A248" t="s">
        <v>1131</v>
      </c>
      <c r="B248" t="s">
        <v>1132</v>
      </c>
      <c r="C248" t="s">
        <v>1133</v>
      </c>
      <c r="D248" t="s">
        <v>1222</v>
      </c>
      <c r="E248" t="s">
        <v>1224</v>
      </c>
      <c r="G248" t="s">
        <v>1136</v>
      </c>
      <c r="H248">
        <v>248</v>
      </c>
    </row>
    <row r="249" spans="1:8">
      <c r="A249" t="s">
        <v>1131</v>
      </c>
      <c r="B249" t="s">
        <v>1132</v>
      </c>
      <c r="C249" t="s">
        <v>1133</v>
      </c>
      <c r="D249" t="s">
        <v>1222</v>
      </c>
      <c r="E249" t="s">
        <v>1224</v>
      </c>
      <c r="G249" t="s">
        <v>1136</v>
      </c>
      <c r="H249">
        <v>249</v>
      </c>
    </row>
    <row r="250" spans="1:8">
      <c r="A250" t="s">
        <v>1131</v>
      </c>
      <c r="B250" t="s">
        <v>1132</v>
      </c>
      <c r="C250" t="s">
        <v>1133</v>
      </c>
      <c r="D250" t="s">
        <v>1222</v>
      </c>
      <c r="E250" t="s">
        <v>1225</v>
      </c>
      <c r="G250" t="s">
        <v>1136</v>
      </c>
      <c r="H250">
        <v>250</v>
      </c>
    </row>
    <row r="251" spans="1:8">
      <c r="A251" t="s">
        <v>1131</v>
      </c>
      <c r="B251" t="s">
        <v>1132</v>
      </c>
      <c r="C251" t="s">
        <v>1133</v>
      </c>
      <c r="D251" t="s">
        <v>1222</v>
      </c>
      <c r="E251" t="s">
        <v>1223</v>
      </c>
      <c r="G251" t="s">
        <v>1136</v>
      </c>
      <c r="H251">
        <v>251</v>
      </c>
    </row>
    <row r="252" spans="1:8">
      <c r="A252" t="s">
        <v>1131</v>
      </c>
      <c r="B252" t="s">
        <v>1132</v>
      </c>
      <c r="C252" t="s">
        <v>1133</v>
      </c>
      <c r="D252" t="s">
        <v>1222</v>
      </c>
      <c r="E252" t="s">
        <v>1226</v>
      </c>
      <c r="G252" t="s">
        <v>1136</v>
      </c>
      <c r="H252">
        <v>252</v>
      </c>
    </row>
    <row r="253" spans="1:8">
      <c r="A253" t="s">
        <v>1131</v>
      </c>
      <c r="B253" t="s">
        <v>1132</v>
      </c>
      <c r="C253" t="s">
        <v>1133</v>
      </c>
      <c r="D253" t="s">
        <v>1222</v>
      </c>
      <c r="E253" t="s">
        <v>1226</v>
      </c>
      <c r="G253" t="s">
        <v>1136</v>
      </c>
      <c r="H253">
        <v>253</v>
      </c>
    </row>
    <row r="254" spans="1:8">
      <c r="A254" t="s">
        <v>1131</v>
      </c>
      <c r="B254" t="s">
        <v>1132</v>
      </c>
      <c r="C254" t="s">
        <v>1133</v>
      </c>
      <c r="D254" t="s">
        <v>1222</v>
      </c>
      <c r="E254" t="s">
        <v>1226</v>
      </c>
      <c r="G254" t="s">
        <v>1136</v>
      </c>
      <c r="H254">
        <v>254</v>
      </c>
    </row>
    <row r="255" spans="1:8">
      <c r="A255" t="s">
        <v>1131</v>
      </c>
      <c r="B255" t="s">
        <v>1132</v>
      </c>
      <c r="C255" t="s">
        <v>1133</v>
      </c>
      <c r="D255" t="s">
        <v>1222</v>
      </c>
      <c r="E255" t="s">
        <v>1226</v>
      </c>
      <c r="G255" t="s">
        <v>1136</v>
      </c>
      <c r="H255">
        <v>255</v>
      </c>
    </row>
    <row r="256" spans="1:8">
      <c r="A256" t="s">
        <v>1131</v>
      </c>
      <c r="B256" t="s">
        <v>1132</v>
      </c>
      <c r="C256" t="s">
        <v>1133</v>
      </c>
      <c r="D256" t="s">
        <v>1222</v>
      </c>
      <c r="E256" t="s">
        <v>1226</v>
      </c>
      <c r="G256" t="s">
        <v>1136</v>
      </c>
      <c r="H256">
        <v>256</v>
      </c>
    </row>
    <row r="257" spans="1:8">
      <c r="A257" t="s">
        <v>1131</v>
      </c>
      <c r="B257" t="s">
        <v>1132</v>
      </c>
      <c r="C257" t="s">
        <v>1133</v>
      </c>
      <c r="D257" t="s">
        <v>1222</v>
      </c>
      <c r="E257" t="s">
        <v>1226</v>
      </c>
      <c r="G257" t="s">
        <v>1136</v>
      </c>
      <c r="H257">
        <v>257</v>
      </c>
    </row>
    <row r="258" spans="1:8">
      <c r="A258" t="s">
        <v>1131</v>
      </c>
      <c r="B258" t="s">
        <v>1132</v>
      </c>
      <c r="C258" t="s">
        <v>1133</v>
      </c>
      <c r="D258" t="s">
        <v>1222</v>
      </c>
      <c r="E258" t="s">
        <v>1227</v>
      </c>
      <c r="G258" t="s">
        <v>1136</v>
      </c>
      <c r="H258">
        <v>258</v>
      </c>
    </row>
    <row r="259" spans="1:8">
      <c r="A259" t="s">
        <v>1131</v>
      </c>
      <c r="B259" t="s">
        <v>1132</v>
      </c>
      <c r="C259" t="s">
        <v>1133</v>
      </c>
      <c r="D259" t="s">
        <v>1222</v>
      </c>
      <c r="E259" t="s">
        <v>1227</v>
      </c>
      <c r="G259" t="s">
        <v>1136</v>
      </c>
      <c r="H259">
        <v>259</v>
      </c>
    </row>
    <row r="260" spans="1:8">
      <c r="A260" t="s">
        <v>1131</v>
      </c>
      <c r="B260" t="s">
        <v>1132</v>
      </c>
      <c r="C260" t="s">
        <v>1133</v>
      </c>
      <c r="D260" t="s">
        <v>1222</v>
      </c>
      <c r="E260" t="s">
        <v>1227</v>
      </c>
      <c r="G260" t="s">
        <v>1136</v>
      </c>
      <c r="H260">
        <v>260</v>
      </c>
    </row>
    <row r="261" spans="1:8">
      <c r="A261" t="s">
        <v>1131</v>
      </c>
      <c r="B261" t="s">
        <v>1132</v>
      </c>
      <c r="C261" t="s">
        <v>1133</v>
      </c>
      <c r="D261" t="s">
        <v>1222</v>
      </c>
      <c r="E261" t="s">
        <v>1227</v>
      </c>
      <c r="G261" t="s">
        <v>1136</v>
      </c>
      <c r="H261">
        <v>261</v>
      </c>
    </row>
    <row r="262" spans="1:8">
      <c r="A262" t="s">
        <v>1131</v>
      </c>
      <c r="B262" t="s">
        <v>1132</v>
      </c>
      <c r="C262" t="s">
        <v>1133</v>
      </c>
      <c r="D262" t="s">
        <v>1222</v>
      </c>
      <c r="E262" t="s">
        <v>1227</v>
      </c>
      <c r="G262" t="s">
        <v>1136</v>
      </c>
      <c r="H262">
        <v>262</v>
      </c>
    </row>
    <row r="263" spans="1:8">
      <c r="A263" t="s">
        <v>1131</v>
      </c>
      <c r="B263" t="s">
        <v>1132</v>
      </c>
      <c r="C263" t="s">
        <v>1133</v>
      </c>
      <c r="D263" t="s">
        <v>1222</v>
      </c>
      <c r="E263" t="s">
        <v>1225</v>
      </c>
      <c r="G263" t="s">
        <v>1136</v>
      </c>
      <c r="H263">
        <v>263</v>
      </c>
    </row>
    <row r="264" spans="1:8">
      <c r="A264" t="s">
        <v>1131</v>
      </c>
      <c r="B264" t="s">
        <v>1132</v>
      </c>
      <c r="C264" t="s">
        <v>1133</v>
      </c>
      <c r="D264" t="s">
        <v>1222</v>
      </c>
      <c r="E264" t="s">
        <v>1225</v>
      </c>
      <c r="G264" t="s">
        <v>1136</v>
      </c>
      <c r="H264">
        <v>264</v>
      </c>
    </row>
    <row r="265" spans="1:8">
      <c r="A265" t="s">
        <v>1131</v>
      </c>
      <c r="B265" t="s">
        <v>1132</v>
      </c>
      <c r="C265" t="s">
        <v>1133</v>
      </c>
      <c r="D265" t="s">
        <v>1222</v>
      </c>
      <c r="E265" t="s">
        <v>1225</v>
      </c>
      <c r="G265" t="s">
        <v>1136</v>
      </c>
      <c r="H265">
        <v>265</v>
      </c>
    </row>
    <row r="266" spans="1:8">
      <c r="A266" t="s">
        <v>1131</v>
      </c>
      <c r="B266" t="s">
        <v>1132</v>
      </c>
      <c r="C266" t="s">
        <v>1133</v>
      </c>
      <c r="D266" t="s">
        <v>1222</v>
      </c>
      <c r="E266" t="s">
        <v>1225</v>
      </c>
      <c r="G266" t="s">
        <v>1136</v>
      </c>
      <c r="H266">
        <v>266</v>
      </c>
    </row>
    <row r="267" spans="1:8">
      <c r="A267" t="s">
        <v>1131</v>
      </c>
      <c r="B267" t="s">
        <v>1132</v>
      </c>
      <c r="C267" t="s">
        <v>1133</v>
      </c>
      <c r="D267" t="s">
        <v>1222</v>
      </c>
      <c r="E267" t="s">
        <v>1223</v>
      </c>
      <c r="G267" t="s">
        <v>1136</v>
      </c>
      <c r="H267">
        <v>267</v>
      </c>
    </row>
    <row r="268" spans="1:8">
      <c r="A268" t="s">
        <v>1131</v>
      </c>
      <c r="B268" t="s">
        <v>1132</v>
      </c>
      <c r="C268" t="s">
        <v>1133</v>
      </c>
      <c r="D268" t="s">
        <v>1222</v>
      </c>
      <c r="E268" t="s">
        <v>1223</v>
      </c>
      <c r="G268" t="s">
        <v>1136</v>
      </c>
      <c r="H268">
        <v>268</v>
      </c>
    </row>
    <row r="269" spans="1:8">
      <c r="A269" t="s">
        <v>1131</v>
      </c>
      <c r="B269" t="s">
        <v>1132</v>
      </c>
      <c r="C269" t="s">
        <v>1133</v>
      </c>
      <c r="D269" t="s">
        <v>1222</v>
      </c>
      <c r="E269" t="s">
        <v>1223</v>
      </c>
      <c r="G269" t="s">
        <v>1136</v>
      </c>
      <c r="H269">
        <v>269</v>
      </c>
    </row>
    <row r="270" spans="1:8">
      <c r="A270" t="s">
        <v>1131</v>
      </c>
      <c r="B270" t="s">
        <v>1132</v>
      </c>
      <c r="C270" t="s">
        <v>1133</v>
      </c>
      <c r="D270" t="s">
        <v>1222</v>
      </c>
      <c r="E270" t="s">
        <v>1223</v>
      </c>
      <c r="G270" t="s">
        <v>1136</v>
      </c>
      <c r="H270">
        <v>270</v>
      </c>
    </row>
    <row r="271" spans="1:8">
      <c r="A271" t="s">
        <v>1131</v>
      </c>
      <c r="B271" t="s">
        <v>1132</v>
      </c>
      <c r="C271" t="s">
        <v>1133</v>
      </c>
      <c r="D271" t="s">
        <v>1222</v>
      </c>
      <c r="E271" t="s">
        <v>1223</v>
      </c>
      <c r="G271" t="s">
        <v>1136</v>
      </c>
      <c r="H271">
        <v>271</v>
      </c>
    </row>
    <row r="272" spans="1:8">
      <c r="A272" t="s">
        <v>1131</v>
      </c>
      <c r="B272" t="s">
        <v>1132</v>
      </c>
      <c r="C272" t="s">
        <v>1133</v>
      </c>
      <c r="D272" t="s">
        <v>1222</v>
      </c>
      <c r="E272" t="s">
        <v>1223</v>
      </c>
      <c r="G272" t="s">
        <v>1136</v>
      </c>
      <c r="H272">
        <v>272</v>
      </c>
    </row>
    <row r="273" spans="1:8">
      <c r="A273" t="s">
        <v>1131</v>
      </c>
      <c r="B273" t="s">
        <v>1132</v>
      </c>
      <c r="C273" t="s">
        <v>1133</v>
      </c>
      <c r="D273" t="s">
        <v>1222</v>
      </c>
      <c r="E273" t="s">
        <v>1223</v>
      </c>
      <c r="G273" t="s">
        <v>1136</v>
      </c>
      <c r="H273">
        <v>273</v>
      </c>
    </row>
    <row r="274" spans="1:8">
      <c r="A274" t="s">
        <v>1131</v>
      </c>
      <c r="B274" t="s">
        <v>1132</v>
      </c>
      <c r="C274" t="s">
        <v>1228</v>
      </c>
      <c r="D274" t="s">
        <v>1222</v>
      </c>
      <c r="E274" t="s">
        <v>1229</v>
      </c>
      <c r="G274" t="s">
        <v>1136</v>
      </c>
      <c r="H274">
        <v>274</v>
      </c>
    </row>
    <row r="275" spans="1:8">
      <c r="A275" t="s">
        <v>1131</v>
      </c>
      <c r="B275" t="s">
        <v>1132</v>
      </c>
      <c r="C275" t="s">
        <v>1228</v>
      </c>
      <c r="D275" t="s">
        <v>1222</v>
      </c>
      <c r="E275" t="s">
        <v>1230</v>
      </c>
      <c r="G275" t="s">
        <v>1136</v>
      </c>
      <c r="H275">
        <v>275</v>
      </c>
    </row>
    <row r="276" spans="1:8">
      <c r="A276" t="s">
        <v>1131</v>
      </c>
      <c r="B276" t="s">
        <v>1132</v>
      </c>
      <c r="C276" t="s">
        <v>1228</v>
      </c>
      <c r="D276" t="s">
        <v>1222</v>
      </c>
      <c r="E276" t="s">
        <v>1230</v>
      </c>
      <c r="G276" t="s">
        <v>1136</v>
      </c>
      <c r="H276">
        <v>276</v>
      </c>
    </row>
    <row r="277" spans="1:8">
      <c r="A277" t="s">
        <v>1131</v>
      </c>
      <c r="B277" t="s">
        <v>1132</v>
      </c>
      <c r="C277" t="s">
        <v>1228</v>
      </c>
      <c r="D277" t="s">
        <v>1222</v>
      </c>
      <c r="E277" t="s">
        <v>1230</v>
      </c>
      <c r="G277" t="s">
        <v>1136</v>
      </c>
      <c r="H277">
        <v>277</v>
      </c>
    </row>
    <row r="278" spans="1:8">
      <c r="A278" t="s">
        <v>1131</v>
      </c>
      <c r="B278" t="s">
        <v>1132</v>
      </c>
      <c r="C278" t="s">
        <v>1228</v>
      </c>
      <c r="D278" t="s">
        <v>1222</v>
      </c>
      <c r="E278" t="s">
        <v>1229</v>
      </c>
      <c r="G278" t="s">
        <v>1136</v>
      </c>
      <c r="H278">
        <v>278</v>
      </c>
    </row>
    <row r="279" spans="1:8">
      <c r="A279" t="s">
        <v>1131</v>
      </c>
      <c r="B279" t="s">
        <v>1132</v>
      </c>
      <c r="C279" t="s">
        <v>1228</v>
      </c>
      <c r="D279" t="s">
        <v>1222</v>
      </c>
      <c r="E279" t="s">
        <v>1230</v>
      </c>
      <c r="G279" t="s">
        <v>1136</v>
      </c>
      <c r="H279">
        <v>279</v>
      </c>
    </row>
    <row r="280" spans="1:8">
      <c r="A280" t="s">
        <v>1131</v>
      </c>
      <c r="B280" t="s">
        <v>1132</v>
      </c>
      <c r="C280" t="s">
        <v>1228</v>
      </c>
      <c r="D280" t="s">
        <v>1231</v>
      </c>
      <c r="E280" t="s">
        <v>1230</v>
      </c>
      <c r="G280" t="s">
        <v>1136</v>
      </c>
      <c r="H280">
        <v>280</v>
      </c>
    </row>
    <row r="281" spans="1:8">
      <c r="A281" t="s">
        <v>1131</v>
      </c>
      <c r="B281" t="s">
        <v>1132</v>
      </c>
      <c r="C281" t="s">
        <v>1228</v>
      </c>
      <c r="D281" t="s">
        <v>1222</v>
      </c>
      <c r="E281" t="s">
        <v>1230</v>
      </c>
      <c r="G281" t="s">
        <v>1136</v>
      </c>
      <c r="H281">
        <v>281</v>
      </c>
    </row>
    <row r="282" spans="1:8">
      <c r="A282" t="s">
        <v>1131</v>
      </c>
      <c r="B282" t="s">
        <v>1132</v>
      </c>
      <c r="C282" t="s">
        <v>1228</v>
      </c>
      <c r="D282" t="s">
        <v>1222</v>
      </c>
      <c r="E282" t="s">
        <v>1230</v>
      </c>
      <c r="G282" t="s">
        <v>1136</v>
      </c>
      <c r="H282">
        <v>282</v>
      </c>
    </row>
    <row r="283" spans="1:8">
      <c r="A283" t="s">
        <v>1131</v>
      </c>
      <c r="B283" t="s">
        <v>1132</v>
      </c>
      <c r="C283" t="s">
        <v>1228</v>
      </c>
      <c r="D283" t="s">
        <v>1222</v>
      </c>
      <c r="E283" t="s">
        <v>1230</v>
      </c>
      <c r="G283" t="s">
        <v>1136</v>
      </c>
      <c r="H283">
        <v>283</v>
      </c>
    </row>
    <row r="284" spans="1:8">
      <c r="A284" t="s">
        <v>1131</v>
      </c>
      <c r="B284" t="s">
        <v>1132</v>
      </c>
      <c r="C284" t="s">
        <v>1228</v>
      </c>
      <c r="D284" t="s">
        <v>1222</v>
      </c>
      <c r="E284" t="s">
        <v>1230</v>
      </c>
      <c r="G284" t="s">
        <v>1136</v>
      </c>
      <c r="H284">
        <v>284</v>
      </c>
    </row>
    <row r="285" spans="1:8">
      <c r="A285" t="s">
        <v>1131</v>
      </c>
      <c r="B285" t="s">
        <v>1132</v>
      </c>
      <c r="C285" t="s">
        <v>1228</v>
      </c>
      <c r="D285" t="s">
        <v>1222</v>
      </c>
      <c r="E285" t="s">
        <v>1230</v>
      </c>
      <c r="G285" t="s">
        <v>1136</v>
      </c>
      <c r="H285">
        <v>285</v>
      </c>
    </row>
    <row r="286" spans="1:8">
      <c r="A286" t="s">
        <v>1131</v>
      </c>
      <c r="B286" t="s">
        <v>1132</v>
      </c>
      <c r="C286" t="s">
        <v>1228</v>
      </c>
      <c r="D286" t="s">
        <v>1222</v>
      </c>
      <c r="E286" t="s">
        <v>1230</v>
      </c>
      <c r="G286" t="s">
        <v>1136</v>
      </c>
      <c r="H286">
        <v>286</v>
      </c>
    </row>
    <row r="287" spans="1:8">
      <c r="A287" t="s">
        <v>1131</v>
      </c>
      <c r="B287" t="s">
        <v>1132</v>
      </c>
      <c r="C287" t="s">
        <v>1228</v>
      </c>
      <c r="D287" t="s">
        <v>1222</v>
      </c>
      <c r="E287" t="s">
        <v>1230</v>
      </c>
      <c r="G287" t="s">
        <v>1136</v>
      </c>
      <c r="H287">
        <v>287</v>
      </c>
    </row>
    <row r="288" spans="1:8">
      <c r="A288" t="s">
        <v>1131</v>
      </c>
      <c r="B288" t="s">
        <v>1132</v>
      </c>
      <c r="C288" t="s">
        <v>1228</v>
      </c>
      <c r="D288" t="s">
        <v>1222</v>
      </c>
      <c r="E288" t="s">
        <v>1230</v>
      </c>
      <c r="G288" t="s">
        <v>1136</v>
      </c>
      <c r="H288">
        <v>288</v>
      </c>
    </row>
    <row r="289" spans="1:8">
      <c r="A289" t="s">
        <v>1131</v>
      </c>
      <c r="B289" t="s">
        <v>1132</v>
      </c>
      <c r="C289" t="s">
        <v>1228</v>
      </c>
      <c r="D289" t="s">
        <v>1222</v>
      </c>
      <c r="E289" t="s">
        <v>1230</v>
      </c>
      <c r="G289" t="s">
        <v>1136</v>
      </c>
      <c r="H289">
        <v>289</v>
      </c>
    </row>
    <row r="290" spans="1:8">
      <c r="A290" t="s">
        <v>1131</v>
      </c>
      <c r="B290" t="s">
        <v>1132</v>
      </c>
      <c r="C290" t="s">
        <v>1228</v>
      </c>
      <c r="D290" t="s">
        <v>1222</v>
      </c>
      <c r="E290" t="s">
        <v>1230</v>
      </c>
      <c r="G290" t="s">
        <v>1136</v>
      </c>
      <c r="H290">
        <v>290</v>
      </c>
    </row>
    <row r="291" spans="1:8">
      <c r="A291" t="s">
        <v>1131</v>
      </c>
      <c r="B291" t="s">
        <v>1132</v>
      </c>
      <c r="C291" t="s">
        <v>1228</v>
      </c>
      <c r="D291" t="s">
        <v>1222</v>
      </c>
      <c r="E291" t="s">
        <v>1230</v>
      </c>
      <c r="G291" t="s">
        <v>1136</v>
      </c>
      <c r="H291">
        <v>291</v>
      </c>
    </row>
    <row r="292" spans="1:8">
      <c r="A292" t="s">
        <v>1131</v>
      </c>
      <c r="B292" t="s">
        <v>1132</v>
      </c>
      <c r="C292" t="s">
        <v>1228</v>
      </c>
      <c r="D292" t="s">
        <v>1222</v>
      </c>
      <c r="E292" t="s">
        <v>1230</v>
      </c>
      <c r="G292" t="s">
        <v>1136</v>
      </c>
      <c r="H292">
        <v>292</v>
      </c>
    </row>
    <row r="293" spans="1:8">
      <c r="A293" t="s">
        <v>1131</v>
      </c>
      <c r="B293" t="s">
        <v>1132</v>
      </c>
      <c r="C293" t="s">
        <v>1228</v>
      </c>
      <c r="D293" t="s">
        <v>1222</v>
      </c>
      <c r="E293" t="s">
        <v>1230</v>
      </c>
      <c r="G293" t="s">
        <v>1136</v>
      </c>
      <c r="H293">
        <v>293</v>
      </c>
    </row>
    <row r="294" spans="1:8">
      <c r="A294" t="s">
        <v>1131</v>
      </c>
      <c r="B294" t="s">
        <v>1132</v>
      </c>
      <c r="C294" t="s">
        <v>1228</v>
      </c>
      <c r="D294" t="s">
        <v>1222</v>
      </c>
      <c r="E294" t="s">
        <v>1230</v>
      </c>
      <c r="G294" t="s">
        <v>1136</v>
      </c>
      <c r="H294">
        <v>294</v>
      </c>
    </row>
    <row r="295" spans="1:8">
      <c r="A295" t="s">
        <v>1131</v>
      </c>
      <c r="B295" t="s">
        <v>1132</v>
      </c>
      <c r="C295" t="s">
        <v>1228</v>
      </c>
      <c r="D295" t="s">
        <v>1222</v>
      </c>
      <c r="E295" t="s">
        <v>1230</v>
      </c>
      <c r="G295" t="s">
        <v>1136</v>
      </c>
      <c r="H295">
        <v>295</v>
      </c>
    </row>
    <row r="296" spans="1:8">
      <c r="A296" t="s">
        <v>1131</v>
      </c>
      <c r="B296" t="s">
        <v>1132</v>
      </c>
      <c r="C296" t="s">
        <v>1228</v>
      </c>
      <c r="D296" t="s">
        <v>1222</v>
      </c>
      <c r="E296" t="s">
        <v>1230</v>
      </c>
      <c r="G296" t="s">
        <v>1136</v>
      </c>
      <c r="H296">
        <v>296</v>
      </c>
    </row>
    <row r="297" spans="1:8">
      <c r="A297" t="s">
        <v>1131</v>
      </c>
      <c r="B297" t="s">
        <v>1132</v>
      </c>
      <c r="C297" t="s">
        <v>1228</v>
      </c>
      <c r="D297" t="s">
        <v>1222</v>
      </c>
      <c r="E297" t="s">
        <v>1229</v>
      </c>
      <c r="G297" t="s">
        <v>1136</v>
      </c>
      <c r="H297">
        <v>297</v>
      </c>
    </row>
    <row r="298" spans="1:8">
      <c r="A298" t="s">
        <v>1131</v>
      </c>
      <c r="B298" t="s">
        <v>1132</v>
      </c>
      <c r="C298" t="s">
        <v>1228</v>
      </c>
      <c r="D298" t="s">
        <v>1222</v>
      </c>
      <c r="E298" t="s">
        <v>1230</v>
      </c>
      <c r="G298" t="s">
        <v>1136</v>
      </c>
      <c r="H298">
        <v>298</v>
      </c>
    </row>
    <row r="299" spans="1:8">
      <c r="A299" t="s">
        <v>1131</v>
      </c>
      <c r="B299" t="s">
        <v>1132</v>
      </c>
      <c r="C299" t="s">
        <v>1228</v>
      </c>
      <c r="D299" t="s">
        <v>1222</v>
      </c>
      <c r="E299" t="s">
        <v>1230</v>
      </c>
      <c r="G299" t="s">
        <v>1136</v>
      </c>
      <c r="H299">
        <v>299</v>
      </c>
    </row>
    <row r="300" spans="1:8">
      <c r="A300" t="s">
        <v>1131</v>
      </c>
      <c r="B300" t="s">
        <v>1132</v>
      </c>
      <c r="C300" t="s">
        <v>1228</v>
      </c>
      <c r="D300" t="s">
        <v>1222</v>
      </c>
      <c r="E300" t="s">
        <v>1229</v>
      </c>
      <c r="G300" t="s">
        <v>1136</v>
      </c>
      <c r="H300">
        <v>300</v>
      </c>
    </row>
    <row r="301" spans="1:8">
      <c r="A301" t="s">
        <v>1131</v>
      </c>
      <c r="B301" t="s">
        <v>1132</v>
      </c>
      <c r="C301" t="s">
        <v>1228</v>
      </c>
      <c r="D301" t="s">
        <v>1222</v>
      </c>
      <c r="E301" t="s">
        <v>1230</v>
      </c>
      <c r="G301" t="s">
        <v>1136</v>
      </c>
      <c r="H301">
        <v>301</v>
      </c>
    </row>
    <row r="302" spans="1:8">
      <c r="A302" t="s">
        <v>1131</v>
      </c>
      <c r="B302" t="s">
        <v>1132</v>
      </c>
      <c r="C302" t="s">
        <v>1232</v>
      </c>
      <c r="D302" t="s">
        <v>1222</v>
      </c>
      <c r="E302" t="s">
        <v>1233</v>
      </c>
      <c r="G302" t="s">
        <v>1136</v>
      </c>
      <c r="H302">
        <v>302</v>
      </c>
    </row>
    <row r="303" spans="1:8">
      <c r="A303" t="s">
        <v>1131</v>
      </c>
      <c r="B303" t="s">
        <v>1132</v>
      </c>
      <c r="C303" t="s">
        <v>1232</v>
      </c>
      <c r="D303" t="s">
        <v>1222</v>
      </c>
      <c r="E303" t="s">
        <v>1234</v>
      </c>
      <c r="G303" t="s">
        <v>1136</v>
      </c>
      <c r="H303">
        <v>303</v>
      </c>
    </row>
    <row r="304" spans="1:8">
      <c r="A304" t="s">
        <v>1131</v>
      </c>
      <c r="B304" t="s">
        <v>1132</v>
      </c>
      <c r="C304" t="s">
        <v>1232</v>
      </c>
      <c r="D304" t="s">
        <v>1222</v>
      </c>
      <c r="E304" t="s">
        <v>1233</v>
      </c>
      <c r="G304" t="s">
        <v>1136</v>
      </c>
      <c r="H304">
        <v>304</v>
      </c>
    </row>
    <row r="305" spans="1:8">
      <c r="A305" t="s">
        <v>1131</v>
      </c>
      <c r="B305" t="s">
        <v>1132</v>
      </c>
      <c r="C305" t="s">
        <v>1232</v>
      </c>
      <c r="D305" t="s">
        <v>1222</v>
      </c>
      <c r="E305" t="s">
        <v>1233</v>
      </c>
      <c r="G305" t="s">
        <v>1136</v>
      </c>
      <c r="H305">
        <v>305</v>
      </c>
    </row>
    <row r="306" spans="1:8">
      <c r="A306" t="s">
        <v>1131</v>
      </c>
      <c r="B306" t="s">
        <v>1132</v>
      </c>
      <c r="C306" t="s">
        <v>1232</v>
      </c>
      <c r="D306" t="s">
        <v>1222</v>
      </c>
      <c r="E306" t="s">
        <v>1233</v>
      </c>
      <c r="G306" t="s">
        <v>1136</v>
      </c>
      <c r="H306">
        <v>306</v>
      </c>
    </row>
    <row r="307" spans="1:8">
      <c r="A307" t="s">
        <v>1131</v>
      </c>
      <c r="B307" t="s">
        <v>1132</v>
      </c>
      <c r="C307" t="s">
        <v>1232</v>
      </c>
      <c r="D307" t="s">
        <v>1222</v>
      </c>
      <c r="E307" t="s">
        <v>1233</v>
      </c>
      <c r="G307" t="s">
        <v>1136</v>
      </c>
      <c r="H307">
        <v>307</v>
      </c>
    </row>
    <row r="308" spans="1:8">
      <c r="A308" t="s">
        <v>1131</v>
      </c>
      <c r="B308" t="s">
        <v>1132</v>
      </c>
      <c r="C308" t="s">
        <v>1232</v>
      </c>
      <c r="D308" t="s">
        <v>1222</v>
      </c>
      <c r="E308" t="s">
        <v>1234</v>
      </c>
      <c r="G308" t="s">
        <v>1136</v>
      </c>
      <c r="H308">
        <v>308</v>
      </c>
    </row>
    <row r="309" spans="1:8">
      <c r="A309" t="s">
        <v>1131</v>
      </c>
      <c r="B309" t="s">
        <v>1132</v>
      </c>
      <c r="C309" t="s">
        <v>1232</v>
      </c>
      <c r="D309" t="s">
        <v>1222</v>
      </c>
      <c r="E309" t="s">
        <v>1233</v>
      </c>
      <c r="G309" t="s">
        <v>1136</v>
      </c>
      <c r="H309">
        <v>309</v>
      </c>
    </row>
    <row r="310" spans="1:8">
      <c r="A310" t="s">
        <v>1131</v>
      </c>
      <c r="B310" t="s">
        <v>1132</v>
      </c>
      <c r="C310" t="s">
        <v>1232</v>
      </c>
      <c r="D310" t="s">
        <v>1222</v>
      </c>
      <c r="E310" t="s">
        <v>1233</v>
      </c>
      <c r="G310" t="s">
        <v>1136</v>
      </c>
      <c r="H310">
        <v>310</v>
      </c>
    </row>
    <row r="311" spans="1:8">
      <c r="A311" t="s">
        <v>1131</v>
      </c>
      <c r="B311" t="s">
        <v>1132</v>
      </c>
      <c r="C311" t="s">
        <v>1232</v>
      </c>
      <c r="D311" t="s">
        <v>1222</v>
      </c>
      <c r="E311" t="s">
        <v>1233</v>
      </c>
      <c r="G311" t="s">
        <v>1136</v>
      </c>
      <c r="H311">
        <v>311</v>
      </c>
    </row>
    <row r="312" spans="1:8">
      <c r="A312" t="s">
        <v>1131</v>
      </c>
      <c r="B312" t="s">
        <v>1132</v>
      </c>
      <c r="C312" t="s">
        <v>1232</v>
      </c>
      <c r="D312" t="s">
        <v>1222</v>
      </c>
      <c r="E312" t="s">
        <v>1233</v>
      </c>
      <c r="G312" t="s">
        <v>1136</v>
      </c>
      <c r="H312">
        <v>312</v>
      </c>
    </row>
    <row r="313" spans="1:8">
      <c r="A313" t="s">
        <v>1131</v>
      </c>
      <c r="B313" t="s">
        <v>1132</v>
      </c>
      <c r="C313" t="s">
        <v>1232</v>
      </c>
      <c r="D313" t="s">
        <v>1222</v>
      </c>
      <c r="E313" t="s">
        <v>1234</v>
      </c>
      <c r="G313" t="s">
        <v>1136</v>
      </c>
      <c r="H313">
        <v>313</v>
      </c>
    </row>
    <row r="314" spans="1:8">
      <c r="A314" t="s">
        <v>1131</v>
      </c>
      <c r="B314" t="s">
        <v>1132</v>
      </c>
      <c r="C314" t="s">
        <v>1232</v>
      </c>
      <c r="D314" t="s">
        <v>1222</v>
      </c>
      <c r="E314" t="s">
        <v>1234</v>
      </c>
      <c r="G314" t="s">
        <v>1136</v>
      </c>
      <c r="H314">
        <v>314</v>
      </c>
    </row>
    <row r="315" spans="1:8">
      <c r="A315" t="s">
        <v>1131</v>
      </c>
      <c r="B315" t="s">
        <v>1132</v>
      </c>
      <c r="C315" t="s">
        <v>1232</v>
      </c>
      <c r="D315" t="s">
        <v>1222</v>
      </c>
      <c r="E315" t="s">
        <v>1233</v>
      </c>
      <c r="G315" t="s">
        <v>1136</v>
      </c>
      <c r="H315">
        <v>315</v>
      </c>
    </row>
    <row r="316" spans="1:8">
      <c r="A316" t="s">
        <v>1131</v>
      </c>
      <c r="B316" t="s">
        <v>1132</v>
      </c>
      <c r="C316" t="s">
        <v>1232</v>
      </c>
      <c r="D316" t="s">
        <v>1222</v>
      </c>
      <c r="E316" t="s">
        <v>1233</v>
      </c>
      <c r="G316" t="s">
        <v>1136</v>
      </c>
      <c r="H316">
        <v>316</v>
      </c>
    </row>
    <row r="317" spans="1:8">
      <c r="A317" t="s">
        <v>1131</v>
      </c>
      <c r="B317" t="s">
        <v>1132</v>
      </c>
      <c r="C317" t="s">
        <v>1232</v>
      </c>
      <c r="D317" t="s">
        <v>1222</v>
      </c>
      <c r="E317" t="s">
        <v>1234</v>
      </c>
      <c r="G317" t="s">
        <v>1136</v>
      </c>
      <c r="H317">
        <v>317</v>
      </c>
    </row>
    <row r="318" spans="1:8">
      <c r="A318" t="s">
        <v>1131</v>
      </c>
      <c r="B318" t="s">
        <v>1132</v>
      </c>
      <c r="C318" t="s">
        <v>1232</v>
      </c>
      <c r="D318" t="s">
        <v>1222</v>
      </c>
      <c r="E318" t="s">
        <v>1234</v>
      </c>
      <c r="G318" t="s">
        <v>1136</v>
      </c>
      <c r="H318">
        <v>318</v>
      </c>
    </row>
    <row r="319" spans="1:8">
      <c r="A319" t="s">
        <v>1131</v>
      </c>
      <c r="B319" t="s">
        <v>1132</v>
      </c>
      <c r="C319" t="s">
        <v>1232</v>
      </c>
      <c r="D319" t="s">
        <v>1222</v>
      </c>
      <c r="E319" t="s">
        <v>1233</v>
      </c>
      <c r="G319" t="s">
        <v>1136</v>
      </c>
      <c r="H319">
        <v>319</v>
      </c>
    </row>
    <row r="320" spans="1:8">
      <c r="A320" t="s">
        <v>1131</v>
      </c>
      <c r="B320" t="s">
        <v>1132</v>
      </c>
      <c r="C320" t="s">
        <v>1232</v>
      </c>
      <c r="D320" t="s">
        <v>1222</v>
      </c>
      <c r="E320" t="s">
        <v>1233</v>
      </c>
      <c r="G320" t="s">
        <v>1136</v>
      </c>
      <c r="H320">
        <v>320</v>
      </c>
    </row>
    <row r="321" spans="1:8">
      <c r="A321" t="s">
        <v>1131</v>
      </c>
      <c r="B321" t="s">
        <v>1132</v>
      </c>
      <c r="C321" t="s">
        <v>1232</v>
      </c>
      <c r="D321" t="s">
        <v>1222</v>
      </c>
      <c r="E321" t="s">
        <v>1234</v>
      </c>
      <c r="G321" t="s">
        <v>1136</v>
      </c>
      <c r="H321">
        <v>321</v>
      </c>
    </row>
    <row r="322" spans="1:8">
      <c r="A322" t="s">
        <v>1131</v>
      </c>
      <c r="B322" t="s">
        <v>1132</v>
      </c>
      <c r="C322" t="s">
        <v>1232</v>
      </c>
      <c r="D322" t="s">
        <v>1222</v>
      </c>
      <c r="E322" t="s">
        <v>1233</v>
      </c>
      <c r="G322" t="s">
        <v>1136</v>
      </c>
      <c r="H322">
        <v>322</v>
      </c>
    </row>
    <row r="323" spans="1:8">
      <c r="A323" t="s">
        <v>1131</v>
      </c>
      <c r="B323" t="s">
        <v>1132</v>
      </c>
      <c r="C323" t="s">
        <v>1232</v>
      </c>
      <c r="D323" t="s">
        <v>1222</v>
      </c>
      <c r="E323" t="s">
        <v>1233</v>
      </c>
      <c r="G323" t="s">
        <v>1136</v>
      </c>
      <c r="H323">
        <v>323</v>
      </c>
    </row>
    <row r="324" spans="1:8">
      <c r="A324" t="s">
        <v>1131</v>
      </c>
      <c r="B324" t="s">
        <v>1132</v>
      </c>
      <c r="C324" t="s">
        <v>1232</v>
      </c>
      <c r="D324" t="s">
        <v>1222</v>
      </c>
      <c r="E324" t="s">
        <v>1233</v>
      </c>
      <c r="G324" t="s">
        <v>1136</v>
      </c>
      <c r="H324">
        <v>324</v>
      </c>
    </row>
    <row r="325" spans="1:8">
      <c r="A325" t="s">
        <v>1131</v>
      </c>
      <c r="B325" t="s">
        <v>1132</v>
      </c>
      <c r="C325" t="s">
        <v>1232</v>
      </c>
      <c r="D325" t="s">
        <v>1222</v>
      </c>
      <c r="E325" t="s">
        <v>1234</v>
      </c>
      <c r="G325" t="s">
        <v>1136</v>
      </c>
      <c r="H325">
        <v>325</v>
      </c>
    </row>
    <row r="326" spans="1:8">
      <c r="A326" t="s">
        <v>1131</v>
      </c>
      <c r="B326" t="s">
        <v>1132</v>
      </c>
      <c r="C326" t="s">
        <v>1232</v>
      </c>
      <c r="D326" t="s">
        <v>1222</v>
      </c>
      <c r="E326" t="s">
        <v>1233</v>
      </c>
      <c r="G326" t="s">
        <v>1136</v>
      </c>
      <c r="H326">
        <v>326</v>
      </c>
    </row>
    <row r="327" spans="1:8">
      <c r="A327" t="s">
        <v>1131</v>
      </c>
      <c r="B327" t="s">
        <v>1132</v>
      </c>
      <c r="C327" t="s">
        <v>1232</v>
      </c>
      <c r="D327" t="s">
        <v>1235</v>
      </c>
      <c r="E327" t="s">
        <v>1233</v>
      </c>
      <c r="G327" t="s">
        <v>1136</v>
      </c>
      <c r="H327">
        <v>327</v>
      </c>
    </row>
    <row r="328" spans="1:8">
      <c r="A328" t="s">
        <v>1131</v>
      </c>
      <c r="B328" t="s">
        <v>1132</v>
      </c>
      <c r="C328" t="s">
        <v>1232</v>
      </c>
      <c r="D328" t="s">
        <v>1222</v>
      </c>
      <c r="E328" t="s">
        <v>1234</v>
      </c>
      <c r="G328" t="s">
        <v>1136</v>
      </c>
      <c r="H328">
        <v>328</v>
      </c>
    </row>
    <row r="329" spans="1:8">
      <c r="A329" t="s">
        <v>1131</v>
      </c>
      <c r="B329" t="s">
        <v>1132</v>
      </c>
      <c r="C329" t="s">
        <v>1133</v>
      </c>
      <c r="D329" t="s">
        <v>1222</v>
      </c>
      <c r="E329" t="s">
        <v>1227</v>
      </c>
      <c r="G329" t="s">
        <v>1136</v>
      </c>
      <c r="H329">
        <v>329</v>
      </c>
    </row>
    <row r="330" spans="1:8">
      <c r="A330" t="s">
        <v>1131</v>
      </c>
      <c r="B330" t="s">
        <v>1132</v>
      </c>
      <c r="C330" t="s">
        <v>1133</v>
      </c>
      <c r="D330" t="s">
        <v>1222</v>
      </c>
      <c r="E330" t="s">
        <v>1227</v>
      </c>
      <c r="G330" t="s">
        <v>1136</v>
      </c>
      <c r="H330">
        <v>330</v>
      </c>
    </row>
    <row r="331" spans="1:8">
      <c r="A331" t="s">
        <v>1131</v>
      </c>
      <c r="B331" t="s">
        <v>1132</v>
      </c>
      <c r="C331" t="s">
        <v>1133</v>
      </c>
      <c r="D331" t="s">
        <v>1222</v>
      </c>
      <c r="E331" t="s">
        <v>276</v>
      </c>
      <c r="G331" t="s">
        <v>1136</v>
      </c>
      <c r="H331">
        <v>331</v>
      </c>
    </row>
    <row r="332" spans="1:8">
      <c r="A332" t="s">
        <v>1131</v>
      </c>
      <c r="B332" t="s">
        <v>1132</v>
      </c>
      <c r="C332" t="s">
        <v>1236</v>
      </c>
      <c r="D332" t="s">
        <v>1222</v>
      </c>
      <c r="E332" t="s">
        <v>1237</v>
      </c>
      <c r="G332" t="s">
        <v>1136</v>
      </c>
      <c r="H332">
        <v>332</v>
      </c>
    </row>
    <row r="333" spans="1:8">
      <c r="A333" t="s">
        <v>1131</v>
      </c>
      <c r="B333" t="s">
        <v>1132</v>
      </c>
      <c r="C333" t="s">
        <v>1236</v>
      </c>
      <c r="D333" t="s">
        <v>1222</v>
      </c>
      <c r="E333" t="s">
        <v>1237</v>
      </c>
      <c r="G333" t="s">
        <v>1136</v>
      </c>
      <c r="H333">
        <v>333</v>
      </c>
    </row>
    <row r="334" spans="1:8">
      <c r="A334" t="s">
        <v>1131</v>
      </c>
      <c r="B334" t="s">
        <v>1132</v>
      </c>
      <c r="C334" t="s">
        <v>1236</v>
      </c>
      <c r="D334" t="s">
        <v>1222</v>
      </c>
      <c r="E334" t="s">
        <v>1237</v>
      </c>
      <c r="G334" t="s">
        <v>1136</v>
      </c>
      <c r="H334">
        <v>334</v>
      </c>
    </row>
    <row r="335" spans="1:8">
      <c r="A335" t="s">
        <v>1131</v>
      </c>
      <c r="B335" t="s">
        <v>1132</v>
      </c>
      <c r="C335" t="s">
        <v>1236</v>
      </c>
      <c r="D335" t="s">
        <v>1222</v>
      </c>
      <c r="E335" t="s">
        <v>1238</v>
      </c>
      <c r="G335" t="s">
        <v>1136</v>
      </c>
      <c r="H335">
        <v>335</v>
      </c>
    </row>
    <row r="336" spans="1:8">
      <c r="A336" t="s">
        <v>1131</v>
      </c>
      <c r="B336" t="s">
        <v>1132</v>
      </c>
      <c r="C336" t="s">
        <v>1236</v>
      </c>
      <c r="D336" t="s">
        <v>1222</v>
      </c>
      <c r="E336" t="s">
        <v>1237</v>
      </c>
      <c r="G336" t="s">
        <v>1136</v>
      </c>
      <c r="H336">
        <v>336</v>
      </c>
    </row>
    <row r="337" spans="1:8">
      <c r="A337" t="s">
        <v>1131</v>
      </c>
      <c r="B337" t="s">
        <v>1132</v>
      </c>
      <c r="C337" t="s">
        <v>1236</v>
      </c>
      <c r="D337" t="s">
        <v>1222</v>
      </c>
      <c r="E337" t="s">
        <v>1237</v>
      </c>
      <c r="G337" t="s">
        <v>1136</v>
      </c>
      <c r="H337">
        <v>337</v>
      </c>
    </row>
    <row r="338" spans="1:8">
      <c r="A338" t="s">
        <v>1131</v>
      </c>
      <c r="B338" t="s">
        <v>1132</v>
      </c>
      <c r="C338" t="s">
        <v>1236</v>
      </c>
      <c r="D338" t="s">
        <v>1222</v>
      </c>
      <c r="E338" t="s">
        <v>1238</v>
      </c>
      <c r="G338" t="s">
        <v>1136</v>
      </c>
      <c r="H338">
        <v>338</v>
      </c>
    </row>
    <row r="339" spans="1:8">
      <c r="A339" t="s">
        <v>1131</v>
      </c>
      <c r="B339" t="s">
        <v>1132</v>
      </c>
      <c r="C339" t="s">
        <v>1236</v>
      </c>
      <c r="D339" t="s">
        <v>1222</v>
      </c>
      <c r="E339" t="s">
        <v>1237</v>
      </c>
      <c r="G339" t="s">
        <v>1136</v>
      </c>
      <c r="H339">
        <v>339</v>
      </c>
    </row>
    <row r="340" spans="1:8">
      <c r="A340" t="s">
        <v>1131</v>
      </c>
      <c r="B340" t="s">
        <v>1132</v>
      </c>
      <c r="C340" t="s">
        <v>1236</v>
      </c>
      <c r="D340" t="s">
        <v>1222</v>
      </c>
      <c r="E340" t="s">
        <v>1237</v>
      </c>
      <c r="G340" t="s">
        <v>1136</v>
      </c>
      <c r="H340">
        <v>340</v>
      </c>
    </row>
    <row r="341" spans="1:8">
      <c r="A341" t="s">
        <v>1131</v>
      </c>
      <c r="B341" t="s">
        <v>1132</v>
      </c>
      <c r="C341" t="s">
        <v>1236</v>
      </c>
      <c r="D341" t="s">
        <v>1222</v>
      </c>
      <c r="E341" t="s">
        <v>1237</v>
      </c>
      <c r="G341" t="s">
        <v>1136</v>
      </c>
      <c r="H341">
        <v>341</v>
      </c>
    </row>
    <row r="342" spans="1:8">
      <c r="A342" t="s">
        <v>1131</v>
      </c>
      <c r="B342" t="s">
        <v>1132</v>
      </c>
      <c r="C342" t="s">
        <v>1236</v>
      </c>
      <c r="D342" t="s">
        <v>1222</v>
      </c>
      <c r="E342" t="s">
        <v>1238</v>
      </c>
      <c r="G342" t="s">
        <v>1136</v>
      </c>
      <c r="H342">
        <v>342</v>
      </c>
    </row>
    <row r="343" spans="1:8">
      <c r="A343" t="s">
        <v>1131</v>
      </c>
      <c r="B343" t="s">
        <v>1132</v>
      </c>
      <c r="C343" t="s">
        <v>1236</v>
      </c>
      <c r="D343" t="s">
        <v>1222</v>
      </c>
      <c r="E343" t="s">
        <v>1238</v>
      </c>
      <c r="G343" t="s">
        <v>1136</v>
      </c>
      <c r="H343">
        <v>343</v>
      </c>
    </row>
    <row r="344" spans="1:8">
      <c r="A344" t="s">
        <v>1131</v>
      </c>
      <c r="B344" t="s">
        <v>1132</v>
      </c>
      <c r="C344" t="s">
        <v>1236</v>
      </c>
      <c r="D344" t="s">
        <v>1222</v>
      </c>
      <c r="E344" t="s">
        <v>1238</v>
      </c>
      <c r="G344" t="s">
        <v>1136</v>
      </c>
      <c r="H344">
        <v>344</v>
      </c>
    </row>
    <row r="345" spans="1:8">
      <c r="A345" t="s">
        <v>1131</v>
      </c>
      <c r="B345" t="s">
        <v>1132</v>
      </c>
      <c r="C345" t="s">
        <v>1236</v>
      </c>
      <c r="D345" t="s">
        <v>1222</v>
      </c>
      <c r="E345" t="s">
        <v>1238</v>
      </c>
      <c r="G345" t="s">
        <v>1136</v>
      </c>
      <c r="H345">
        <v>345</v>
      </c>
    </row>
    <row r="346" spans="1:8">
      <c r="A346" t="s">
        <v>1131</v>
      </c>
      <c r="B346" t="s">
        <v>1132</v>
      </c>
      <c r="C346" t="s">
        <v>1236</v>
      </c>
      <c r="D346" t="s">
        <v>1222</v>
      </c>
      <c r="E346" t="s">
        <v>1237</v>
      </c>
      <c r="G346" t="s">
        <v>1136</v>
      </c>
      <c r="H346">
        <v>346</v>
      </c>
    </row>
    <row r="347" spans="1:8">
      <c r="A347" t="s">
        <v>1131</v>
      </c>
      <c r="B347" t="s">
        <v>1132</v>
      </c>
      <c r="C347" t="s">
        <v>1236</v>
      </c>
      <c r="D347" t="s">
        <v>1222</v>
      </c>
      <c r="E347" t="s">
        <v>1237</v>
      </c>
      <c r="G347" t="s">
        <v>1136</v>
      </c>
      <c r="H347">
        <v>347</v>
      </c>
    </row>
    <row r="348" spans="1:8">
      <c r="A348" t="s">
        <v>1131</v>
      </c>
      <c r="B348" t="s">
        <v>1132</v>
      </c>
      <c r="C348" t="s">
        <v>1236</v>
      </c>
      <c r="D348" t="s">
        <v>1222</v>
      </c>
      <c r="E348" t="s">
        <v>1238</v>
      </c>
      <c r="G348" t="s">
        <v>1136</v>
      </c>
      <c r="H348">
        <v>348</v>
      </c>
    </row>
    <row r="349" spans="1:8">
      <c r="A349" t="s">
        <v>1131</v>
      </c>
      <c r="B349" t="s">
        <v>1132</v>
      </c>
      <c r="C349" t="s">
        <v>1236</v>
      </c>
      <c r="D349" t="s">
        <v>1222</v>
      </c>
      <c r="E349" t="s">
        <v>1237</v>
      </c>
      <c r="G349" t="s">
        <v>1136</v>
      </c>
      <c r="H349">
        <v>349</v>
      </c>
    </row>
    <row r="350" spans="1:8">
      <c r="A350" t="s">
        <v>1131</v>
      </c>
      <c r="B350" t="s">
        <v>1132</v>
      </c>
      <c r="C350" t="s">
        <v>1236</v>
      </c>
      <c r="D350" t="s">
        <v>1222</v>
      </c>
      <c r="E350" t="s">
        <v>1237</v>
      </c>
      <c r="G350" t="s">
        <v>1136</v>
      </c>
      <c r="H350">
        <v>350</v>
      </c>
    </row>
    <row r="351" spans="1:8">
      <c r="A351" t="s">
        <v>1131</v>
      </c>
      <c r="B351" t="s">
        <v>1132</v>
      </c>
      <c r="C351" t="s">
        <v>1236</v>
      </c>
      <c r="D351" t="s">
        <v>1222</v>
      </c>
      <c r="E351" t="s">
        <v>1237</v>
      </c>
      <c r="G351" t="s">
        <v>1136</v>
      </c>
      <c r="H351">
        <v>351</v>
      </c>
    </row>
    <row r="352" spans="1:8">
      <c r="A352" t="s">
        <v>1131</v>
      </c>
      <c r="B352" t="s">
        <v>1132</v>
      </c>
      <c r="C352" t="s">
        <v>1236</v>
      </c>
      <c r="D352" t="s">
        <v>1222</v>
      </c>
      <c r="E352" t="s">
        <v>1237</v>
      </c>
      <c r="G352" t="s">
        <v>1136</v>
      </c>
      <c r="H352">
        <v>352</v>
      </c>
    </row>
    <row r="353" spans="1:8">
      <c r="A353" t="s">
        <v>1131</v>
      </c>
      <c r="B353" t="s">
        <v>1132</v>
      </c>
      <c r="C353" t="s">
        <v>1236</v>
      </c>
      <c r="D353" t="s">
        <v>1222</v>
      </c>
      <c r="E353" t="s">
        <v>1237</v>
      </c>
      <c r="G353" t="s">
        <v>1136</v>
      </c>
      <c r="H353">
        <v>353</v>
      </c>
    </row>
    <row r="354" spans="1:8">
      <c r="A354" t="s">
        <v>1131</v>
      </c>
      <c r="B354" t="s">
        <v>1132</v>
      </c>
      <c r="C354" t="s">
        <v>1236</v>
      </c>
      <c r="D354" t="s">
        <v>1222</v>
      </c>
      <c r="E354" t="s">
        <v>1238</v>
      </c>
      <c r="G354" t="s">
        <v>1136</v>
      </c>
      <c r="H354">
        <v>354</v>
      </c>
    </row>
    <row r="355" spans="1:8">
      <c r="A355" t="s">
        <v>1131</v>
      </c>
      <c r="B355" t="s">
        <v>1132</v>
      </c>
      <c r="C355" t="s">
        <v>1236</v>
      </c>
      <c r="D355" t="s">
        <v>1222</v>
      </c>
      <c r="E355" t="s">
        <v>1237</v>
      </c>
      <c r="G355" t="s">
        <v>1136</v>
      </c>
      <c r="H355">
        <v>355</v>
      </c>
    </row>
    <row r="356" spans="1:8">
      <c r="A356" t="s">
        <v>1131</v>
      </c>
      <c r="B356" t="s">
        <v>1132</v>
      </c>
      <c r="C356" t="s">
        <v>1236</v>
      </c>
      <c r="D356" t="s">
        <v>1222</v>
      </c>
      <c r="E356" t="s">
        <v>1238</v>
      </c>
      <c r="G356" t="s">
        <v>1136</v>
      </c>
      <c r="H356">
        <v>356</v>
      </c>
    </row>
    <row r="357" spans="1:8">
      <c r="A357" t="s">
        <v>1131</v>
      </c>
      <c r="B357" t="s">
        <v>1132</v>
      </c>
      <c r="C357" t="s">
        <v>1236</v>
      </c>
      <c r="D357" t="s">
        <v>1222</v>
      </c>
      <c r="E357" t="s">
        <v>1237</v>
      </c>
      <c r="G357" t="s">
        <v>1136</v>
      </c>
      <c r="H357">
        <v>357</v>
      </c>
    </row>
    <row r="358" spans="1:8">
      <c r="A358" t="s">
        <v>1131</v>
      </c>
      <c r="B358" t="s">
        <v>1132</v>
      </c>
      <c r="C358" t="s">
        <v>1133</v>
      </c>
      <c r="D358" t="s">
        <v>1222</v>
      </c>
      <c r="E358" t="s">
        <v>1227</v>
      </c>
      <c r="G358" t="s">
        <v>1136</v>
      </c>
      <c r="H358">
        <v>358</v>
      </c>
    </row>
    <row r="359" spans="1:8">
      <c r="A359" t="s">
        <v>1131</v>
      </c>
      <c r="B359" t="s">
        <v>1132</v>
      </c>
      <c r="C359" t="s">
        <v>1133</v>
      </c>
      <c r="D359" t="s">
        <v>1222</v>
      </c>
      <c r="E359" t="s">
        <v>1239</v>
      </c>
      <c r="G359" t="s">
        <v>1136</v>
      </c>
      <c r="H359">
        <v>359</v>
      </c>
    </row>
    <row r="360" spans="1:8">
      <c r="A360" t="s">
        <v>1131</v>
      </c>
      <c r="B360" t="s">
        <v>1132</v>
      </c>
      <c r="C360" t="s">
        <v>1133</v>
      </c>
      <c r="D360" t="s">
        <v>1222</v>
      </c>
      <c r="E360" t="s">
        <v>1239</v>
      </c>
      <c r="G360" t="s">
        <v>1136</v>
      </c>
      <c r="H360">
        <v>360</v>
      </c>
    </row>
    <row r="361" spans="1:8">
      <c r="A361" t="s">
        <v>1131</v>
      </c>
      <c r="B361" t="s">
        <v>1132</v>
      </c>
      <c r="C361" t="s">
        <v>1133</v>
      </c>
      <c r="D361" t="s">
        <v>1222</v>
      </c>
      <c r="E361" t="s">
        <v>1239</v>
      </c>
      <c r="G361" t="s">
        <v>1136</v>
      </c>
      <c r="H361">
        <v>361</v>
      </c>
    </row>
    <row r="362" spans="1:8">
      <c r="A362" t="s">
        <v>1131</v>
      </c>
      <c r="B362" t="s">
        <v>1132</v>
      </c>
      <c r="C362" t="s">
        <v>1133</v>
      </c>
      <c r="D362" t="s">
        <v>1222</v>
      </c>
      <c r="E362" t="s">
        <v>1239</v>
      </c>
      <c r="G362" t="s">
        <v>1136</v>
      </c>
      <c r="H362">
        <v>362</v>
      </c>
    </row>
    <row r="363" spans="1:8">
      <c r="A363" t="s">
        <v>1131</v>
      </c>
      <c r="B363" t="s">
        <v>1132</v>
      </c>
      <c r="C363" t="s">
        <v>1133</v>
      </c>
      <c r="D363" t="s">
        <v>1222</v>
      </c>
      <c r="E363" t="s">
        <v>1239</v>
      </c>
      <c r="G363" t="s">
        <v>1136</v>
      </c>
      <c r="H363">
        <v>363</v>
      </c>
    </row>
    <row r="364" spans="1:8">
      <c r="A364" t="s">
        <v>1131</v>
      </c>
      <c r="B364" t="s">
        <v>1132</v>
      </c>
      <c r="C364" t="s">
        <v>1133</v>
      </c>
      <c r="D364" t="s">
        <v>1222</v>
      </c>
      <c r="E364" t="s">
        <v>1239</v>
      </c>
      <c r="G364" t="s">
        <v>1136</v>
      </c>
      <c r="H364">
        <v>364</v>
      </c>
    </row>
    <row r="365" spans="1:8">
      <c r="A365" t="s">
        <v>1131</v>
      </c>
      <c r="B365" t="s">
        <v>1132</v>
      </c>
      <c r="C365" t="s">
        <v>1133</v>
      </c>
      <c r="D365" t="s">
        <v>1222</v>
      </c>
      <c r="E365" t="s">
        <v>1239</v>
      </c>
      <c r="G365" t="s">
        <v>1136</v>
      </c>
      <c r="H365">
        <v>365</v>
      </c>
    </row>
    <row r="366" spans="1:8">
      <c r="A366" t="s">
        <v>1131</v>
      </c>
      <c r="B366" t="s">
        <v>1132</v>
      </c>
      <c r="C366" t="s">
        <v>1133</v>
      </c>
      <c r="D366" t="s">
        <v>1222</v>
      </c>
      <c r="E366" t="s">
        <v>1239</v>
      </c>
      <c r="G366" t="s">
        <v>1136</v>
      </c>
      <c r="H366">
        <v>366</v>
      </c>
    </row>
    <row r="367" spans="1:8">
      <c r="A367" t="s">
        <v>1131</v>
      </c>
      <c r="B367" t="s">
        <v>1132</v>
      </c>
      <c r="C367" t="s">
        <v>1133</v>
      </c>
      <c r="D367" t="s">
        <v>1222</v>
      </c>
      <c r="E367" t="s">
        <v>1239</v>
      </c>
      <c r="G367" t="s">
        <v>1136</v>
      </c>
      <c r="H367">
        <v>367</v>
      </c>
    </row>
    <row r="368" spans="1:8">
      <c r="A368" t="s">
        <v>1131</v>
      </c>
      <c r="B368" t="s">
        <v>1132</v>
      </c>
      <c r="C368" t="s">
        <v>1133</v>
      </c>
      <c r="D368" t="s">
        <v>1222</v>
      </c>
      <c r="E368" t="s">
        <v>1225</v>
      </c>
      <c r="G368" t="s">
        <v>1136</v>
      </c>
      <c r="H368">
        <v>368</v>
      </c>
    </row>
    <row r="369" spans="1:8">
      <c r="A369" t="s">
        <v>1131</v>
      </c>
      <c r="B369" t="s">
        <v>1132</v>
      </c>
      <c r="C369" t="s">
        <v>1240</v>
      </c>
      <c r="D369" t="s">
        <v>1222</v>
      </c>
      <c r="E369" t="s">
        <v>1241</v>
      </c>
      <c r="G369" t="s">
        <v>1136</v>
      </c>
      <c r="H369">
        <v>369</v>
      </c>
    </row>
    <row r="370" spans="1:8">
      <c r="A370" t="s">
        <v>1131</v>
      </c>
      <c r="B370" t="s">
        <v>1132</v>
      </c>
      <c r="C370" t="s">
        <v>1240</v>
      </c>
      <c r="D370" t="s">
        <v>1222</v>
      </c>
      <c r="E370" t="s">
        <v>1242</v>
      </c>
      <c r="G370" t="s">
        <v>1136</v>
      </c>
      <c r="H370">
        <v>370</v>
      </c>
    </row>
    <row r="371" spans="1:8">
      <c r="A371" t="s">
        <v>1131</v>
      </c>
      <c r="B371" t="s">
        <v>1132</v>
      </c>
      <c r="C371" t="s">
        <v>1240</v>
      </c>
      <c r="D371" t="s">
        <v>1222</v>
      </c>
      <c r="E371" t="s">
        <v>1242</v>
      </c>
      <c r="G371" t="s">
        <v>1136</v>
      </c>
      <c r="H371">
        <v>371</v>
      </c>
    </row>
    <row r="372" spans="1:8">
      <c r="A372" t="s">
        <v>1131</v>
      </c>
      <c r="B372" t="s">
        <v>1132</v>
      </c>
      <c r="C372" t="s">
        <v>1240</v>
      </c>
      <c r="D372" t="s">
        <v>1222</v>
      </c>
      <c r="E372" t="s">
        <v>1242</v>
      </c>
      <c r="G372" t="s">
        <v>1136</v>
      </c>
      <c r="H372">
        <v>372</v>
      </c>
    </row>
    <row r="373" spans="1:8">
      <c r="A373" t="s">
        <v>1131</v>
      </c>
      <c r="B373" t="s">
        <v>1132</v>
      </c>
      <c r="C373" t="s">
        <v>1240</v>
      </c>
      <c r="D373" t="s">
        <v>1222</v>
      </c>
      <c r="E373" t="s">
        <v>1241</v>
      </c>
      <c r="G373" t="s">
        <v>1136</v>
      </c>
      <c r="H373">
        <v>373</v>
      </c>
    </row>
    <row r="374" spans="1:8">
      <c r="A374" t="s">
        <v>1131</v>
      </c>
      <c r="B374" t="s">
        <v>1132</v>
      </c>
      <c r="C374" t="s">
        <v>1240</v>
      </c>
      <c r="D374" t="s">
        <v>1222</v>
      </c>
      <c r="E374" t="s">
        <v>1242</v>
      </c>
      <c r="G374" t="s">
        <v>1136</v>
      </c>
      <c r="H374">
        <v>374</v>
      </c>
    </row>
    <row r="375" spans="1:8">
      <c r="A375" t="s">
        <v>1131</v>
      </c>
      <c r="B375" t="s">
        <v>1132</v>
      </c>
      <c r="C375" t="s">
        <v>1240</v>
      </c>
      <c r="D375" t="s">
        <v>1222</v>
      </c>
      <c r="E375" t="s">
        <v>1242</v>
      </c>
      <c r="G375" t="s">
        <v>1136</v>
      </c>
      <c r="H375">
        <v>375</v>
      </c>
    </row>
    <row r="376" spans="1:8">
      <c r="A376" t="s">
        <v>1131</v>
      </c>
      <c r="B376" t="s">
        <v>1132</v>
      </c>
      <c r="C376" t="s">
        <v>1240</v>
      </c>
      <c r="D376" t="s">
        <v>1222</v>
      </c>
      <c r="E376" t="s">
        <v>1242</v>
      </c>
      <c r="G376" t="s">
        <v>1136</v>
      </c>
      <c r="H376">
        <v>376</v>
      </c>
    </row>
    <row r="377" spans="1:8">
      <c r="A377" t="s">
        <v>1131</v>
      </c>
      <c r="B377" t="s">
        <v>1132</v>
      </c>
      <c r="C377" t="s">
        <v>1240</v>
      </c>
      <c r="D377" t="s">
        <v>1222</v>
      </c>
      <c r="E377" t="s">
        <v>1243</v>
      </c>
      <c r="G377" t="s">
        <v>1136</v>
      </c>
      <c r="H377">
        <v>377</v>
      </c>
    </row>
    <row r="378" spans="1:8">
      <c r="A378" t="s">
        <v>1131</v>
      </c>
      <c r="B378" t="s">
        <v>1132</v>
      </c>
      <c r="C378" t="s">
        <v>1240</v>
      </c>
      <c r="D378" t="s">
        <v>1222</v>
      </c>
      <c r="E378" t="s">
        <v>1242</v>
      </c>
      <c r="G378" t="s">
        <v>1136</v>
      </c>
      <c r="H378">
        <v>378</v>
      </c>
    </row>
    <row r="379" spans="1:8">
      <c r="A379" t="s">
        <v>1131</v>
      </c>
      <c r="B379" t="s">
        <v>1132</v>
      </c>
      <c r="C379" t="s">
        <v>1240</v>
      </c>
      <c r="D379" t="s">
        <v>1222</v>
      </c>
      <c r="E379" t="s">
        <v>1242</v>
      </c>
      <c r="G379" t="s">
        <v>1136</v>
      </c>
      <c r="H379">
        <v>379</v>
      </c>
    </row>
    <row r="380" spans="1:8">
      <c r="A380" t="s">
        <v>1131</v>
      </c>
      <c r="B380" t="s">
        <v>1132</v>
      </c>
      <c r="C380" t="s">
        <v>1240</v>
      </c>
      <c r="D380" t="s">
        <v>1222</v>
      </c>
      <c r="E380" t="s">
        <v>1242</v>
      </c>
      <c r="G380" t="s">
        <v>1136</v>
      </c>
      <c r="H380">
        <v>380</v>
      </c>
    </row>
    <row r="381" spans="1:8">
      <c r="A381" t="s">
        <v>1131</v>
      </c>
      <c r="B381" t="s">
        <v>1132</v>
      </c>
      <c r="C381" t="s">
        <v>1240</v>
      </c>
      <c r="D381" t="s">
        <v>1222</v>
      </c>
      <c r="E381" t="s">
        <v>1242</v>
      </c>
      <c r="G381" t="s">
        <v>1136</v>
      </c>
      <c r="H381">
        <v>381</v>
      </c>
    </row>
    <row r="382" spans="1:8">
      <c r="A382" t="s">
        <v>1131</v>
      </c>
      <c r="B382" t="s">
        <v>1132</v>
      </c>
      <c r="C382" t="s">
        <v>1240</v>
      </c>
      <c r="D382" t="s">
        <v>1222</v>
      </c>
      <c r="E382" t="s">
        <v>1242</v>
      </c>
      <c r="G382" t="s">
        <v>1136</v>
      </c>
      <c r="H382">
        <v>382</v>
      </c>
    </row>
    <row r="383" spans="1:8">
      <c r="A383" t="s">
        <v>1131</v>
      </c>
      <c r="B383" t="s">
        <v>1132</v>
      </c>
      <c r="C383" t="s">
        <v>1240</v>
      </c>
      <c r="D383" t="s">
        <v>1222</v>
      </c>
      <c r="E383" t="s">
        <v>1242</v>
      </c>
      <c r="G383" t="s">
        <v>1136</v>
      </c>
      <c r="H383">
        <v>383</v>
      </c>
    </row>
    <row r="384" spans="1:8">
      <c r="A384" t="s">
        <v>1131</v>
      </c>
      <c r="B384" t="s">
        <v>1132</v>
      </c>
      <c r="C384" t="s">
        <v>1240</v>
      </c>
      <c r="D384" t="s">
        <v>1222</v>
      </c>
      <c r="E384" t="s">
        <v>1241</v>
      </c>
      <c r="G384" t="s">
        <v>1136</v>
      </c>
      <c r="H384">
        <v>384</v>
      </c>
    </row>
    <row r="385" spans="1:8">
      <c r="A385" t="s">
        <v>1131</v>
      </c>
      <c r="B385" t="s">
        <v>1132</v>
      </c>
      <c r="C385" t="s">
        <v>1240</v>
      </c>
      <c r="D385" t="s">
        <v>1222</v>
      </c>
      <c r="E385" t="s">
        <v>1242</v>
      </c>
      <c r="G385" t="s">
        <v>1136</v>
      </c>
      <c r="H385">
        <v>385</v>
      </c>
    </row>
    <row r="386" spans="1:8">
      <c r="A386" t="s">
        <v>1131</v>
      </c>
      <c r="B386" t="s">
        <v>1132</v>
      </c>
      <c r="C386" t="s">
        <v>1240</v>
      </c>
      <c r="D386" t="s">
        <v>1222</v>
      </c>
      <c r="E386" t="s">
        <v>1242</v>
      </c>
      <c r="G386" t="s">
        <v>1136</v>
      </c>
      <c r="H386">
        <v>386</v>
      </c>
    </row>
    <row r="387" spans="1:8">
      <c r="A387" t="s">
        <v>1131</v>
      </c>
      <c r="B387" t="s">
        <v>1132</v>
      </c>
      <c r="C387" t="s">
        <v>1240</v>
      </c>
      <c r="D387" t="s">
        <v>1222</v>
      </c>
      <c r="E387" t="s">
        <v>1243</v>
      </c>
      <c r="G387" t="s">
        <v>1136</v>
      </c>
      <c r="H387">
        <v>387</v>
      </c>
    </row>
    <row r="388" spans="1:8">
      <c r="A388" t="s">
        <v>1131</v>
      </c>
      <c r="B388" t="s">
        <v>1132</v>
      </c>
      <c r="C388" t="s">
        <v>1240</v>
      </c>
      <c r="D388" t="s">
        <v>1222</v>
      </c>
      <c r="E388" t="s">
        <v>1243</v>
      </c>
      <c r="G388" t="s">
        <v>1136</v>
      </c>
      <c r="H388">
        <v>388</v>
      </c>
    </row>
    <row r="389" spans="1:8">
      <c r="A389" t="s">
        <v>1131</v>
      </c>
      <c r="B389" t="s">
        <v>1132</v>
      </c>
      <c r="C389" t="s">
        <v>1240</v>
      </c>
      <c r="D389" t="s">
        <v>1222</v>
      </c>
      <c r="E389" t="s">
        <v>1242</v>
      </c>
      <c r="G389" t="s">
        <v>1136</v>
      </c>
      <c r="H389">
        <v>389</v>
      </c>
    </row>
    <row r="390" spans="1:8">
      <c r="A390" t="s">
        <v>1131</v>
      </c>
      <c r="B390" t="s">
        <v>1132</v>
      </c>
      <c r="C390" t="s">
        <v>1240</v>
      </c>
      <c r="D390" t="s">
        <v>1222</v>
      </c>
      <c r="E390" t="s">
        <v>1242</v>
      </c>
      <c r="G390" t="s">
        <v>1136</v>
      </c>
      <c r="H390">
        <v>390</v>
      </c>
    </row>
    <row r="391" spans="1:8">
      <c r="A391" t="s">
        <v>1131</v>
      </c>
      <c r="B391" t="s">
        <v>1132</v>
      </c>
      <c r="C391" t="s">
        <v>1240</v>
      </c>
      <c r="D391" t="s">
        <v>1222</v>
      </c>
      <c r="E391" t="s">
        <v>1242</v>
      </c>
      <c r="G391" t="s">
        <v>1136</v>
      </c>
      <c r="H391">
        <v>391</v>
      </c>
    </row>
    <row r="392" spans="1:8">
      <c r="A392" t="s">
        <v>1131</v>
      </c>
      <c r="B392" t="s">
        <v>1132</v>
      </c>
      <c r="C392" t="s">
        <v>1240</v>
      </c>
      <c r="D392" t="s">
        <v>1222</v>
      </c>
      <c r="E392" t="s">
        <v>1242</v>
      </c>
      <c r="G392" t="s">
        <v>1136</v>
      </c>
      <c r="H392">
        <v>392</v>
      </c>
    </row>
    <row r="393" spans="1:8">
      <c r="A393" t="s">
        <v>1131</v>
      </c>
      <c r="B393" t="s">
        <v>1132</v>
      </c>
      <c r="C393" t="s">
        <v>1240</v>
      </c>
      <c r="D393" t="s">
        <v>1222</v>
      </c>
      <c r="E393" t="s">
        <v>1242</v>
      </c>
      <c r="G393" t="s">
        <v>1136</v>
      </c>
      <c r="H393">
        <v>393</v>
      </c>
    </row>
    <row r="394" spans="1:8">
      <c r="A394" t="s">
        <v>1131</v>
      </c>
      <c r="B394" t="s">
        <v>1132</v>
      </c>
      <c r="C394" t="s">
        <v>1240</v>
      </c>
      <c r="D394" t="s">
        <v>1222</v>
      </c>
      <c r="E394" t="s">
        <v>1242</v>
      </c>
      <c r="G394" t="s">
        <v>1136</v>
      </c>
      <c r="H394">
        <v>394</v>
      </c>
    </row>
    <row r="395" spans="1:8">
      <c r="A395" t="s">
        <v>1131</v>
      </c>
      <c r="B395" t="s">
        <v>1132</v>
      </c>
      <c r="C395" t="s">
        <v>1240</v>
      </c>
      <c r="D395" t="s">
        <v>1222</v>
      </c>
      <c r="E395" t="s">
        <v>1242</v>
      </c>
      <c r="G395" t="s">
        <v>1136</v>
      </c>
      <c r="H395">
        <v>395</v>
      </c>
    </row>
    <row r="396" spans="1:8">
      <c r="A396" t="s">
        <v>1131</v>
      </c>
      <c r="B396" t="s">
        <v>1132</v>
      </c>
      <c r="C396" t="s">
        <v>1240</v>
      </c>
      <c r="D396" t="s">
        <v>1222</v>
      </c>
      <c r="E396" t="s">
        <v>1242</v>
      </c>
      <c r="G396" t="s">
        <v>1136</v>
      </c>
      <c r="H396">
        <v>396</v>
      </c>
    </row>
    <row r="397" spans="1:8">
      <c r="A397" t="s">
        <v>1131</v>
      </c>
      <c r="B397" t="s">
        <v>1132</v>
      </c>
      <c r="C397" t="s">
        <v>1240</v>
      </c>
      <c r="D397" t="s">
        <v>1222</v>
      </c>
      <c r="E397" t="s">
        <v>1242</v>
      </c>
      <c r="G397" t="s">
        <v>1136</v>
      </c>
      <c r="H397">
        <v>397</v>
      </c>
    </row>
    <row r="398" spans="1:8">
      <c r="A398" t="s">
        <v>1131</v>
      </c>
      <c r="B398" t="s">
        <v>1132</v>
      </c>
      <c r="C398" t="s">
        <v>1240</v>
      </c>
      <c r="D398" t="s">
        <v>1222</v>
      </c>
      <c r="E398" t="s">
        <v>1242</v>
      </c>
      <c r="G398" t="s">
        <v>1136</v>
      </c>
      <c r="H398">
        <v>398</v>
      </c>
    </row>
    <row r="399" spans="1:8">
      <c r="A399" t="s">
        <v>1131</v>
      </c>
      <c r="B399" t="s">
        <v>1132</v>
      </c>
      <c r="C399" t="s">
        <v>1240</v>
      </c>
      <c r="D399" t="s">
        <v>1222</v>
      </c>
      <c r="E399" t="s">
        <v>1242</v>
      </c>
      <c r="G399" t="s">
        <v>1136</v>
      </c>
      <c r="H399">
        <v>399</v>
      </c>
    </row>
    <row r="400" spans="1:8">
      <c r="A400" t="s">
        <v>1131</v>
      </c>
      <c r="B400" t="s">
        <v>1132</v>
      </c>
      <c r="C400" t="s">
        <v>1240</v>
      </c>
      <c r="D400" t="s">
        <v>1222</v>
      </c>
      <c r="E400" t="s">
        <v>1241</v>
      </c>
      <c r="G400" t="s">
        <v>1136</v>
      </c>
      <c r="H400">
        <v>400</v>
      </c>
    </row>
    <row r="401" spans="1:8">
      <c r="A401" t="s">
        <v>1131</v>
      </c>
      <c r="B401" t="s">
        <v>1132</v>
      </c>
      <c r="C401" t="s">
        <v>1240</v>
      </c>
      <c r="D401" t="s">
        <v>1222</v>
      </c>
      <c r="E401" t="s">
        <v>1242</v>
      </c>
      <c r="G401" t="s">
        <v>1136</v>
      </c>
      <c r="H401">
        <v>401</v>
      </c>
    </row>
    <row r="402" spans="1:8">
      <c r="A402" t="s">
        <v>1131</v>
      </c>
      <c r="B402" t="s">
        <v>1132</v>
      </c>
      <c r="C402" t="s">
        <v>1240</v>
      </c>
      <c r="D402" t="s">
        <v>1222</v>
      </c>
      <c r="E402" t="s">
        <v>1242</v>
      </c>
      <c r="G402" t="s">
        <v>1136</v>
      </c>
      <c r="H402">
        <v>402</v>
      </c>
    </row>
    <row r="403" spans="1:8">
      <c r="A403" t="s">
        <v>1131</v>
      </c>
      <c r="B403" t="s">
        <v>1132</v>
      </c>
      <c r="C403" t="s">
        <v>1240</v>
      </c>
      <c r="D403" t="s">
        <v>1222</v>
      </c>
      <c r="E403" t="s">
        <v>1242</v>
      </c>
      <c r="G403" t="s">
        <v>1136</v>
      </c>
      <c r="H403">
        <v>403</v>
      </c>
    </row>
    <row r="404" spans="1:8">
      <c r="A404" t="s">
        <v>1131</v>
      </c>
      <c r="B404" t="s">
        <v>1132</v>
      </c>
      <c r="C404" t="s">
        <v>1133</v>
      </c>
      <c r="D404" t="s">
        <v>1244</v>
      </c>
      <c r="E404" t="s">
        <v>1245</v>
      </c>
      <c r="G404" t="s">
        <v>1136</v>
      </c>
      <c r="H404">
        <v>404</v>
      </c>
    </row>
    <row r="405" spans="1:8">
      <c r="A405" t="s">
        <v>1131</v>
      </c>
      <c r="B405" t="s">
        <v>1132</v>
      </c>
      <c r="C405" t="s">
        <v>1133</v>
      </c>
      <c r="D405" t="s">
        <v>1244</v>
      </c>
      <c r="E405" t="s">
        <v>1245</v>
      </c>
      <c r="G405" t="s">
        <v>1136</v>
      </c>
      <c r="H405">
        <v>405</v>
      </c>
    </row>
    <row r="406" spans="1:8">
      <c r="A406" t="s">
        <v>1131</v>
      </c>
      <c r="B406" t="s">
        <v>1132</v>
      </c>
      <c r="C406" t="s">
        <v>1133</v>
      </c>
      <c r="D406" t="s">
        <v>1244</v>
      </c>
      <c r="E406" t="s">
        <v>1245</v>
      </c>
      <c r="G406" t="s">
        <v>1136</v>
      </c>
      <c r="H406">
        <v>406</v>
      </c>
    </row>
    <row r="407" spans="1:8">
      <c r="A407" t="s">
        <v>1131</v>
      </c>
      <c r="B407" t="s">
        <v>1132</v>
      </c>
      <c r="C407" t="s">
        <v>1133</v>
      </c>
      <c r="D407" t="s">
        <v>1244</v>
      </c>
      <c r="E407" t="s">
        <v>1245</v>
      </c>
      <c r="G407" t="s">
        <v>1136</v>
      </c>
      <c r="H407">
        <v>407</v>
      </c>
    </row>
    <row r="408" spans="1:8">
      <c r="A408" t="s">
        <v>1131</v>
      </c>
      <c r="B408" t="s">
        <v>1132</v>
      </c>
      <c r="C408" t="s">
        <v>1133</v>
      </c>
      <c r="D408" t="s">
        <v>1244</v>
      </c>
      <c r="E408" t="s">
        <v>1245</v>
      </c>
      <c r="G408" t="s">
        <v>1136</v>
      </c>
      <c r="H408">
        <v>408</v>
      </c>
    </row>
    <row r="409" spans="1:8">
      <c r="A409" t="s">
        <v>1131</v>
      </c>
      <c r="B409" t="s">
        <v>1132</v>
      </c>
      <c r="C409" t="s">
        <v>1133</v>
      </c>
      <c r="D409" t="s">
        <v>1244</v>
      </c>
      <c r="E409" t="s">
        <v>1245</v>
      </c>
      <c r="G409" t="s">
        <v>1136</v>
      </c>
      <c r="H409">
        <v>409</v>
      </c>
    </row>
    <row r="410" spans="1:8">
      <c r="A410" t="s">
        <v>1131</v>
      </c>
      <c r="B410" t="s">
        <v>1132</v>
      </c>
      <c r="C410" t="s">
        <v>1133</v>
      </c>
      <c r="D410" t="s">
        <v>1244</v>
      </c>
      <c r="E410" t="s">
        <v>1245</v>
      </c>
      <c r="G410" t="s">
        <v>1136</v>
      </c>
      <c r="H410">
        <v>410</v>
      </c>
    </row>
    <row r="411" spans="1:8">
      <c r="A411" t="s">
        <v>1131</v>
      </c>
      <c r="B411" t="s">
        <v>1132</v>
      </c>
      <c r="C411" t="s">
        <v>1133</v>
      </c>
      <c r="D411" t="s">
        <v>1244</v>
      </c>
      <c r="E411" t="s">
        <v>1246</v>
      </c>
      <c r="G411" t="s">
        <v>1136</v>
      </c>
      <c r="H411">
        <v>411</v>
      </c>
    </row>
    <row r="412" spans="1:8">
      <c r="A412" t="s">
        <v>1131</v>
      </c>
      <c r="B412" t="s">
        <v>1132</v>
      </c>
      <c r="C412" t="s">
        <v>1133</v>
      </c>
      <c r="D412" t="s">
        <v>1244</v>
      </c>
      <c r="E412" t="s">
        <v>1246</v>
      </c>
      <c r="G412" t="s">
        <v>1136</v>
      </c>
      <c r="H412">
        <v>412</v>
      </c>
    </row>
    <row r="413" spans="1:8">
      <c r="A413" t="s">
        <v>1131</v>
      </c>
      <c r="B413" t="s">
        <v>1132</v>
      </c>
      <c r="C413" t="s">
        <v>1133</v>
      </c>
      <c r="D413" t="s">
        <v>1244</v>
      </c>
      <c r="E413" t="s">
        <v>1246</v>
      </c>
      <c r="G413" t="s">
        <v>1136</v>
      </c>
      <c r="H413">
        <v>413</v>
      </c>
    </row>
    <row r="414" spans="1:8">
      <c r="A414" t="s">
        <v>1131</v>
      </c>
      <c r="B414" t="s">
        <v>1132</v>
      </c>
      <c r="C414" t="s">
        <v>1133</v>
      </c>
      <c r="D414" t="s">
        <v>1244</v>
      </c>
      <c r="E414" t="s">
        <v>1246</v>
      </c>
      <c r="G414" t="s">
        <v>1136</v>
      </c>
      <c r="H414">
        <v>414</v>
      </c>
    </row>
    <row r="415" spans="1:8">
      <c r="A415" t="s">
        <v>1131</v>
      </c>
      <c r="B415" t="s">
        <v>1132</v>
      </c>
      <c r="C415" t="s">
        <v>1133</v>
      </c>
      <c r="D415" t="s">
        <v>1244</v>
      </c>
      <c r="E415" t="s">
        <v>1246</v>
      </c>
      <c r="G415" t="s">
        <v>1136</v>
      </c>
      <c r="H415">
        <v>415</v>
      </c>
    </row>
    <row r="416" spans="1:8">
      <c r="A416" t="s">
        <v>1131</v>
      </c>
      <c r="B416" t="s">
        <v>1132</v>
      </c>
      <c r="C416" t="s">
        <v>1133</v>
      </c>
      <c r="D416" t="s">
        <v>1244</v>
      </c>
      <c r="E416" t="s">
        <v>1246</v>
      </c>
      <c r="G416" t="s">
        <v>1136</v>
      </c>
      <c r="H416">
        <v>416</v>
      </c>
    </row>
    <row r="417" spans="1:8">
      <c r="A417" t="s">
        <v>1131</v>
      </c>
      <c r="B417" t="s">
        <v>1132</v>
      </c>
      <c r="C417" t="s">
        <v>1133</v>
      </c>
      <c r="D417" t="s">
        <v>1244</v>
      </c>
      <c r="E417" t="s">
        <v>1246</v>
      </c>
      <c r="G417" t="s">
        <v>1136</v>
      </c>
      <c r="H417">
        <v>417</v>
      </c>
    </row>
    <row r="418" spans="1:8">
      <c r="A418" t="s">
        <v>1131</v>
      </c>
      <c r="B418" t="s">
        <v>1132</v>
      </c>
      <c r="C418" t="s">
        <v>1133</v>
      </c>
      <c r="D418" t="s">
        <v>1244</v>
      </c>
      <c r="E418" t="s">
        <v>1245</v>
      </c>
      <c r="G418" t="s">
        <v>1136</v>
      </c>
      <c r="H418">
        <v>418</v>
      </c>
    </row>
    <row r="419" spans="1:8">
      <c r="A419" t="s">
        <v>1131</v>
      </c>
      <c r="B419" t="s">
        <v>1132</v>
      </c>
      <c r="C419" t="s">
        <v>1133</v>
      </c>
      <c r="D419" t="s">
        <v>1244</v>
      </c>
      <c r="E419" t="s">
        <v>1246</v>
      </c>
      <c r="G419" t="s">
        <v>1136</v>
      </c>
      <c r="H419">
        <v>419</v>
      </c>
    </row>
    <row r="420" spans="1:8">
      <c r="A420" t="s">
        <v>1131</v>
      </c>
      <c r="B420" t="s">
        <v>1132</v>
      </c>
      <c r="C420" t="s">
        <v>1133</v>
      </c>
      <c r="D420" t="s">
        <v>1244</v>
      </c>
      <c r="E420" t="s">
        <v>1246</v>
      </c>
      <c r="G420" t="s">
        <v>1136</v>
      </c>
      <c r="H420">
        <v>420</v>
      </c>
    </row>
    <row r="421" spans="1:8">
      <c r="A421" t="s">
        <v>1131</v>
      </c>
      <c r="B421" t="s">
        <v>1132</v>
      </c>
      <c r="C421" t="s">
        <v>1133</v>
      </c>
      <c r="D421" t="s">
        <v>1244</v>
      </c>
      <c r="E421" t="s">
        <v>1246</v>
      </c>
      <c r="G421" t="s">
        <v>1136</v>
      </c>
      <c r="H421">
        <v>421</v>
      </c>
    </row>
    <row r="422" spans="1:8">
      <c r="A422" t="s">
        <v>1131</v>
      </c>
      <c r="B422" t="s">
        <v>1132</v>
      </c>
      <c r="C422" t="s">
        <v>1133</v>
      </c>
      <c r="D422" t="s">
        <v>1244</v>
      </c>
      <c r="E422" t="s">
        <v>1246</v>
      </c>
      <c r="G422" t="s">
        <v>1136</v>
      </c>
      <c r="H422">
        <v>422</v>
      </c>
    </row>
    <row r="423" spans="1:8">
      <c r="A423" t="s">
        <v>1131</v>
      </c>
      <c r="B423" t="s">
        <v>1132</v>
      </c>
      <c r="C423" t="s">
        <v>1133</v>
      </c>
      <c r="D423" t="s">
        <v>1244</v>
      </c>
      <c r="E423" t="s">
        <v>1246</v>
      </c>
      <c r="G423" t="s">
        <v>1136</v>
      </c>
      <c r="H423">
        <v>423</v>
      </c>
    </row>
    <row r="424" spans="1:8">
      <c r="A424" t="s">
        <v>1131</v>
      </c>
      <c r="B424" t="s">
        <v>1132</v>
      </c>
      <c r="C424" t="s">
        <v>1133</v>
      </c>
      <c r="D424" t="s">
        <v>1244</v>
      </c>
      <c r="E424" t="s">
        <v>1246</v>
      </c>
      <c r="G424" t="s">
        <v>1136</v>
      </c>
      <c r="H424">
        <v>424</v>
      </c>
    </row>
    <row r="425" spans="1:8">
      <c r="A425" t="s">
        <v>1131</v>
      </c>
      <c r="B425" t="s">
        <v>1132</v>
      </c>
      <c r="C425" t="s">
        <v>1133</v>
      </c>
      <c r="D425" t="s">
        <v>1244</v>
      </c>
      <c r="E425" t="s">
        <v>1246</v>
      </c>
      <c r="G425" t="s">
        <v>1136</v>
      </c>
      <c r="H425">
        <v>425</v>
      </c>
    </row>
    <row r="426" spans="1:8">
      <c r="A426" t="s">
        <v>1131</v>
      </c>
      <c r="B426" t="s">
        <v>1132</v>
      </c>
      <c r="C426" t="s">
        <v>1133</v>
      </c>
      <c r="D426" t="s">
        <v>1244</v>
      </c>
      <c r="E426" t="s">
        <v>1246</v>
      </c>
      <c r="G426" t="s">
        <v>1136</v>
      </c>
      <c r="H426">
        <v>426</v>
      </c>
    </row>
    <row r="427" spans="1:8">
      <c r="A427" t="s">
        <v>1131</v>
      </c>
      <c r="B427" t="s">
        <v>1132</v>
      </c>
      <c r="C427" t="s">
        <v>1133</v>
      </c>
      <c r="D427" t="s">
        <v>1244</v>
      </c>
      <c r="E427" t="s">
        <v>1246</v>
      </c>
      <c r="G427" t="s">
        <v>1136</v>
      </c>
      <c r="H427">
        <v>427</v>
      </c>
    </row>
    <row r="428" spans="1:8">
      <c r="A428" t="s">
        <v>1131</v>
      </c>
      <c r="B428" t="s">
        <v>1132</v>
      </c>
      <c r="C428" t="s">
        <v>1133</v>
      </c>
      <c r="D428" t="s">
        <v>1244</v>
      </c>
      <c r="E428" t="s">
        <v>1246</v>
      </c>
      <c r="G428" t="s">
        <v>1136</v>
      </c>
      <c r="H428">
        <v>428</v>
      </c>
    </row>
    <row r="429" spans="1:8">
      <c r="A429" t="s">
        <v>1131</v>
      </c>
      <c r="B429" t="s">
        <v>1132</v>
      </c>
      <c r="C429" t="s">
        <v>1133</v>
      </c>
      <c r="D429" t="s">
        <v>1244</v>
      </c>
      <c r="E429" t="s">
        <v>1246</v>
      </c>
      <c r="G429" t="s">
        <v>1136</v>
      </c>
      <c r="H429">
        <v>429</v>
      </c>
    </row>
    <row r="430" spans="1:8">
      <c r="A430" t="s">
        <v>1131</v>
      </c>
      <c r="B430" t="s">
        <v>1132</v>
      </c>
      <c r="C430" t="s">
        <v>1133</v>
      </c>
      <c r="D430" t="s">
        <v>1244</v>
      </c>
      <c r="E430" t="s">
        <v>1245</v>
      </c>
      <c r="G430" t="s">
        <v>1136</v>
      </c>
      <c r="H430">
        <v>430</v>
      </c>
    </row>
    <row r="431" spans="1:8">
      <c r="A431" t="s">
        <v>1131</v>
      </c>
      <c r="B431" t="s">
        <v>1132</v>
      </c>
      <c r="C431" t="s">
        <v>1133</v>
      </c>
      <c r="D431" t="s">
        <v>1244</v>
      </c>
      <c r="E431" t="s">
        <v>1247</v>
      </c>
      <c r="G431" t="s">
        <v>1136</v>
      </c>
      <c r="H431">
        <v>431</v>
      </c>
    </row>
    <row r="432" spans="1:8">
      <c r="A432" t="s">
        <v>1131</v>
      </c>
      <c r="B432" t="s">
        <v>1132</v>
      </c>
      <c r="C432" t="s">
        <v>1133</v>
      </c>
      <c r="D432" t="s">
        <v>1244</v>
      </c>
      <c r="E432" t="s">
        <v>1247</v>
      </c>
      <c r="G432" t="s">
        <v>1136</v>
      </c>
      <c r="H432">
        <v>432</v>
      </c>
    </row>
    <row r="433" spans="1:8">
      <c r="A433" t="s">
        <v>1131</v>
      </c>
      <c r="B433" t="s">
        <v>1132</v>
      </c>
      <c r="C433" t="s">
        <v>1133</v>
      </c>
      <c r="D433" t="s">
        <v>1244</v>
      </c>
      <c r="E433" t="s">
        <v>1247</v>
      </c>
      <c r="G433" t="s">
        <v>1136</v>
      </c>
      <c r="H433">
        <v>433</v>
      </c>
    </row>
    <row r="434" spans="1:8">
      <c r="A434" t="s">
        <v>1131</v>
      </c>
      <c r="B434" t="s">
        <v>1132</v>
      </c>
      <c r="C434" t="s">
        <v>1133</v>
      </c>
      <c r="D434" t="s">
        <v>1244</v>
      </c>
      <c r="E434" t="s">
        <v>1247</v>
      </c>
      <c r="G434" t="s">
        <v>1136</v>
      </c>
      <c r="H434">
        <v>434</v>
      </c>
    </row>
    <row r="435" spans="1:8">
      <c r="A435" t="s">
        <v>1131</v>
      </c>
      <c r="B435" t="s">
        <v>1132</v>
      </c>
      <c r="C435" t="s">
        <v>1133</v>
      </c>
      <c r="D435" t="s">
        <v>1244</v>
      </c>
      <c r="E435" t="s">
        <v>1247</v>
      </c>
      <c r="G435" t="s">
        <v>1136</v>
      </c>
      <c r="H435">
        <v>435</v>
      </c>
    </row>
    <row r="436" spans="1:8">
      <c r="A436" t="s">
        <v>1131</v>
      </c>
      <c r="B436" t="s">
        <v>1132</v>
      </c>
      <c r="C436" t="s">
        <v>1133</v>
      </c>
      <c r="D436" t="s">
        <v>1244</v>
      </c>
      <c r="E436" t="s">
        <v>1247</v>
      </c>
      <c r="G436" t="s">
        <v>1136</v>
      </c>
      <c r="H436">
        <v>436</v>
      </c>
    </row>
    <row r="437" spans="1:8">
      <c r="A437" t="s">
        <v>1131</v>
      </c>
      <c r="B437" t="s">
        <v>1132</v>
      </c>
      <c r="C437" t="s">
        <v>1133</v>
      </c>
      <c r="D437" t="s">
        <v>1244</v>
      </c>
      <c r="E437" t="s">
        <v>1247</v>
      </c>
      <c r="G437" t="s">
        <v>1136</v>
      </c>
      <c r="H437">
        <v>437</v>
      </c>
    </row>
    <row r="438" spans="1:8">
      <c r="A438" t="s">
        <v>1131</v>
      </c>
      <c r="B438" t="s">
        <v>1132</v>
      </c>
      <c r="C438" t="s">
        <v>1133</v>
      </c>
      <c r="D438" t="s">
        <v>1244</v>
      </c>
      <c r="E438" t="s">
        <v>1247</v>
      </c>
      <c r="G438" t="s">
        <v>1136</v>
      </c>
      <c r="H438">
        <v>438</v>
      </c>
    </row>
    <row r="439" spans="1:8">
      <c r="A439" t="s">
        <v>1131</v>
      </c>
      <c r="B439" t="s">
        <v>1132</v>
      </c>
      <c r="C439" t="s">
        <v>1133</v>
      </c>
      <c r="D439" t="s">
        <v>1244</v>
      </c>
      <c r="E439" t="s">
        <v>1247</v>
      </c>
      <c r="G439" t="s">
        <v>1136</v>
      </c>
      <c r="H439">
        <v>439</v>
      </c>
    </row>
    <row r="440" spans="1:8">
      <c r="A440" t="s">
        <v>1131</v>
      </c>
      <c r="B440" t="s">
        <v>1132</v>
      </c>
      <c r="C440" t="s">
        <v>1133</v>
      </c>
      <c r="D440" t="s">
        <v>1244</v>
      </c>
      <c r="E440" t="s">
        <v>1247</v>
      </c>
      <c r="G440" t="s">
        <v>1136</v>
      </c>
      <c r="H440">
        <v>440</v>
      </c>
    </row>
    <row r="441" spans="1:8">
      <c r="A441" t="s">
        <v>1131</v>
      </c>
      <c r="B441" t="s">
        <v>1132</v>
      </c>
      <c r="C441" t="s">
        <v>1133</v>
      </c>
      <c r="D441" t="s">
        <v>1244</v>
      </c>
      <c r="E441" t="s">
        <v>1247</v>
      </c>
      <c r="G441" t="s">
        <v>1136</v>
      </c>
      <c r="H441">
        <v>441</v>
      </c>
    </row>
    <row r="442" spans="1:8">
      <c r="A442" t="s">
        <v>1131</v>
      </c>
      <c r="B442" t="s">
        <v>1132</v>
      </c>
      <c r="C442" t="s">
        <v>1133</v>
      </c>
      <c r="D442" t="s">
        <v>1244</v>
      </c>
      <c r="E442" t="s">
        <v>1247</v>
      </c>
      <c r="G442" t="s">
        <v>1136</v>
      </c>
      <c r="H442">
        <v>442</v>
      </c>
    </row>
    <row r="443" spans="1:8">
      <c r="A443" t="s">
        <v>1131</v>
      </c>
      <c r="B443" t="s">
        <v>1132</v>
      </c>
      <c r="C443" t="s">
        <v>1133</v>
      </c>
      <c r="D443" t="s">
        <v>1244</v>
      </c>
      <c r="E443" t="s">
        <v>1247</v>
      </c>
      <c r="G443" t="s">
        <v>1136</v>
      </c>
      <c r="H443">
        <v>443</v>
      </c>
    </row>
    <row r="444" spans="1:8">
      <c r="A444" t="s">
        <v>1131</v>
      </c>
      <c r="B444" t="s">
        <v>1132</v>
      </c>
      <c r="C444" t="s">
        <v>1133</v>
      </c>
      <c r="D444" t="s">
        <v>1244</v>
      </c>
      <c r="E444" t="s">
        <v>1247</v>
      </c>
      <c r="G444" t="s">
        <v>1136</v>
      </c>
      <c r="H444">
        <v>444</v>
      </c>
    </row>
    <row r="445" spans="1:8">
      <c r="A445" t="s">
        <v>1131</v>
      </c>
      <c r="B445" t="s">
        <v>1132</v>
      </c>
      <c r="C445" t="s">
        <v>1133</v>
      </c>
      <c r="D445" t="s">
        <v>1244</v>
      </c>
      <c r="E445" t="s">
        <v>1247</v>
      </c>
      <c r="G445" t="s">
        <v>1136</v>
      </c>
      <c r="H445">
        <v>445</v>
      </c>
    </row>
    <row r="446" spans="1:8">
      <c r="A446" t="s">
        <v>1131</v>
      </c>
      <c r="B446" t="s">
        <v>1132</v>
      </c>
      <c r="C446" t="s">
        <v>1133</v>
      </c>
      <c r="D446" t="s">
        <v>1244</v>
      </c>
      <c r="E446" t="s">
        <v>1247</v>
      </c>
      <c r="G446" t="s">
        <v>1136</v>
      </c>
      <c r="H446">
        <v>446</v>
      </c>
    </row>
    <row r="447" spans="1:8">
      <c r="A447" t="s">
        <v>1131</v>
      </c>
      <c r="B447" t="s">
        <v>1132</v>
      </c>
      <c r="C447" t="s">
        <v>1133</v>
      </c>
      <c r="D447" t="s">
        <v>1244</v>
      </c>
      <c r="E447" t="s">
        <v>1247</v>
      </c>
      <c r="G447" t="s">
        <v>1136</v>
      </c>
      <c r="H447">
        <v>447</v>
      </c>
    </row>
    <row r="448" spans="1:8">
      <c r="A448" t="s">
        <v>1131</v>
      </c>
      <c r="B448" t="s">
        <v>1132</v>
      </c>
      <c r="C448" t="s">
        <v>1133</v>
      </c>
      <c r="D448" t="s">
        <v>1244</v>
      </c>
      <c r="E448" t="s">
        <v>1248</v>
      </c>
      <c r="G448" t="s">
        <v>1136</v>
      </c>
      <c r="H448">
        <v>448</v>
      </c>
    </row>
    <row r="449" spans="1:8">
      <c r="A449" t="s">
        <v>1131</v>
      </c>
      <c r="B449" t="s">
        <v>1132</v>
      </c>
      <c r="C449" t="s">
        <v>1133</v>
      </c>
      <c r="D449" t="s">
        <v>1244</v>
      </c>
      <c r="E449" t="s">
        <v>1248</v>
      </c>
      <c r="G449" t="s">
        <v>1136</v>
      </c>
      <c r="H449">
        <v>449</v>
      </c>
    </row>
    <row r="450" spans="1:8">
      <c r="A450" t="s">
        <v>1131</v>
      </c>
      <c r="B450" t="s">
        <v>1132</v>
      </c>
      <c r="C450" t="s">
        <v>1133</v>
      </c>
      <c r="D450" t="s">
        <v>1244</v>
      </c>
      <c r="E450" t="s">
        <v>1248</v>
      </c>
      <c r="G450" t="s">
        <v>1136</v>
      </c>
      <c r="H450">
        <v>450</v>
      </c>
    </row>
    <row r="451" spans="1:8">
      <c r="A451" t="s">
        <v>1131</v>
      </c>
      <c r="B451" t="s">
        <v>1132</v>
      </c>
      <c r="C451" t="s">
        <v>1133</v>
      </c>
      <c r="D451" t="s">
        <v>1244</v>
      </c>
      <c r="E451" t="s">
        <v>1249</v>
      </c>
      <c r="G451" t="s">
        <v>1136</v>
      </c>
      <c r="H451">
        <v>451</v>
      </c>
    </row>
    <row r="452" spans="1:8">
      <c r="A452" t="s">
        <v>1131</v>
      </c>
      <c r="B452" t="s">
        <v>1132</v>
      </c>
      <c r="C452" t="s">
        <v>1133</v>
      </c>
      <c r="D452" t="s">
        <v>1244</v>
      </c>
      <c r="E452" t="s">
        <v>1248</v>
      </c>
      <c r="G452" t="s">
        <v>1136</v>
      </c>
      <c r="H452">
        <v>452</v>
      </c>
    </row>
    <row r="453" spans="1:8">
      <c r="A453" t="s">
        <v>1131</v>
      </c>
      <c r="B453" t="s">
        <v>1132</v>
      </c>
      <c r="C453" t="s">
        <v>1133</v>
      </c>
      <c r="D453" t="s">
        <v>1244</v>
      </c>
      <c r="E453" t="s">
        <v>1248</v>
      </c>
      <c r="G453" t="s">
        <v>1136</v>
      </c>
      <c r="H453">
        <v>453</v>
      </c>
    </row>
    <row r="454" spans="1:8">
      <c r="A454" t="s">
        <v>1131</v>
      </c>
      <c r="B454" t="s">
        <v>1132</v>
      </c>
      <c r="C454" t="s">
        <v>1133</v>
      </c>
      <c r="D454" t="s">
        <v>1244</v>
      </c>
      <c r="E454" t="s">
        <v>1248</v>
      </c>
      <c r="G454" t="s">
        <v>1136</v>
      </c>
      <c r="H454">
        <v>454</v>
      </c>
    </row>
    <row r="455" spans="1:8">
      <c r="A455" t="s">
        <v>1131</v>
      </c>
      <c r="B455" t="s">
        <v>1132</v>
      </c>
      <c r="C455" t="s">
        <v>1133</v>
      </c>
      <c r="D455" t="s">
        <v>1244</v>
      </c>
      <c r="E455" t="s">
        <v>1248</v>
      </c>
      <c r="G455" t="s">
        <v>1136</v>
      </c>
      <c r="H455">
        <v>455</v>
      </c>
    </row>
    <row r="456" spans="1:8">
      <c r="A456" t="s">
        <v>1131</v>
      </c>
      <c r="B456" t="s">
        <v>1132</v>
      </c>
      <c r="C456" t="s">
        <v>1133</v>
      </c>
      <c r="D456" t="s">
        <v>1250</v>
      </c>
      <c r="E456" t="s">
        <v>1248</v>
      </c>
      <c r="G456" t="s">
        <v>1136</v>
      </c>
      <c r="H456">
        <v>456</v>
      </c>
    </row>
    <row r="457" spans="1:8">
      <c r="A457" t="s">
        <v>1131</v>
      </c>
      <c r="B457" t="s">
        <v>1132</v>
      </c>
      <c r="C457" t="s">
        <v>1133</v>
      </c>
      <c r="D457" t="s">
        <v>1244</v>
      </c>
      <c r="E457" t="s">
        <v>1249</v>
      </c>
      <c r="G457" t="s">
        <v>1136</v>
      </c>
      <c r="H457">
        <v>457</v>
      </c>
    </row>
    <row r="458" spans="1:8">
      <c r="A458" t="s">
        <v>1131</v>
      </c>
      <c r="B458" t="s">
        <v>1132</v>
      </c>
      <c r="C458" t="s">
        <v>1133</v>
      </c>
      <c r="D458" t="s">
        <v>1244</v>
      </c>
      <c r="E458" t="s">
        <v>1249</v>
      </c>
      <c r="G458" t="s">
        <v>1136</v>
      </c>
      <c r="H458">
        <v>458</v>
      </c>
    </row>
    <row r="459" spans="1:8">
      <c r="A459" t="s">
        <v>1131</v>
      </c>
      <c r="B459" t="s">
        <v>1132</v>
      </c>
      <c r="C459" t="s">
        <v>1133</v>
      </c>
      <c r="D459" t="s">
        <v>1244</v>
      </c>
      <c r="E459" t="s">
        <v>1249</v>
      </c>
      <c r="G459" t="s">
        <v>1136</v>
      </c>
      <c r="H459">
        <v>459</v>
      </c>
    </row>
    <row r="460" spans="1:8">
      <c r="A460" t="s">
        <v>1131</v>
      </c>
      <c r="B460" t="s">
        <v>1132</v>
      </c>
      <c r="C460" t="s">
        <v>1133</v>
      </c>
      <c r="D460" t="s">
        <v>1244</v>
      </c>
      <c r="E460" t="s">
        <v>1249</v>
      </c>
      <c r="G460" t="s">
        <v>1136</v>
      </c>
      <c r="H460">
        <v>460</v>
      </c>
    </row>
    <row r="461" spans="1:8">
      <c r="A461" t="s">
        <v>1131</v>
      </c>
      <c r="B461" t="s">
        <v>1132</v>
      </c>
      <c r="C461" t="s">
        <v>1133</v>
      </c>
      <c r="D461" t="s">
        <v>1244</v>
      </c>
      <c r="E461" t="s">
        <v>1249</v>
      </c>
      <c r="G461" t="s">
        <v>1136</v>
      </c>
      <c r="H461">
        <v>461</v>
      </c>
    </row>
    <row r="462" spans="1:8">
      <c r="A462" t="s">
        <v>1131</v>
      </c>
      <c r="B462" t="s">
        <v>1132</v>
      </c>
      <c r="C462" t="s">
        <v>1133</v>
      </c>
      <c r="D462" t="s">
        <v>1244</v>
      </c>
      <c r="E462" t="s">
        <v>1249</v>
      </c>
      <c r="G462" t="s">
        <v>1136</v>
      </c>
      <c r="H462">
        <v>462</v>
      </c>
    </row>
    <row r="463" spans="1:8">
      <c r="A463" t="s">
        <v>1131</v>
      </c>
      <c r="B463" t="s">
        <v>1132</v>
      </c>
      <c r="C463" t="s">
        <v>1133</v>
      </c>
      <c r="D463" t="s">
        <v>1244</v>
      </c>
      <c r="E463" t="s">
        <v>1249</v>
      </c>
      <c r="G463" t="s">
        <v>1136</v>
      </c>
      <c r="H463">
        <v>463</v>
      </c>
    </row>
    <row r="464" spans="1:8">
      <c r="A464" t="s">
        <v>1131</v>
      </c>
      <c r="B464" t="s">
        <v>1132</v>
      </c>
      <c r="C464" t="s">
        <v>1133</v>
      </c>
      <c r="D464" t="s">
        <v>1244</v>
      </c>
      <c r="E464" t="s">
        <v>1249</v>
      </c>
      <c r="G464" t="s">
        <v>1136</v>
      </c>
      <c r="H464">
        <v>464</v>
      </c>
    </row>
    <row r="465" spans="1:8">
      <c r="A465" t="s">
        <v>1131</v>
      </c>
      <c r="B465" t="s">
        <v>1132</v>
      </c>
      <c r="C465" t="s">
        <v>1133</v>
      </c>
      <c r="D465" t="s">
        <v>1244</v>
      </c>
      <c r="E465" t="s">
        <v>1249</v>
      </c>
      <c r="G465" t="s">
        <v>1136</v>
      </c>
      <c r="H465">
        <v>465</v>
      </c>
    </row>
    <row r="466" spans="1:8">
      <c r="A466" t="s">
        <v>1131</v>
      </c>
      <c r="B466" t="s">
        <v>1132</v>
      </c>
      <c r="C466" t="s">
        <v>1133</v>
      </c>
      <c r="D466" t="s">
        <v>1244</v>
      </c>
      <c r="E466" t="s">
        <v>1249</v>
      </c>
      <c r="G466" t="s">
        <v>1136</v>
      </c>
      <c r="H466">
        <v>466</v>
      </c>
    </row>
    <row r="467" spans="1:8">
      <c r="A467" t="s">
        <v>1131</v>
      </c>
      <c r="B467" t="s">
        <v>1132</v>
      </c>
      <c r="C467" t="s">
        <v>1133</v>
      </c>
      <c r="D467" t="s">
        <v>1244</v>
      </c>
      <c r="E467" t="s">
        <v>1251</v>
      </c>
      <c r="G467" t="s">
        <v>1136</v>
      </c>
      <c r="H467">
        <v>467</v>
      </c>
    </row>
    <row r="468" spans="1:8">
      <c r="A468" t="s">
        <v>1131</v>
      </c>
      <c r="B468" t="s">
        <v>1132</v>
      </c>
      <c r="C468" t="s">
        <v>1133</v>
      </c>
      <c r="D468" t="s">
        <v>1244</v>
      </c>
      <c r="E468" t="s">
        <v>1251</v>
      </c>
      <c r="G468" t="s">
        <v>1136</v>
      </c>
      <c r="H468">
        <v>468</v>
      </c>
    </row>
    <row r="469" spans="1:8">
      <c r="A469" t="s">
        <v>1131</v>
      </c>
      <c r="B469" t="s">
        <v>1132</v>
      </c>
      <c r="C469" t="s">
        <v>1133</v>
      </c>
      <c r="D469" t="s">
        <v>1244</v>
      </c>
      <c r="E469" t="s">
        <v>1251</v>
      </c>
      <c r="G469" t="s">
        <v>1136</v>
      </c>
      <c r="H469">
        <v>469</v>
      </c>
    </row>
    <row r="470" spans="1:8">
      <c r="A470" t="s">
        <v>1131</v>
      </c>
      <c r="B470" t="s">
        <v>1132</v>
      </c>
      <c r="C470" t="s">
        <v>1133</v>
      </c>
      <c r="D470" t="s">
        <v>1244</v>
      </c>
      <c r="E470" t="s">
        <v>1251</v>
      </c>
      <c r="G470" t="s">
        <v>1136</v>
      </c>
      <c r="H470">
        <v>470</v>
      </c>
    </row>
    <row r="471" spans="1:8">
      <c r="A471" t="s">
        <v>1131</v>
      </c>
      <c r="B471" t="s">
        <v>1132</v>
      </c>
      <c r="C471" t="s">
        <v>1133</v>
      </c>
      <c r="D471" t="s">
        <v>1244</v>
      </c>
      <c r="E471" t="s">
        <v>1251</v>
      </c>
      <c r="G471" t="s">
        <v>1136</v>
      </c>
      <c r="H471">
        <v>471</v>
      </c>
    </row>
    <row r="472" spans="1:8">
      <c r="A472" t="s">
        <v>1131</v>
      </c>
      <c r="B472" t="s">
        <v>1132</v>
      </c>
      <c r="C472" t="s">
        <v>1133</v>
      </c>
      <c r="D472" t="s">
        <v>1244</v>
      </c>
      <c r="E472" t="s">
        <v>1251</v>
      </c>
      <c r="G472" t="s">
        <v>1136</v>
      </c>
      <c r="H472">
        <v>472</v>
      </c>
    </row>
    <row r="473" spans="1:8">
      <c r="A473" t="s">
        <v>1131</v>
      </c>
      <c r="B473" t="s">
        <v>1132</v>
      </c>
      <c r="C473" t="s">
        <v>1133</v>
      </c>
      <c r="D473" t="s">
        <v>1244</v>
      </c>
      <c r="E473" t="s">
        <v>1251</v>
      </c>
      <c r="G473" t="s">
        <v>1136</v>
      </c>
      <c r="H473">
        <v>473</v>
      </c>
    </row>
    <row r="474" spans="1:8">
      <c r="A474" t="s">
        <v>1131</v>
      </c>
      <c r="B474" t="s">
        <v>1132</v>
      </c>
      <c r="C474" t="s">
        <v>1133</v>
      </c>
      <c r="D474" t="s">
        <v>1244</v>
      </c>
      <c r="E474" t="s">
        <v>1251</v>
      </c>
      <c r="G474" t="s">
        <v>1136</v>
      </c>
      <c r="H474">
        <v>474</v>
      </c>
    </row>
    <row r="475" spans="1:8">
      <c r="A475" t="s">
        <v>1131</v>
      </c>
      <c r="B475" t="s">
        <v>1132</v>
      </c>
      <c r="C475" t="s">
        <v>1133</v>
      </c>
      <c r="D475" t="s">
        <v>1244</v>
      </c>
      <c r="E475" t="s">
        <v>1251</v>
      </c>
      <c r="G475" t="s">
        <v>1136</v>
      </c>
      <c r="H475">
        <v>475</v>
      </c>
    </row>
    <row r="476" spans="1:8">
      <c r="A476" t="s">
        <v>1131</v>
      </c>
      <c r="B476" t="s">
        <v>1132</v>
      </c>
      <c r="C476" t="s">
        <v>1133</v>
      </c>
      <c r="D476" t="s">
        <v>1252</v>
      </c>
      <c r="E476" t="s">
        <v>486</v>
      </c>
      <c r="G476" t="s">
        <v>1136</v>
      </c>
      <c r="H476">
        <v>476</v>
      </c>
    </row>
    <row r="477" spans="1:8">
      <c r="A477" t="s">
        <v>1131</v>
      </c>
      <c r="B477" t="s">
        <v>1132</v>
      </c>
      <c r="C477" t="s">
        <v>1133</v>
      </c>
      <c r="D477" t="s">
        <v>1244</v>
      </c>
      <c r="E477" t="s">
        <v>1253</v>
      </c>
      <c r="G477" t="s">
        <v>1136</v>
      </c>
      <c r="H477">
        <v>477</v>
      </c>
    </row>
    <row r="478" spans="1:8">
      <c r="A478" t="s">
        <v>1131</v>
      </c>
      <c r="B478" t="s">
        <v>1132</v>
      </c>
      <c r="C478" t="s">
        <v>1133</v>
      </c>
      <c r="D478" t="s">
        <v>1244</v>
      </c>
      <c r="E478" t="s">
        <v>486</v>
      </c>
      <c r="G478" t="s">
        <v>1136</v>
      </c>
      <c r="H478">
        <v>478</v>
      </c>
    </row>
    <row r="479" spans="1:8">
      <c r="A479" t="s">
        <v>1131</v>
      </c>
      <c r="B479" t="s">
        <v>1132</v>
      </c>
      <c r="C479" t="s">
        <v>1133</v>
      </c>
      <c r="D479" t="s">
        <v>1244</v>
      </c>
      <c r="E479" t="s">
        <v>1253</v>
      </c>
      <c r="G479" t="s">
        <v>1136</v>
      </c>
      <c r="H479">
        <v>479</v>
      </c>
    </row>
    <row r="480" spans="1:8">
      <c r="A480" t="s">
        <v>1131</v>
      </c>
      <c r="B480" t="s">
        <v>1132</v>
      </c>
      <c r="C480" t="s">
        <v>1133</v>
      </c>
      <c r="D480" t="s">
        <v>1244</v>
      </c>
      <c r="E480" t="s">
        <v>1253</v>
      </c>
      <c r="G480" t="s">
        <v>1136</v>
      </c>
      <c r="H480">
        <v>480</v>
      </c>
    </row>
    <row r="481" spans="1:8">
      <c r="A481" t="s">
        <v>1131</v>
      </c>
      <c r="B481" t="s">
        <v>1132</v>
      </c>
      <c r="C481" t="s">
        <v>1133</v>
      </c>
      <c r="D481" t="s">
        <v>1244</v>
      </c>
      <c r="E481" t="s">
        <v>1254</v>
      </c>
      <c r="G481" t="s">
        <v>1136</v>
      </c>
      <c r="H481">
        <v>481</v>
      </c>
    </row>
    <row r="482" spans="1:8">
      <c r="A482" t="s">
        <v>1131</v>
      </c>
      <c r="B482" t="s">
        <v>1132</v>
      </c>
      <c r="C482" t="s">
        <v>1133</v>
      </c>
      <c r="D482" t="s">
        <v>1244</v>
      </c>
      <c r="E482" t="s">
        <v>1255</v>
      </c>
      <c r="G482" t="s">
        <v>1136</v>
      </c>
      <c r="H482">
        <v>482</v>
      </c>
    </row>
    <row r="483" spans="1:8">
      <c r="A483" t="s">
        <v>1131</v>
      </c>
      <c r="B483" t="s">
        <v>1132</v>
      </c>
      <c r="C483" t="s">
        <v>1133</v>
      </c>
      <c r="D483" t="s">
        <v>1244</v>
      </c>
      <c r="E483" t="s">
        <v>1255</v>
      </c>
      <c r="G483" t="s">
        <v>1136</v>
      </c>
      <c r="H483">
        <v>483</v>
      </c>
    </row>
    <row r="484" spans="1:8">
      <c r="A484" t="s">
        <v>1131</v>
      </c>
      <c r="B484" t="s">
        <v>1132</v>
      </c>
      <c r="C484" t="s">
        <v>1133</v>
      </c>
      <c r="D484" t="s">
        <v>1244</v>
      </c>
      <c r="E484" t="s">
        <v>1255</v>
      </c>
      <c r="G484" t="s">
        <v>1136</v>
      </c>
      <c r="H484">
        <v>484</v>
      </c>
    </row>
    <row r="485" spans="1:8">
      <c r="A485" t="s">
        <v>1131</v>
      </c>
      <c r="B485" t="s">
        <v>1132</v>
      </c>
      <c r="C485" t="s">
        <v>1133</v>
      </c>
      <c r="D485" t="s">
        <v>1244</v>
      </c>
      <c r="E485" t="s">
        <v>1255</v>
      </c>
      <c r="G485" t="s">
        <v>1136</v>
      </c>
      <c r="H485">
        <v>485</v>
      </c>
    </row>
    <row r="486" spans="1:8">
      <c r="A486" t="s">
        <v>1131</v>
      </c>
      <c r="B486" t="s">
        <v>1132</v>
      </c>
      <c r="C486" t="s">
        <v>1133</v>
      </c>
      <c r="D486" t="s">
        <v>1244</v>
      </c>
      <c r="E486" t="s">
        <v>1255</v>
      </c>
      <c r="G486" t="s">
        <v>1136</v>
      </c>
      <c r="H486">
        <v>486</v>
      </c>
    </row>
    <row r="487" spans="1:8">
      <c r="A487" t="s">
        <v>1131</v>
      </c>
      <c r="B487" t="s">
        <v>1132</v>
      </c>
      <c r="C487" t="s">
        <v>1133</v>
      </c>
      <c r="D487" t="s">
        <v>1244</v>
      </c>
      <c r="E487" t="s">
        <v>1255</v>
      </c>
      <c r="G487" t="s">
        <v>1136</v>
      </c>
      <c r="H487">
        <v>487</v>
      </c>
    </row>
    <row r="488" spans="1:8">
      <c r="A488" t="s">
        <v>1131</v>
      </c>
      <c r="B488" t="s">
        <v>1132</v>
      </c>
      <c r="C488" t="s">
        <v>1133</v>
      </c>
      <c r="D488" t="s">
        <v>1244</v>
      </c>
      <c r="E488" t="s">
        <v>1255</v>
      </c>
      <c r="G488" t="s">
        <v>1136</v>
      </c>
      <c r="H488">
        <v>488</v>
      </c>
    </row>
    <row r="489" spans="1:8">
      <c r="A489" t="s">
        <v>1131</v>
      </c>
      <c r="B489" t="s">
        <v>1132</v>
      </c>
      <c r="C489" t="s">
        <v>1133</v>
      </c>
      <c r="D489" t="s">
        <v>1244</v>
      </c>
      <c r="E489" t="s">
        <v>1255</v>
      </c>
      <c r="G489" t="s">
        <v>1136</v>
      </c>
      <c r="H489">
        <v>489</v>
      </c>
    </row>
    <row r="490" spans="1:8">
      <c r="A490" t="s">
        <v>1131</v>
      </c>
      <c r="B490" t="s">
        <v>1132</v>
      </c>
      <c r="C490" t="s">
        <v>1133</v>
      </c>
      <c r="D490" t="s">
        <v>1244</v>
      </c>
      <c r="E490" t="s">
        <v>1255</v>
      </c>
      <c r="G490" t="s">
        <v>1136</v>
      </c>
      <c r="H490">
        <v>490</v>
      </c>
    </row>
    <row r="491" spans="1:8">
      <c r="A491" t="s">
        <v>1131</v>
      </c>
      <c r="B491" t="s">
        <v>1132</v>
      </c>
      <c r="C491" t="s">
        <v>1133</v>
      </c>
      <c r="D491" t="s">
        <v>1244</v>
      </c>
      <c r="E491" t="s">
        <v>1253</v>
      </c>
      <c r="G491" t="s">
        <v>1136</v>
      </c>
      <c r="H491">
        <v>491</v>
      </c>
    </row>
    <row r="492" spans="1:8">
      <c r="A492" t="s">
        <v>1131</v>
      </c>
      <c r="B492" t="s">
        <v>1132</v>
      </c>
      <c r="C492" t="s">
        <v>1133</v>
      </c>
      <c r="D492" t="s">
        <v>1256</v>
      </c>
      <c r="E492" t="s">
        <v>486</v>
      </c>
      <c r="G492" t="s">
        <v>1136</v>
      </c>
      <c r="H492">
        <v>492</v>
      </c>
    </row>
    <row r="493" spans="1:8">
      <c r="A493" t="s">
        <v>1131</v>
      </c>
      <c r="B493" t="s">
        <v>1132</v>
      </c>
      <c r="C493" t="s">
        <v>1133</v>
      </c>
      <c r="D493" t="s">
        <v>1244</v>
      </c>
      <c r="E493" t="s">
        <v>486</v>
      </c>
      <c r="G493" t="s">
        <v>1136</v>
      </c>
      <c r="H493">
        <v>493</v>
      </c>
    </row>
    <row r="494" spans="1:8">
      <c r="A494" t="s">
        <v>1131</v>
      </c>
      <c r="B494" t="s">
        <v>1132</v>
      </c>
      <c r="C494" t="s">
        <v>1133</v>
      </c>
      <c r="D494" t="s">
        <v>1244</v>
      </c>
      <c r="E494" t="s">
        <v>1253</v>
      </c>
      <c r="G494" t="s">
        <v>1136</v>
      </c>
      <c r="H494">
        <v>494</v>
      </c>
    </row>
    <row r="495" spans="1:8">
      <c r="A495" t="s">
        <v>1131</v>
      </c>
      <c r="B495" t="s">
        <v>1132</v>
      </c>
      <c r="C495" t="s">
        <v>1133</v>
      </c>
      <c r="D495" t="s">
        <v>1244</v>
      </c>
      <c r="E495" t="s">
        <v>1255</v>
      </c>
      <c r="G495" t="s">
        <v>1136</v>
      </c>
      <c r="H495">
        <v>495</v>
      </c>
    </row>
    <row r="496" spans="1:8">
      <c r="A496" t="s">
        <v>1131</v>
      </c>
      <c r="B496" t="s">
        <v>1132</v>
      </c>
      <c r="C496" t="s">
        <v>1133</v>
      </c>
      <c r="D496" t="s">
        <v>1244</v>
      </c>
      <c r="E496" t="s">
        <v>1255</v>
      </c>
      <c r="G496" t="s">
        <v>1136</v>
      </c>
      <c r="H496">
        <v>496</v>
      </c>
    </row>
    <row r="497" spans="1:8">
      <c r="A497" t="s">
        <v>1131</v>
      </c>
      <c r="B497" t="s">
        <v>1132</v>
      </c>
      <c r="C497" t="s">
        <v>1133</v>
      </c>
      <c r="D497" t="s">
        <v>1244</v>
      </c>
      <c r="E497" t="s">
        <v>1255</v>
      </c>
      <c r="G497" t="s">
        <v>1136</v>
      </c>
      <c r="H497">
        <v>497</v>
      </c>
    </row>
    <row r="498" spans="1:8">
      <c r="A498" t="s">
        <v>1131</v>
      </c>
      <c r="B498" t="s">
        <v>1132</v>
      </c>
      <c r="C498" t="s">
        <v>1133</v>
      </c>
      <c r="D498" t="s">
        <v>1244</v>
      </c>
      <c r="E498" t="s">
        <v>1255</v>
      </c>
      <c r="G498" t="s">
        <v>1136</v>
      </c>
      <c r="H498">
        <v>498</v>
      </c>
    </row>
    <row r="499" spans="1:8">
      <c r="A499" t="s">
        <v>1131</v>
      </c>
      <c r="B499" t="s">
        <v>1132</v>
      </c>
      <c r="C499" t="s">
        <v>1133</v>
      </c>
      <c r="D499" t="s">
        <v>1244</v>
      </c>
      <c r="E499" t="s">
        <v>1257</v>
      </c>
      <c r="G499" t="s">
        <v>1136</v>
      </c>
      <c r="H499">
        <v>499</v>
      </c>
    </row>
    <row r="500" spans="1:8">
      <c r="A500" t="s">
        <v>1131</v>
      </c>
      <c r="B500" t="s">
        <v>1132</v>
      </c>
      <c r="C500" t="s">
        <v>1133</v>
      </c>
      <c r="D500" t="s">
        <v>1244</v>
      </c>
      <c r="E500" t="s">
        <v>1257</v>
      </c>
      <c r="G500" t="s">
        <v>1136</v>
      </c>
      <c r="H500">
        <v>500</v>
      </c>
    </row>
    <row r="501" spans="1:8">
      <c r="A501" t="s">
        <v>1131</v>
      </c>
      <c r="B501" t="s">
        <v>1132</v>
      </c>
      <c r="C501" t="s">
        <v>1133</v>
      </c>
      <c r="D501" t="s">
        <v>1244</v>
      </c>
      <c r="E501" t="s">
        <v>1257</v>
      </c>
      <c r="G501" t="s">
        <v>1136</v>
      </c>
      <c r="H501">
        <v>501</v>
      </c>
    </row>
    <row r="502" spans="1:8">
      <c r="A502" t="s">
        <v>1131</v>
      </c>
      <c r="B502" t="s">
        <v>1132</v>
      </c>
      <c r="C502" t="s">
        <v>1133</v>
      </c>
      <c r="D502" t="s">
        <v>1244</v>
      </c>
      <c r="E502" t="s">
        <v>1257</v>
      </c>
      <c r="G502" t="s">
        <v>1136</v>
      </c>
      <c r="H502">
        <v>502</v>
      </c>
    </row>
    <row r="503" spans="1:8">
      <c r="A503" t="s">
        <v>1131</v>
      </c>
      <c r="B503" t="s">
        <v>1132</v>
      </c>
      <c r="C503" t="s">
        <v>1133</v>
      </c>
      <c r="D503" t="s">
        <v>1244</v>
      </c>
      <c r="E503" t="s">
        <v>1257</v>
      </c>
      <c r="G503" t="s">
        <v>1136</v>
      </c>
      <c r="H503">
        <v>503</v>
      </c>
    </row>
    <row r="504" spans="1:8">
      <c r="A504" t="s">
        <v>1131</v>
      </c>
      <c r="B504" t="s">
        <v>1132</v>
      </c>
      <c r="C504" t="s">
        <v>1133</v>
      </c>
      <c r="D504" t="s">
        <v>1244</v>
      </c>
      <c r="E504" t="s">
        <v>1257</v>
      </c>
      <c r="G504" t="s">
        <v>1136</v>
      </c>
      <c r="H504">
        <v>504</v>
      </c>
    </row>
    <row r="505" spans="1:8">
      <c r="A505" t="s">
        <v>1131</v>
      </c>
      <c r="B505" t="s">
        <v>1132</v>
      </c>
      <c r="C505" t="s">
        <v>1133</v>
      </c>
      <c r="D505" t="s">
        <v>1244</v>
      </c>
      <c r="E505" t="s">
        <v>1257</v>
      </c>
      <c r="G505" t="s">
        <v>1136</v>
      </c>
      <c r="H505">
        <v>505</v>
      </c>
    </row>
    <row r="506" spans="1:8">
      <c r="A506" t="s">
        <v>1131</v>
      </c>
      <c r="B506" t="s">
        <v>1132</v>
      </c>
      <c r="C506" t="s">
        <v>1133</v>
      </c>
      <c r="D506" t="s">
        <v>1244</v>
      </c>
      <c r="E506" t="s">
        <v>1257</v>
      </c>
      <c r="G506" t="s">
        <v>1136</v>
      </c>
      <c r="H506">
        <v>506</v>
      </c>
    </row>
    <row r="507" spans="1:8">
      <c r="A507" t="s">
        <v>1131</v>
      </c>
      <c r="B507" t="s">
        <v>1132</v>
      </c>
      <c r="C507" t="s">
        <v>1133</v>
      </c>
      <c r="D507" t="s">
        <v>1244</v>
      </c>
      <c r="E507" t="s">
        <v>1257</v>
      </c>
      <c r="G507" t="s">
        <v>1136</v>
      </c>
      <c r="H507">
        <v>507</v>
      </c>
    </row>
    <row r="508" spans="1:8">
      <c r="A508" t="s">
        <v>1131</v>
      </c>
      <c r="B508" t="s">
        <v>1132</v>
      </c>
      <c r="C508" t="s">
        <v>1133</v>
      </c>
      <c r="D508" t="s">
        <v>1244</v>
      </c>
      <c r="E508" t="s">
        <v>1257</v>
      </c>
      <c r="G508" t="s">
        <v>1136</v>
      </c>
      <c r="H508">
        <v>508</v>
      </c>
    </row>
    <row r="509" spans="1:8">
      <c r="A509" t="s">
        <v>1131</v>
      </c>
      <c r="B509" t="s">
        <v>1132</v>
      </c>
      <c r="C509" t="s">
        <v>1133</v>
      </c>
      <c r="D509" t="s">
        <v>1244</v>
      </c>
      <c r="E509" t="s">
        <v>1257</v>
      </c>
      <c r="G509" t="s">
        <v>1136</v>
      </c>
      <c r="H509">
        <v>509</v>
      </c>
    </row>
    <row r="510" spans="1:8">
      <c r="A510" t="s">
        <v>1131</v>
      </c>
      <c r="B510" t="s">
        <v>1132</v>
      </c>
      <c r="C510" t="s">
        <v>1133</v>
      </c>
      <c r="D510" t="s">
        <v>1244</v>
      </c>
      <c r="E510" t="s">
        <v>1257</v>
      </c>
      <c r="G510" t="s">
        <v>1136</v>
      </c>
      <c r="H510">
        <v>510</v>
      </c>
    </row>
    <row r="511" spans="1:8">
      <c r="A511" t="s">
        <v>1131</v>
      </c>
      <c r="B511" t="s">
        <v>1132</v>
      </c>
      <c r="C511" t="s">
        <v>1133</v>
      </c>
      <c r="D511" t="s">
        <v>1244</v>
      </c>
      <c r="E511" t="s">
        <v>1257</v>
      </c>
      <c r="G511" t="s">
        <v>1136</v>
      </c>
      <c r="H511">
        <v>511</v>
      </c>
    </row>
    <row r="512" spans="1:8">
      <c r="A512" t="s">
        <v>1131</v>
      </c>
      <c r="B512" t="s">
        <v>1132</v>
      </c>
      <c r="C512" t="s">
        <v>1133</v>
      </c>
      <c r="D512" t="s">
        <v>1244</v>
      </c>
      <c r="E512" t="s">
        <v>1257</v>
      </c>
      <c r="G512" t="s">
        <v>1136</v>
      </c>
      <c r="H512">
        <v>512</v>
      </c>
    </row>
    <row r="513" spans="1:8">
      <c r="A513" t="s">
        <v>1131</v>
      </c>
      <c r="B513" t="s">
        <v>1132</v>
      </c>
      <c r="C513" t="s">
        <v>1133</v>
      </c>
      <c r="D513" t="s">
        <v>1244</v>
      </c>
      <c r="E513" t="s">
        <v>1257</v>
      </c>
      <c r="G513" t="s">
        <v>1136</v>
      </c>
      <c r="H513">
        <v>513</v>
      </c>
    </row>
    <row r="514" spans="1:8">
      <c r="A514" t="s">
        <v>1131</v>
      </c>
      <c r="B514" t="s">
        <v>1132</v>
      </c>
      <c r="C514" t="s">
        <v>1133</v>
      </c>
      <c r="D514" t="s">
        <v>1244</v>
      </c>
      <c r="E514" t="s">
        <v>1257</v>
      </c>
      <c r="G514" t="s">
        <v>1136</v>
      </c>
      <c r="H514">
        <v>514</v>
      </c>
    </row>
    <row r="515" spans="1:8">
      <c r="A515" t="s">
        <v>1131</v>
      </c>
      <c r="B515" t="s">
        <v>1132</v>
      </c>
      <c r="C515" t="s">
        <v>1133</v>
      </c>
      <c r="D515" t="s">
        <v>1244</v>
      </c>
      <c r="E515" t="s">
        <v>1257</v>
      </c>
      <c r="G515" t="s">
        <v>1136</v>
      </c>
      <c r="H515">
        <v>515</v>
      </c>
    </row>
    <row r="516" spans="1:8">
      <c r="A516" t="s">
        <v>1131</v>
      </c>
      <c r="B516" t="s">
        <v>1132</v>
      </c>
      <c r="C516" t="s">
        <v>1133</v>
      </c>
      <c r="D516" t="s">
        <v>1244</v>
      </c>
      <c r="E516" t="s">
        <v>1257</v>
      </c>
      <c r="G516" t="s">
        <v>1136</v>
      </c>
      <c r="H516">
        <v>516</v>
      </c>
    </row>
    <row r="517" spans="1:8">
      <c r="A517" t="s">
        <v>1131</v>
      </c>
      <c r="B517" t="s">
        <v>1132</v>
      </c>
      <c r="C517" t="s">
        <v>1133</v>
      </c>
      <c r="D517" t="s">
        <v>1244</v>
      </c>
      <c r="E517" t="s">
        <v>1257</v>
      </c>
      <c r="G517" t="s">
        <v>1136</v>
      </c>
      <c r="H517">
        <v>517</v>
      </c>
    </row>
    <row r="518" spans="1:8">
      <c r="A518" t="s">
        <v>1131</v>
      </c>
      <c r="B518" t="s">
        <v>1132</v>
      </c>
      <c r="C518" t="s">
        <v>1133</v>
      </c>
      <c r="D518" t="s">
        <v>1244</v>
      </c>
      <c r="E518" t="s">
        <v>1258</v>
      </c>
      <c r="G518" t="s">
        <v>1136</v>
      </c>
      <c r="H518">
        <v>518</v>
      </c>
    </row>
    <row r="519" spans="1:8">
      <c r="A519" t="s">
        <v>1131</v>
      </c>
      <c r="B519" t="s">
        <v>1132</v>
      </c>
      <c r="C519" t="s">
        <v>1133</v>
      </c>
      <c r="D519" t="s">
        <v>1244</v>
      </c>
      <c r="E519" t="s">
        <v>1258</v>
      </c>
      <c r="G519" t="s">
        <v>1136</v>
      </c>
      <c r="H519">
        <v>519</v>
      </c>
    </row>
    <row r="520" spans="1:8">
      <c r="A520" t="s">
        <v>1131</v>
      </c>
      <c r="B520" t="s">
        <v>1132</v>
      </c>
      <c r="C520" t="s">
        <v>1133</v>
      </c>
      <c r="D520" t="s">
        <v>1244</v>
      </c>
      <c r="E520" t="s">
        <v>1258</v>
      </c>
      <c r="G520" t="s">
        <v>1136</v>
      </c>
      <c r="H520">
        <v>520</v>
      </c>
    </row>
    <row r="521" spans="1:8">
      <c r="A521" t="s">
        <v>1131</v>
      </c>
      <c r="B521" t="s">
        <v>1132</v>
      </c>
      <c r="C521" t="s">
        <v>1133</v>
      </c>
      <c r="D521" t="s">
        <v>1244</v>
      </c>
      <c r="E521" t="s">
        <v>1258</v>
      </c>
      <c r="G521" t="s">
        <v>1136</v>
      </c>
      <c r="H521">
        <v>521</v>
      </c>
    </row>
    <row r="522" spans="1:8">
      <c r="A522" t="s">
        <v>1131</v>
      </c>
      <c r="B522" t="s">
        <v>1132</v>
      </c>
      <c r="C522" t="s">
        <v>1133</v>
      </c>
      <c r="D522" t="s">
        <v>1244</v>
      </c>
      <c r="E522" t="s">
        <v>1258</v>
      </c>
      <c r="G522" t="s">
        <v>1136</v>
      </c>
      <c r="H522">
        <v>522</v>
      </c>
    </row>
    <row r="523" spans="1:8">
      <c r="A523" t="s">
        <v>1131</v>
      </c>
      <c r="B523" t="s">
        <v>1132</v>
      </c>
      <c r="C523" t="s">
        <v>1133</v>
      </c>
      <c r="D523" t="s">
        <v>1244</v>
      </c>
      <c r="E523" t="s">
        <v>1258</v>
      </c>
      <c r="G523" t="s">
        <v>1136</v>
      </c>
      <c r="H523">
        <v>523</v>
      </c>
    </row>
    <row r="524" spans="1:8">
      <c r="A524" t="s">
        <v>1131</v>
      </c>
      <c r="B524" t="s">
        <v>1132</v>
      </c>
      <c r="C524" t="s">
        <v>1133</v>
      </c>
      <c r="D524" t="s">
        <v>1244</v>
      </c>
      <c r="E524" t="s">
        <v>1258</v>
      </c>
      <c r="G524" t="s">
        <v>1136</v>
      </c>
      <c r="H524">
        <v>524</v>
      </c>
    </row>
    <row r="525" spans="1:8">
      <c r="A525" t="s">
        <v>1131</v>
      </c>
      <c r="B525" t="s">
        <v>1132</v>
      </c>
      <c r="C525" t="s">
        <v>1133</v>
      </c>
      <c r="D525" t="s">
        <v>1244</v>
      </c>
      <c r="E525" t="s">
        <v>1258</v>
      </c>
      <c r="G525" t="s">
        <v>1136</v>
      </c>
      <c r="H525">
        <v>525</v>
      </c>
    </row>
    <row r="526" spans="1:8">
      <c r="A526" t="s">
        <v>1131</v>
      </c>
      <c r="B526" t="s">
        <v>1132</v>
      </c>
      <c r="C526" t="s">
        <v>1133</v>
      </c>
      <c r="D526" t="s">
        <v>1244</v>
      </c>
      <c r="E526" t="s">
        <v>1258</v>
      </c>
      <c r="G526" t="s">
        <v>1136</v>
      </c>
      <c r="H526">
        <v>526</v>
      </c>
    </row>
    <row r="527" spans="1:8">
      <c r="A527" t="s">
        <v>1131</v>
      </c>
      <c r="B527" t="s">
        <v>1132</v>
      </c>
      <c r="C527" t="s">
        <v>1133</v>
      </c>
      <c r="D527" t="s">
        <v>1244</v>
      </c>
      <c r="E527" t="s">
        <v>1258</v>
      </c>
      <c r="G527" t="s">
        <v>1136</v>
      </c>
      <c r="H527">
        <v>527</v>
      </c>
    </row>
    <row r="528" spans="1:8">
      <c r="A528" t="s">
        <v>1131</v>
      </c>
      <c r="B528" t="s">
        <v>1132</v>
      </c>
      <c r="C528" t="s">
        <v>1133</v>
      </c>
      <c r="D528" t="s">
        <v>1244</v>
      </c>
      <c r="E528" t="s">
        <v>1258</v>
      </c>
      <c r="G528" t="s">
        <v>1136</v>
      </c>
      <c r="H528">
        <v>528</v>
      </c>
    </row>
    <row r="529" spans="1:8">
      <c r="A529" t="s">
        <v>1131</v>
      </c>
      <c r="B529" t="s">
        <v>1132</v>
      </c>
      <c r="C529" t="s">
        <v>1133</v>
      </c>
      <c r="D529" t="s">
        <v>1244</v>
      </c>
      <c r="E529" t="s">
        <v>1258</v>
      </c>
      <c r="G529" t="s">
        <v>1136</v>
      </c>
      <c r="H529">
        <v>529</v>
      </c>
    </row>
    <row r="530" spans="1:8">
      <c r="A530" t="s">
        <v>1131</v>
      </c>
      <c r="B530" t="s">
        <v>1132</v>
      </c>
      <c r="C530" t="s">
        <v>1133</v>
      </c>
      <c r="D530" t="s">
        <v>1244</v>
      </c>
      <c r="E530" t="s">
        <v>1258</v>
      </c>
      <c r="G530" t="s">
        <v>1136</v>
      </c>
      <c r="H530">
        <v>530</v>
      </c>
    </row>
    <row r="531" spans="1:8">
      <c r="A531" t="s">
        <v>1131</v>
      </c>
      <c r="B531" t="s">
        <v>1132</v>
      </c>
      <c r="C531" t="s">
        <v>1133</v>
      </c>
      <c r="D531" t="s">
        <v>1244</v>
      </c>
      <c r="E531" t="s">
        <v>1258</v>
      </c>
      <c r="G531" t="s">
        <v>1136</v>
      </c>
      <c r="H531">
        <v>531</v>
      </c>
    </row>
    <row r="532" spans="1:8">
      <c r="A532" t="s">
        <v>1131</v>
      </c>
      <c r="B532" t="s">
        <v>1132</v>
      </c>
      <c r="C532" t="s">
        <v>1133</v>
      </c>
      <c r="D532" t="s">
        <v>1244</v>
      </c>
      <c r="E532" t="s">
        <v>1258</v>
      </c>
      <c r="G532" t="s">
        <v>1136</v>
      </c>
      <c r="H532">
        <v>532</v>
      </c>
    </row>
    <row r="533" spans="1:8">
      <c r="A533" t="s">
        <v>1131</v>
      </c>
      <c r="B533" t="s">
        <v>1132</v>
      </c>
      <c r="C533" t="s">
        <v>1133</v>
      </c>
      <c r="D533" t="s">
        <v>1244</v>
      </c>
      <c r="E533" t="s">
        <v>1258</v>
      </c>
      <c r="G533" t="s">
        <v>1136</v>
      </c>
      <c r="H533">
        <v>533</v>
      </c>
    </row>
    <row r="534" spans="1:8">
      <c r="A534" t="s">
        <v>1131</v>
      </c>
      <c r="B534" t="s">
        <v>1132</v>
      </c>
      <c r="C534" t="s">
        <v>1133</v>
      </c>
      <c r="D534" t="s">
        <v>1244</v>
      </c>
      <c r="E534" t="s">
        <v>1258</v>
      </c>
      <c r="G534" t="s">
        <v>1136</v>
      </c>
      <c r="H534">
        <v>534</v>
      </c>
    </row>
    <row r="535" spans="1:8">
      <c r="A535" t="s">
        <v>1131</v>
      </c>
      <c r="B535" t="s">
        <v>1132</v>
      </c>
      <c r="C535" t="s">
        <v>1133</v>
      </c>
      <c r="D535" t="s">
        <v>1244</v>
      </c>
      <c r="E535" t="s">
        <v>1258</v>
      </c>
      <c r="G535" t="s">
        <v>1136</v>
      </c>
      <c r="H535">
        <v>535</v>
      </c>
    </row>
    <row r="536" spans="1:8">
      <c r="A536" t="s">
        <v>1131</v>
      </c>
      <c r="B536" t="s">
        <v>1132</v>
      </c>
      <c r="C536" t="s">
        <v>1133</v>
      </c>
      <c r="D536" t="s">
        <v>1244</v>
      </c>
      <c r="E536" t="s">
        <v>1258</v>
      </c>
      <c r="G536" t="s">
        <v>1136</v>
      </c>
      <c r="H536">
        <v>536</v>
      </c>
    </row>
    <row r="537" spans="1:8">
      <c r="A537" t="s">
        <v>1131</v>
      </c>
      <c r="B537" t="s">
        <v>1132</v>
      </c>
      <c r="C537" t="s">
        <v>1133</v>
      </c>
      <c r="D537" t="s">
        <v>1244</v>
      </c>
      <c r="E537" t="s">
        <v>1258</v>
      </c>
      <c r="G537" t="s">
        <v>1136</v>
      </c>
      <c r="H537">
        <v>537</v>
      </c>
    </row>
    <row r="538" spans="1:8">
      <c r="A538" t="s">
        <v>1131</v>
      </c>
      <c r="B538" t="s">
        <v>1132</v>
      </c>
      <c r="C538" t="s">
        <v>1133</v>
      </c>
      <c r="D538" t="s">
        <v>1259</v>
      </c>
      <c r="E538" t="s">
        <v>1260</v>
      </c>
      <c r="G538" t="s">
        <v>1136</v>
      </c>
      <c r="H538">
        <v>538</v>
      </c>
    </row>
    <row r="539" spans="1:8">
      <c r="A539" t="s">
        <v>1131</v>
      </c>
      <c r="B539" t="s">
        <v>1261</v>
      </c>
      <c r="C539" t="s">
        <v>1133</v>
      </c>
      <c r="F539" t="s">
        <v>1262</v>
      </c>
      <c r="G539" t="s">
        <v>1263</v>
      </c>
      <c r="H539">
        <v>2</v>
      </c>
    </row>
    <row r="540" spans="1:8">
      <c r="A540" t="s">
        <v>1131</v>
      </c>
      <c r="B540" t="s">
        <v>1261</v>
      </c>
      <c r="C540" t="s">
        <v>1133</v>
      </c>
      <c r="F540" t="s">
        <v>1262</v>
      </c>
      <c r="G540" t="s">
        <v>1263</v>
      </c>
      <c r="H540">
        <v>3</v>
      </c>
    </row>
    <row r="541" spans="1:8">
      <c r="A541" t="s">
        <v>1131</v>
      </c>
      <c r="B541" t="s">
        <v>1261</v>
      </c>
      <c r="C541" t="s">
        <v>1133</v>
      </c>
      <c r="F541" t="s">
        <v>1262</v>
      </c>
      <c r="G541" t="s">
        <v>1263</v>
      </c>
      <c r="H541">
        <v>4</v>
      </c>
    </row>
    <row r="542" spans="1:8">
      <c r="A542" t="s">
        <v>1131</v>
      </c>
      <c r="B542" t="s">
        <v>1261</v>
      </c>
      <c r="C542" t="s">
        <v>1133</v>
      </c>
      <c r="F542" t="s">
        <v>1262</v>
      </c>
      <c r="G542" t="s">
        <v>1263</v>
      </c>
      <c r="H542">
        <v>5</v>
      </c>
    </row>
    <row r="543" spans="1:8">
      <c r="A543" t="s">
        <v>1131</v>
      </c>
      <c r="B543" t="s">
        <v>1261</v>
      </c>
      <c r="C543" t="s">
        <v>1133</v>
      </c>
      <c r="F543" t="s">
        <v>1262</v>
      </c>
      <c r="G543" t="s">
        <v>1263</v>
      </c>
      <c r="H543">
        <v>6</v>
      </c>
    </row>
    <row r="544" spans="1:8">
      <c r="A544" t="s">
        <v>1131</v>
      </c>
      <c r="B544" t="s">
        <v>1261</v>
      </c>
      <c r="C544" t="s">
        <v>1133</v>
      </c>
      <c r="F544" t="s">
        <v>1262</v>
      </c>
      <c r="G544" t="s">
        <v>1263</v>
      </c>
      <c r="H544">
        <v>7</v>
      </c>
    </row>
    <row r="545" spans="1:8">
      <c r="A545" t="s">
        <v>1131</v>
      </c>
      <c r="B545" t="s">
        <v>1261</v>
      </c>
      <c r="C545" t="s">
        <v>1133</v>
      </c>
      <c r="F545" t="s">
        <v>1262</v>
      </c>
      <c r="G545" t="s">
        <v>1263</v>
      </c>
      <c r="H545">
        <v>8</v>
      </c>
    </row>
    <row r="546" spans="1:8">
      <c r="A546" t="s">
        <v>1131</v>
      </c>
      <c r="B546" t="s">
        <v>1261</v>
      </c>
      <c r="C546" t="s">
        <v>1143</v>
      </c>
      <c r="F546" t="s">
        <v>1262</v>
      </c>
      <c r="G546" t="s">
        <v>1263</v>
      </c>
      <c r="H546">
        <v>9</v>
      </c>
    </row>
    <row r="547" spans="1:8">
      <c r="A547" t="s">
        <v>1131</v>
      </c>
      <c r="B547" t="s">
        <v>1261</v>
      </c>
      <c r="C547" t="s">
        <v>1148</v>
      </c>
      <c r="F547" t="s">
        <v>1262</v>
      </c>
      <c r="G547" t="s">
        <v>1263</v>
      </c>
      <c r="H547">
        <v>10</v>
      </c>
    </row>
    <row r="548" spans="1:8">
      <c r="A548" t="s">
        <v>1131</v>
      </c>
      <c r="B548" t="s">
        <v>1261</v>
      </c>
      <c r="C548" t="s">
        <v>1264</v>
      </c>
      <c r="F548" t="s">
        <v>1262</v>
      </c>
      <c r="G548" t="s">
        <v>1263</v>
      </c>
      <c r="H548">
        <v>11</v>
      </c>
    </row>
    <row r="549" spans="1:8">
      <c r="A549" t="s">
        <v>1131</v>
      </c>
      <c r="B549" t="s">
        <v>1261</v>
      </c>
      <c r="C549" t="s">
        <v>1143</v>
      </c>
      <c r="F549" t="s">
        <v>1262</v>
      </c>
      <c r="G549" t="s">
        <v>1263</v>
      </c>
      <c r="H549">
        <v>12</v>
      </c>
    </row>
    <row r="550" spans="1:8">
      <c r="A550" t="s">
        <v>1131</v>
      </c>
      <c r="B550" t="s">
        <v>1261</v>
      </c>
      <c r="C550" t="s">
        <v>1148</v>
      </c>
      <c r="F550" t="s">
        <v>1262</v>
      </c>
      <c r="G550" t="s">
        <v>1263</v>
      </c>
      <c r="H550">
        <v>13</v>
      </c>
    </row>
    <row r="551" spans="1:8">
      <c r="A551" t="s">
        <v>1131</v>
      </c>
      <c r="B551" t="s">
        <v>1261</v>
      </c>
      <c r="C551" t="s">
        <v>1264</v>
      </c>
      <c r="F551" t="s">
        <v>1262</v>
      </c>
      <c r="G551" t="s">
        <v>1263</v>
      </c>
      <c r="H551">
        <v>14</v>
      </c>
    </row>
    <row r="552" spans="1:8">
      <c r="A552" t="s">
        <v>1131</v>
      </c>
      <c r="B552" t="s">
        <v>1261</v>
      </c>
      <c r="C552" t="s">
        <v>1143</v>
      </c>
      <c r="F552" t="s">
        <v>1262</v>
      </c>
      <c r="G552" t="s">
        <v>1263</v>
      </c>
      <c r="H552">
        <v>15</v>
      </c>
    </row>
    <row r="553" spans="1:8">
      <c r="A553" t="s">
        <v>1131</v>
      </c>
      <c r="B553" t="s">
        <v>1261</v>
      </c>
      <c r="C553" t="s">
        <v>1148</v>
      </c>
      <c r="F553" t="s">
        <v>1262</v>
      </c>
      <c r="G553" t="s">
        <v>1263</v>
      </c>
      <c r="H553">
        <v>16</v>
      </c>
    </row>
    <row r="554" spans="1:8">
      <c r="A554" t="s">
        <v>1131</v>
      </c>
      <c r="B554" t="s">
        <v>1261</v>
      </c>
      <c r="C554" t="s">
        <v>1264</v>
      </c>
      <c r="F554" t="s">
        <v>1262</v>
      </c>
      <c r="G554" t="s">
        <v>1263</v>
      </c>
      <c r="H554">
        <v>17</v>
      </c>
    </row>
    <row r="555" spans="1:8">
      <c r="A555" t="s">
        <v>1131</v>
      </c>
      <c r="B555" t="s">
        <v>1261</v>
      </c>
      <c r="C555" t="s">
        <v>1148</v>
      </c>
      <c r="F555" t="s">
        <v>1262</v>
      </c>
      <c r="G555" t="s">
        <v>1263</v>
      </c>
      <c r="H555">
        <v>18</v>
      </c>
    </row>
    <row r="556" spans="1:8">
      <c r="A556" t="s">
        <v>1131</v>
      </c>
      <c r="B556" t="s">
        <v>1261</v>
      </c>
      <c r="C556" t="s">
        <v>1264</v>
      </c>
      <c r="F556" t="s">
        <v>1262</v>
      </c>
      <c r="G556" t="s">
        <v>1263</v>
      </c>
      <c r="H556">
        <v>19</v>
      </c>
    </row>
    <row r="557" spans="1:8">
      <c r="A557" t="s">
        <v>1131</v>
      </c>
      <c r="B557" t="s">
        <v>1261</v>
      </c>
      <c r="C557" t="s">
        <v>1143</v>
      </c>
      <c r="F557" t="s">
        <v>1262</v>
      </c>
      <c r="G557" t="s">
        <v>1263</v>
      </c>
      <c r="H557">
        <v>20</v>
      </c>
    </row>
    <row r="558" spans="1:8">
      <c r="A558" t="s">
        <v>1131</v>
      </c>
      <c r="B558" t="s">
        <v>1261</v>
      </c>
      <c r="C558" t="s">
        <v>1148</v>
      </c>
      <c r="F558" t="s">
        <v>1262</v>
      </c>
      <c r="G558" t="s">
        <v>1263</v>
      </c>
      <c r="H558">
        <v>21</v>
      </c>
    </row>
    <row r="559" spans="1:8">
      <c r="A559" t="s">
        <v>1131</v>
      </c>
      <c r="B559" t="s">
        <v>1261</v>
      </c>
      <c r="C559" t="s">
        <v>1264</v>
      </c>
      <c r="F559" t="s">
        <v>1262</v>
      </c>
      <c r="G559" t="s">
        <v>1263</v>
      </c>
      <c r="H559">
        <v>22</v>
      </c>
    </row>
    <row r="560" spans="1:8">
      <c r="A560" t="s">
        <v>1131</v>
      </c>
      <c r="B560" t="s">
        <v>1261</v>
      </c>
      <c r="C560" t="s">
        <v>1133</v>
      </c>
      <c r="F560" t="s">
        <v>1262</v>
      </c>
      <c r="G560" t="s">
        <v>1263</v>
      </c>
      <c r="H560">
        <v>23</v>
      </c>
    </row>
    <row r="561" spans="1:8">
      <c r="A561" t="s">
        <v>1131</v>
      </c>
      <c r="B561" t="s">
        <v>1261</v>
      </c>
      <c r="C561" t="s">
        <v>1133</v>
      </c>
      <c r="F561" t="s">
        <v>1262</v>
      </c>
      <c r="G561" t="s">
        <v>1263</v>
      </c>
      <c r="H561">
        <v>24</v>
      </c>
    </row>
    <row r="562" spans="1:8">
      <c r="A562" t="s">
        <v>1131</v>
      </c>
      <c r="B562" t="s">
        <v>1261</v>
      </c>
      <c r="C562" t="s">
        <v>1143</v>
      </c>
      <c r="F562" t="s">
        <v>1262</v>
      </c>
      <c r="G562" t="s">
        <v>1263</v>
      </c>
      <c r="H562">
        <v>25</v>
      </c>
    </row>
    <row r="563" spans="1:8">
      <c r="A563" t="s">
        <v>1131</v>
      </c>
      <c r="B563" t="s">
        <v>1261</v>
      </c>
      <c r="C563" t="s">
        <v>1148</v>
      </c>
      <c r="F563" t="s">
        <v>1262</v>
      </c>
      <c r="G563" t="s">
        <v>1263</v>
      </c>
      <c r="H563">
        <v>26</v>
      </c>
    </row>
    <row r="564" spans="1:8">
      <c r="A564" t="s">
        <v>1131</v>
      </c>
      <c r="B564" t="s">
        <v>1261</v>
      </c>
      <c r="C564" t="s">
        <v>1264</v>
      </c>
      <c r="F564" t="s">
        <v>1262</v>
      </c>
      <c r="G564" t="s">
        <v>1263</v>
      </c>
      <c r="H564">
        <v>27</v>
      </c>
    </row>
    <row r="565" spans="1:8">
      <c r="A565" t="s">
        <v>1131</v>
      </c>
      <c r="B565" t="s">
        <v>1261</v>
      </c>
      <c r="C565" t="s">
        <v>1143</v>
      </c>
      <c r="F565" t="s">
        <v>1262</v>
      </c>
      <c r="G565" t="s">
        <v>1263</v>
      </c>
      <c r="H565">
        <v>28</v>
      </c>
    </row>
    <row r="566" spans="1:8">
      <c r="A566" t="s">
        <v>1131</v>
      </c>
      <c r="B566" t="s">
        <v>1261</v>
      </c>
      <c r="C566" t="s">
        <v>1148</v>
      </c>
      <c r="F566" t="s">
        <v>1262</v>
      </c>
      <c r="G566" t="s">
        <v>1263</v>
      </c>
      <c r="H566">
        <v>29</v>
      </c>
    </row>
    <row r="567" spans="1:8">
      <c r="A567" t="s">
        <v>1131</v>
      </c>
      <c r="B567" t="s">
        <v>1261</v>
      </c>
      <c r="C567" t="s">
        <v>1264</v>
      </c>
      <c r="F567" t="s">
        <v>1262</v>
      </c>
      <c r="G567" t="s">
        <v>1263</v>
      </c>
      <c r="H567">
        <v>30</v>
      </c>
    </row>
    <row r="568" spans="1:8">
      <c r="A568" t="s">
        <v>1131</v>
      </c>
      <c r="B568" t="s">
        <v>1261</v>
      </c>
      <c r="C568" t="s">
        <v>1143</v>
      </c>
      <c r="F568" t="s">
        <v>1262</v>
      </c>
      <c r="G568" t="s">
        <v>1263</v>
      </c>
      <c r="H568">
        <v>31</v>
      </c>
    </row>
    <row r="569" spans="1:8">
      <c r="A569" t="s">
        <v>1131</v>
      </c>
      <c r="B569" t="s">
        <v>1261</v>
      </c>
      <c r="C569" t="s">
        <v>1148</v>
      </c>
      <c r="F569" t="s">
        <v>1262</v>
      </c>
      <c r="G569" t="s">
        <v>1263</v>
      </c>
      <c r="H569">
        <v>32</v>
      </c>
    </row>
    <row r="570" spans="1:8">
      <c r="A570" t="s">
        <v>1131</v>
      </c>
      <c r="B570" t="s">
        <v>1261</v>
      </c>
      <c r="C570" t="s">
        <v>1264</v>
      </c>
      <c r="F570" t="s">
        <v>1262</v>
      </c>
      <c r="G570" t="s">
        <v>1263</v>
      </c>
      <c r="H570">
        <v>33</v>
      </c>
    </row>
    <row r="571" spans="1:8">
      <c r="A571" t="s">
        <v>1131</v>
      </c>
      <c r="B571" t="s">
        <v>1261</v>
      </c>
      <c r="C571" t="s">
        <v>1143</v>
      </c>
      <c r="F571" t="s">
        <v>1262</v>
      </c>
      <c r="G571" t="s">
        <v>1263</v>
      </c>
      <c r="H571">
        <v>34</v>
      </c>
    </row>
    <row r="572" spans="1:8">
      <c r="A572" t="s">
        <v>1131</v>
      </c>
      <c r="B572" t="s">
        <v>1261</v>
      </c>
      <c r="C572" t="s">
        <v>1148</v>
      </c>
      <c r="F572" t="s">
        <v>1262</v>
      </c>
      <c r="G572" t="s">
        <v>1263</v>
      </c>
      <c r="H572">
        <v>35</v>
      </c>
    </row>
    <row r="573" spans="1:8">
      <c r="A573" t="s">
        <v>1131</v>
      </c>
      <c r="B573" t="s">
        <v>1261</v>
      </c>
      <c r="C573" t="s">
        <v>1264</v>
      </c>
      <c r="F573" t="s">
        <v>1262</v>
      </c>
      <c r="G573" t="s">
        <v>1263</v>
      </c>
      <c r="H573">
        <v>36</v>
      </c>
    </row>
    <row r="574" spans="1:8">
      <c r="A574" t="s">
        <v>1131</v>
      </c>
      <c r="B574" t="s">
        <v>1261</v>
      </c>
      <c r="C574" t="s">
        <v>1143</v>
      </c>
      <c r="F574" t="s">
        <v>1262</v>
      </c>
      <c r="G574" t="s">
        <v>1263</v>
      </c>
      <c r="H574">
        <v>37</v>
      </c>
    </row>
    <row r="575" spans="1:8">
      <c r="A575" t="s">
        <v>1131</v>
      </c>
      <c r="B575" t="s">
        <v>1261</v>
      </c>
      <c r="C575" t="s">
        <v>1148</v>
      </c>
      <c r="F575" t="s">
        <v>1262</v>
      </c>
      <c r="G575" t="s">
        <v>1263</v>
      </c>
      <c r="H575">
        <v>38</v>
      </c>
    </row>
    <row r="576" spans="1:8">
      <c r="A576" t="s">
        <v>1131</v>
      </c>
      <c r="B576" t="s">
        <v>1261</v>
      </c>
      <c r="C576" t="s">
        <v>1264</v>
      </c>
      <c r="F576" t="s">
        <v>1262</v>
      </c>
      <c r="G576" t="s">
        <v>1263</v>
      </c>
      <c r="H576">
        <v>39</v>
      </c>
    </row>
    <row r="577" spans="1:8">
      <c r="A577" t="s">
        <v>1131</v>
      </c>
      <c r="B577" t="s">
        <v>1261</v>
      </c>
      <c r="C577" t="s">
        <v>1143</v>
      </c>
      <c r="F577" t="s">
        <v>1262</v>
      </c>
      <c r="G577" t="s">
        <v>1263</v>
      </c>
      <c r="H577">
        <v>40</v>
      </c>
    </row>
    <row r="578" spans="1:8">
      <c r="A578" t="s">
        <v>1131</v>
      </c>
      <c r="B578" t="s">
        <v>1261</v>
      </c>
      <c r="C578" t="s">
        <v>1148</v>
      </c>
      <c r="F578" t="s">
        <v>1262</v>
      </c>
      <c r="G578" t="s">
        <v>1263</v>
      </c>
      <c r="H578">
        <v>41</v>
      </c>
    </row>
    <row r="579" spans="1:8">
      <c r="A579" t="s">
        <v>1131</v>
      </c>
      <c r="B579" t="s">
        <v>1261</v>
      </c>
      <c r="C579" t="s">
        <v>1264</v>
      </c>
      <c r="F579" t="s">
        <v>1262</v>
      </c>
      <c r="G579" t="s">
        <v>1263</v>
      </c>
      <c r="H579">
        <v>42</v>
      </c>
    </row>
    <row r="580" spans="1:8">
      <c r="A580" t="s">
        <v>1131</v>
      </c>
      <c r="B580" t="s">
        <v>1261</v>
      </c>
      <c r="C580" t="s">
        <v>1143</v>
      </c>
      <c r="F580" t="s">
        <v>1262</v>
      </c>
      <c r="G580" t="s">
        <v>1263</v>
      </c>
      <c r="H580">
        <v>43</v>
      </c>
    </row>
    <row r="581" spans="1:8">
      <c r="A581" t="s">
        <v>1131</v>
      </c>
      <c r="B581" t="s">
        <v>1261</v>
      </c>
      <c r="C581" t="s">
        <v>1148</v>
      </c>
      <c r="F581" t="s">
        <v>1262</v>
      </c>
      <c r="G581" t="s">
        <v>1263</v>
      </c>
      <c r="H581">
        <v>44</v>
      </c>
    </row>
    <row r="582" spans="1:8">
      <c r="A582" t="s">
        <v>1131</v>
      </c>
      <c r="B582" t="s">
        <v>1261</v>
      </c>
      <c r="C582" t="s">
        <v>1264</v>
      </c>
      <c r="F582" t="s">
        <v>1262</v>
      </c>
      <c r="G582" t="s">
        <v>1263</v>
      </c>
      <c r="H582">
        <v>45</v>
      </c>
    </row>
    <row r="583" spans="1:8">
      <c r="A583" t="s">
        <v>1131</v>
      </c>
      <c r="B583" t="s">
        <v>1261</v>
      </c>
      <c r="C583" t="s">
        <v>1143</v>
      </c>
      <c r="F583" t="s">
        <v>1262</v>
      </c>
      <c r="G583" t="s">
        <v>1263</v>
      </c>
      <c r="H583">
        <v>46</v>
      </c>
    </row>
    <row r="584" spans="1:8">
      <c r="A584" t="s">
        <v>1131</v>
      </c>
      <c r="B584" t="s">
        <v>1261</v>
      </c>
      <c r="C584" t="s">
        <v>1148</v>
      </c>
      <c r="F584" t="s">
        <v>1262</v>
      </c>
      <c r="G584" t="s">
        <v>1263</v>
      </c>
      <c r="H584">
        <v>47</v>
      </c>
    </row>
    <row r="585" spans="1:8">
      <c r="A585" t="s">
        <v>1131</v>
      </c>
      <c r="B585" t="s">
        <v>1261</v>
      </c>
      <c r="C585" t="s">
        <v>1264</v>
      </c>
      <c r="F585" t="s">
        <v>1262</v>
      </c>
      <c r="G585" t="s">
        <v>1263</v>
      </c>
      <c r="H585">
        <v>48</v>
      </c>
    </row>
    <row r="586" spans="1:8">
      <c r="A586" t="s">
        <v>1131</v>
      </c>
      <c r="B586" t="s">
        <v>1261</v>
      </c>
      <c r="C586" t="s">
        <v>1148</v>
      </c>
      <c r="F586" t="s">
        <v>1262</v>
      </c>
      <c r="G586" t="s">
        <v>1263</v>
      </c>
      <c r="H586">
        <v>49</v>
      </c>
    </row>
    <row r="587" spans="1:8">
      <c r="A587" t="s">
        <v>1131</v>
      </c>
      <c r="B587" t="s">
        <v>1261</v>
      </c>
      <c r="C587" t="s">
        <v>1264</v>
      </c>
      <c r="F587" t="s">
        <v>1262</v>
      </c>
      <c r="G587" t="s">
        <v>1263</v>
      </c>
      <c r="H587">
        <v>50</v>
      </c>
    </row>
    <row r="588" spans="1:8">
      <c r="A588" t="s">
        <v>1131</v>
      </c>
      <c r="B588" t="s">
        <v>1261</v>
      </c>
      <c r="C588" t="s">
        <v>1133</v>
      </c>
      <c r="F588" t="s">
        <v>1262</v>
      </c>
      <c r="G588" t="s">
        <v>1263</v>
      </c>
      <c r="H588">
        <v>51</v>
      </c>
    </row>
    <row r="589" spans="1:8">
      <c r="A589" t="s">
        <v>1131</v>
      </c>
      <c r="B589" t="s">
        <v>1261</v>
      </c>
      <c r="C589" t="s">
        <v>1148</v>
      </c>
      <c r="F589" t="s">
        <v>1262</v>
      </c>
      <c r="G589" t="s">
        <v>1263</v>
      </c>
      <c r="H589">
        <v>52</v>
      </c>
    </row>
    <row r="590" spans="1:8">
      <c r="A590" t="s">
        <v>1131</v>
      </c>
      <c r="B590" t="s">
        <v>1261</v>
      </c>
      <c r="C590" t="s">
        <v>1264</v>
      </c>
      <c r="F590" t="s">
        <v>1262</v>
      </c>
      <c r="G590" t="s">
        <v>1263</v>
      </c>
      <c r="H590">
        <v>53</v>
      </c>
    </row>
    <row r="591" spans="1:8">
      <c r="A591" t="s">
        <v>1131</v>
      </c>
      <c r="B591" t="s">
        <v>1261</v>
      </c>
      <c r="C591" t="s">
        <v>1143</v>
      </c>
      <c r="F591" t="s">
        <v>1262</v>
      </c>
      <c r="G591" t="s">
        <v>1263</v>
      </c>
      <c r="H591">
        <v>54</v>
      </c>
    </row>
    <row r="592" spans="1:8">
      <c r="A592" t="s">
        <v>1131</v>
      </c>
      <c r="B592" t="s">
        <v>1261</v>
      </c>
      <c r="C592" t="s">
        <v>1148</v>
      </c>
      <c r="F592" t="s">
        <v>1262</v>
      </c>
      <c r="G592" t="s">
        <v>1263</v>
      </c>
      <c r="H592">
        <v>55</v>
      </c>
    </row>
    <row r="593" spans="1:8">
      <c r="A593" t="s">
        <v>1131</v>
      </c>
      <c r="B593" t="s">
        <v>1261</v>
      </c>
      <c r="C593" t="s">
        <v>1264</v>
      </c>
      <c r="F593" t="s">
        <v>1262</v>
      </c>
      <c r="G593" t="s">
        <v>1263</v>
      </c>
      <c r="H593">
        <v>56</v>
      </c>
    </row>
    <row r="594" spans="1:8">
      <c r="A594" t="s">
        <v>1131</v>
      </c>
      <c r="B594" t="s">
        <v>1261</v>
      </c>
      <c r="C594" t="s">
        <v>1148</v>
      </c>
      <c r="F594" t="s">
        <v>1262</v>
      </c>
      <c r="G594" t="s">
        <v>1263</v>
      </c>
      <c r="H594">
        <v>57</v>
      </c>
    </row>
    <row r="595" spans="1:8">
      <c r="A595" t="s">
        <v>1131</v>
      </c>
      <c r="B595" t="s">
        <v>1261</v>
      </c>
      <c r="C595" t="s">
        <v>1264</v>
      </c>
      <c r="F595" t="s">
        <v>1262</v>
      </c>
      <c r="G595" t="s">
        <v>1263</v>
      </c>
      <c r="H595">
        <v>58</v>
      </c>
    </row>
    <row r="596" spans="1:8">
      <c r="A596" t="s">
        <v>1131</v>
      </c>
      <c r="B596" t="s">
        <v>1261</v>
      </c>
      <c r="C596" t="s">
        <v>1148</v>
      </c>
      <c r="F596" t="s">
        <v>1262</v>
      </c>
      <c r="G596" t="s">
        <v>1263</v>
      </c>
      <c r="H596">
        <v>59</v>
      </c>
    </row>
    <row r="597" spans="1:8">
      <c r="A597" t="s">
        <v>1131</v>
      </c>
      <c r="B597" t="s">
        <v>1261</v>
      </c>
      <c r="C597" t="s">
        <v>1264</v>
      </c>
      <c r="F597" t="s">
        <v>1262</v>
      </c>
      <c r="G597" t="s">
        <v>1263</v>
      </c>
      <c r="H597">
        <v>60</v>
      </c>
    </row>
    <row r="598" spans="1:8">
      <c r="A598" t="s">
        <v>1131</v>
      </c>
      <c r="B598" t="s">
        <v>1261</v>
      </c>
      <c r="C598" t="s">
        <v>1133</v>
      </c>
      <c r="F598" t="s">
        <v>1262</v>
      </c>
      <c r="G598" t="s">
        <v>1263</v>
      </c>
      <c r="H598">
        <v>61</v>
      </c>
    </row>
    <row r="599" spans="1:8">
      <c r="A599" t="s">
        <v>1131</v>
      </c>
      <c r="B599" t="s">
        <v>1261</v>
      </c>
      <c r="C599" t="s">
        <v>1143</v>
      </c>
      <c r="F599" t="s">
        <v>1262</v>
      </c>
      <c r="G599" t="s">
        <v>1263</v>
      </c>
      <c r="H599">
        <v>62</v>
      </c>
    </row>
    <row r="600" spans="1:8">
      <c r="A600" t="s">
        <v>1131</v>
      </c>
      <c r="B600" t="s">
        <v>1261</v>
      </c>
      <c r="C600" t="s">
        <v>1148</v>
      </c>
      <c r="F600" t="s">
        <v>1262</v>
      </c>
      <c r="G600" t="s">
        <v>1263</v>
      </c>
      <c r="H600">
        <v>63</v>
      </c>
    </row>
    <row r="601" spans="1:8">
      <c r="A601" t="s">
        <v>1131</v>
      </c>
      <c r="B601" t="s">
        <v>1261</v>
      </c>
      <c r="C601" t="s">
        <v>1264</v>
      </c>
      <c r="F601" t="s">
        <v>1262</v>
      </c>
      <c r="G601" t="s">
        <v>1263</v>
      </c>
      <c r="H601">
        <v>64</v>
      </c>
    </row>
    <row r="602" spans="1:8">
      <c r="A602" t="s">
        <v>1131</v>
      </c>
      <c r="B602" t="s">
        <v>1261</v>
      </c>
      <c r="C602" t="s">
        <v>1143</v>
      </c>
      <c r="F602" t="s">
        <v>1262</v>
      </c>
      <c r="G602" t="s">
        <v>1263</v>
      </c>
      <c r="H602">
        <v>65</v>
      </c>
    </row>
    <row r="603" spans="1:8">
      <c r="A603" t="s">
        <v>1131</v>
      </c>
      <c r="B603" t="s">
        <v>1261</v>
      </c>
      <c r="C603" t="s">
        <v>1148</v>
      </c>
      <c r="F603" t="s">
        <v>1262</v>
      </c>
      <c r="G603" t="s">
        <v>1263</v>
      </c>
      <c r="H603">
        <v>66</v>
      </c>
    </row>
    <row r="604" spans="1:8">
      <c r="A604" t="s">
        <v>1131</v>
      </c>
      <c r="B604" t="s">
        <v>1261</v>
      </c>
      <c r="C604" t="s">
        <v>1264</v>
      </c>
      <c r="F604" t="s">
        <v>1262</v>
      </c>
      <c r="G604" t="s">
        <v>1263</v>
      </c>
      <c r="H604">
        <v>67</v>
      </c>
    </row>
    <row r="605" spans="1:8">
      <c r="A605" t="s">
        <v>1131</v>
      </c>
      <c r="B605" t="s">
        <v>1261</v>
      </c>
      <c r="C605" t="s">
        <v>1148</v>
      </c>
      <c r="F605" t="s">
        <v>1262</v>
      </c>
      <c r="G605" t="s">
        <v>1263</v>
      </c>
      <c r="H605">
        <v>68</v>
      </c>
    </row>
    <row r="606" spans="1:8">
      <c r="A606" t="s">
        <v>1131</v>
      </c>
      <c r="B606" t="s">
        <v>1261</v>
      </c>
      <c r="C606" t="s">
        <v>1264</v>
      </c>
      <c r="F606" t="s">
        <v>1262</v>
      </c>
      <c r="G606" t="s">
        <v>1263</v>
      </c>
      <c r="H606">
        <v>69</v>
      </c>
    </row>
    <row r="607" spans="1:8">
      <c r="A607" t="s">
        <v>1131</v>
      </c>
      <c r="B607" t="s">
        <v>1261</v>
      </c>
      <c r="C607" t="s">
        <v>1143</v>
      </c>
      <c r="F607" t="s">
        <v>1262</v>
      </c>
      <c r="G607" t="s">
        <v>1263</v>
      </c>
      <c r="H607">
        <v>70</v>
      </c>
    </row>
    <row r="608" spans="1:8">
      <c r="A608" t="s">
        <v>1131</v>
      </c>
      <c r="B608" t="s">
        <v>1261</v>
      </c>
      <c r="C608" t="s">
        <v>1148</v>
      </c>
      <c r="F608" t="s">
        <v>1262</v>
      </c>
      <c r="G608" t="s">
        <v>1263</v>
      </c>
      <c r="H608">
        <v>71</v>
      </c>
    </row>
    <row r="609" spans="1:8">
      <c r="A609" t="s">
        <v>1131</v>
      </c>
      <c r="B609" t="s">
        <v>1261</v>
      </c>
      <c r="C609" t="s">
        <v>1264</v>
      </c>
      <c r="F609" t="s">
        <v>1262</v>
      </c>
      <c r="G609" t="s">
        <v>1263</v>
      </c>
      <c r="H609">
        <v>72</v>
      </c>
    </row>
    <row r="610" spans="1:8">
      <c r="A610" t="s">
        <v>1131</v>
      </c>
      <c r="B610" t="s">
        <v>1261</v>
      </c>
      <c r="C610" t="s">
        <v>1143</v>
      </c>
      <c r="F610" t="s">
        <v>1262</v>
      </c>
      <c r="G610" t="s">
        <v>1263</v>
      </c>
      <c r="H610">
        <v>73</v>
      </c>
    </row>
    <row r="611" spans="1:8">
      <c r="A611" t="s">
        <v>1131</v>
      </c>
      <c r="B611" t="s">
        <v>1261</v>
      </c>
      <c r="C611" t="s">
        <v>1148</v>
      </c>
      <c r="F611" t="s">
        <v>1262</v>
      </c>
      <c r="G611" t="s">
        <v>1263</v>
      </c>
      <c r="H611">
        <v>74</v>
      </c>
    </row>
    <row r="612" spans="1:8">
      <c r="A612" t="s">
        <v>1131</v>
      </c>
      <c r="B612" t="s">
        <v>1261</v>
      </c>
      <c r="C612" t="s">
        <v>1264</v>
      </c>
      <c r="F612" t="s">
        <v>1262</v>
      </c>
      <c r="G612" t="s">
        <v>1263</v>
      </c>
      <c r="H612">
        <v>75</v>
      </c>
    </row>
    <row r="613" spans="1:8">
      <c r="A613" t="s">
        <v>1131</v>
      </c>
      <c r="B613" t="s">
        <v>1261</v>
      </c>
      <c r="C613" t="s">
        <v>1133</v>
      </c>
      <c r="F613" t="s">
        <v>1262</v>
      </c>
      <c r="G613" t="s">
        <v>1263</v>
      </c>
      <c r="H613">
        <v>76</v>
      </c>
    </row>
    <row r="614" spans="1:8">
      <c r="A614" t="s">
        <v>1131</v>
      </c>
      <c r="B614" t="s">
        <v>1261</v>
      </c>
      <c r="C614" t="s">
        <v>1143</v>
      </c>
      <c r="F614" t="s">
        <v>1262</v>
      </c>
      <c r="G614" t="s">
        <v>1263</v>
      </c>
      <c r="H614">
        <v>77</v>
      </c>
    </row>
    <row r="615" spans="1:8">
      <c r="A615" t="s">
        <v>1131</v>
      </c>
      <c r="B615" t="s">
        <v>1261</v>
      </c>
      <c r="C615" t="s">
        <v>1148</v>
      </c>
      <c r="F615" t="s">
        <v>1262</v>
      </c>
      <c r="G615" t="s">
        <v>1263</v>
      </c>
      <c r="H615">
        <v>78</v>
      </c>
    </row>
    <row r="616" spans="1:8">
      <c r="A616" t="s">
        <v>1131</v>
      </c>
      <c r="B616" t="s">
        <v>1261</v>
      </c>
      <c r="C616" t="s">
        <v>1264</v>
      </c>
      <c r="F616" t="s">
        <v>1262</v>
      </c>
      <c r="G616" t="s">
        <v>1263</v>
      </c>
      <c r="H616">
        <v>79</v>
      </c>
    </row>
    <row r="617" spans="1:8">
      <c r="A617" t="s">
        <v>1131</v>
      </c>
      <c r="B617" t="s">
        <v>1261</v>
      </c>
      <c r="C617" t="s">
        <v>1148</v>
      </c>
      <c r="F617" t="s">
        <v>1262</v>
      </c>
      <c r="G617" t="s">
        <v>1263</v>
      </c>
      <c r="H617">
        <v>80</v>
      </c>
    </row>
    <row r="618" spans="1:8">
      <c r="A618" t="s">
        <v>1131</v>
      </c>
      <c r="B618" t="s">
        <v>1261</v>
      </c>
      <c r="C618" t="s">
        <v>1264</v>
      </c>
      <c r="F618" t="s">
        <v>1262</v>
      </c>
      <c r="G618" t="s">
        <v>1263</v>
      </c>
      <c r="H618">
        <v>81</v>
      </c>
    </row>
    <row r="619" spans="1:8">
      <c r="A619" t="s">
        <v>1131</v>
      </c>
      <c r="B619" t="s">
        <v>1261</v>
      </c>
      <c r="C619" t="s">
        <v>1167</v>
      </c>
      <c r="F619" t="s">
        <v>1262</v>
      </c>
      <c r="G619" t="s">
        <v>1263</v>
      </c>
      <c r="H619">
        <v>82</v>
      </c>
    </row>
    <row r="620" spans="1:8">
      <c r="A620" t="s">
        <v>1131</v>
      </c>
      <c r="B620" t="s">
        <v>1261</v>
      </c>
      <c r="C620" t="s">
        <v>1133</v>
      </c>
      <c r="F620" t="s">
        <v>1262</v>
      </c>
      <c r="G620" t="s">
        <v>1263</v>
      </c>
      <c r="H620">
        <v>83</v>
      </c>
    </row>
    <row r="621" spans="1:8">
      <c r="A621" t="s">
        <v>1131</v>
      </c>
      <c r="B621" t="s">
        <v>1261</v>
      </c>
      <c r="C621" t="s">
        <v>1148</v>
      </c>
      <c r="F621" t="s">
        <v>1262</v>
      </c>
      <c r="G621" t="s">
        <v>1263</v>
      </c>
      <c r="H621">
        <v>84</v>
      </c>
    </row>
    <row r="622" spans="1:8">
      <c r="A622" t="s">
        <v>1131</v>
      </c>
      <c r="B622" t="s">
        <v>1261</v>
      </c>
      <c r="C622" t="s">
        <v>1264</v>
      </c>
      <c r="F622" t="s">
        <v>1262</v>
      </c>
      <c r="G622" t="s">
        <v>1263</v>
      </c>
      <c r="H622">
        <v>85</v>
      </c>
    </row>
    <row r="623" spans="1:8">
      <c r="A623" t="s">
        <v>1131</v>
      </c>
      <c r="B623" t="s">
        <v>1261</v>
      </c>
      <c r="C623" t="s">
        <v>1133</v>
      </c>
      <c r="F623" t="s">
        <v>1262</v>
      </c>
      <c r="G623" t="s">
        <v>1263</v>
      </c>
      <c r="H623">
        <v>86</v>
      </c>
    </row>
    <row r="624" spans="1:8">
      <c r="A624" t="s">
        <v>1131</v>
      </c>
      <c r="B624" t="s">
        <v>1261</v>
      </c>
      <c r="C624" t="s">
        <v>1143</v>
      </c>
      <c r="F624" t="s">
        <v>1262</v>
      </c>
      <c r="G624" t="s">
        <v>1263</v>
      </c>
      <c r="H624">
        <v>87</v>
      </c>
    </row>
    <row r="625" spans="1:8">
      <c r="A625" t="s">
        <v>1131</v>
      </c>
      <c r="B625" t="s">
        <v>1261</v>
      </c>
      <c r="C625" t="s">
        <v>1148</v>
      </c>
      <c r="F625" t="s">
        <v>1262</v>
      </c>
      <c r="G625" t="s">
        <v>1263</v>
      </c>
      <c r="H625">
        <v>88</v>
      </c>
    </row>
    <row r="626" spans="1:8">
      <c r="A626" t="s">
        <v>1131</v>
      </c>
      <c r="B626" t="s">
        <v>1261</v>
      </c>
      <c r="C626" t="s">
        <v>1264</v>
      </c>
      <c r="F626" t="s">
        <v>1262</v>
      </c>
      <c r="G626" t="s">
        <v>1263</v>
      </c>
      <c r="H626">
        <v>89</v>
      </c>
    </row>
    <row r="627" spans="1:8">
      <c r="A627" t="s">
        <v>1131</v>
      </c>
      <c r="B627" t="s">
        <v>1261</v>
      </c>
      <c r="C627" t="s">
        <v>1133</v>
      </c>
      <c r="F627" t="s">
        <v>1262</v>
      </c>
      <c r="G627" t="s">
        <v>1263</v>
      </c>
      <c r="H627">
        <v>90</v>
      </c>
    </row>
    <row r="628" spans="1:8">
      <c r="A628" t="s">
        <v>1131</v>
      </c>
      <c r="B628" t="s">
        <v>1261</v>
      </c>
      <c r="C628" t="s">
        <v>1133</v>
      </c>
      <c r="F628" t="s">
        <v>1262</v>
      </c>
      <c r="G628" t="s">
        <v>1263</v>
      </c>
      <c r="H628">
        <v>91</v>
      </c>
    </row>
    <row r="629" spans="1:8">
      <c r="A629" t="s">
        <v>1131</v>
      </c>
      <c r="B629" t="s">
        <v>1261</v>
      </c>
      <c r="C629" t="s">
        <v>1148</v>
      </c>
      <c r="F629" t="s">
        <v>1262</v>
      </c>
      <c r="G629" t="s">
        <v>1263</v>
      </c>
      <c r="H629">
        <v>92</v>
      </c>
    </row>
    <row r="630" spans="1:8">
      <c r="A630" t="s">
        <v>1131</v>
      </c>
      <c r="B630" t="s">
        <v>1261</v>
      </c>
      <c r="C630" t="s">
        <v>1264</v>
      </c>
      <c r="F630" t="s">
        <v>1262</v>
      </c>
      <c r="G630" t="s">
        <v>1263</v>
      </c>
      <c r="H630">
        <v>93</v>
      </c>
    </row>
    <row r="631" spans="1:8">
      <c r="A631" t="s">
        <v>1131</v>
      </c>
      <c r="B631" t="s">
        <v>1261</v>
      </c>
      <c r="C631" t="s">
        <v>1143</v>
      </c>
      <c r="F631" t="s">
        <v>1262</v>
      </c>
      <c r="G631" t="s">
        <v>1263</v>
      </c>
      <c r="H631">
        <v>94</v>
      </c>
    </row>
    <row r="632" spans="1:8">
      <c r="A632" t="s">
        <v>1131</v>
      </c>
      <c r="B632" t="s">
        <v>1261</v>
      </c>
      <c r="C632" t="s">
        <v>1148</v>
      </c>
      <c r="F632" t="s">
        <v>1262</v>
      </c>
      <c r="G632" t="s">
        <v>1263</v>
      </c>
      <c r="H632">
        <v>95</v>
      </c>
    </row>
    <row r="633" spans="1:8">
      <c r="A633" t="s">
        <v>1131</v>
      </c>
      <c r="B633" t="s">
        <v>1261</v>
      </c>
      <c r="C633" t="s">
        <v>1264</v>
      </c>
      <c r="F633" t="s">
        <v>1262</v>
      </c>
      <c r="G633" t="s">
        <v>1263</v>
      </c>
      <c r="H633">
        <v>96</v>
      </c>
    </row>
    <row r="634" spans="1:8">
      <c r="A634" t="s">
        <v>1131</v>
      </c>
      <c r="B634" t="s">
        <v>1261</v>
      </c>
      <c r="C634" t="s">
        <v>1143</v>
      </c>
      <c r="F634" t="s">
        <v>1262</v>
      </c>
      <c r="G634" t="s">
        <v>1263</v>
      </c>
      <c r="H634">
        <v>97</v>
      </c>
    </row>
    <row r="635" spans="1:8">
      <c r="A635" t="s">
        <v>1131</v>
      </c>
      <c r="B635" t="s">
        <v>1261</v>
      </c>
      <c r="C635" t="s">
        <v>1148</v>
      </c>
      <c r="F635" t="s">
        <v>1262</v>
      </c>
      <c r="G635" t="s">
        <v>1263</v>
      </c>
      <c r="H635">
        <v>98</v>
      </c>
    </row>
    <row r="636" spans="1:8">
      <c r="A636" t="s">
        <v>1131</v>
      </c>
      <c r="B636" t="s">
        <v>1261</v>
      </c>
      <c r="C636" t="s">
        <v>1264</v>
      </c>
      <c r="F636" t="s">
        <v>1262</v>
      </c>
      <c r="G636" t="s">
        <v>1263</v>
      </c>
      <c r="H636">
        <v>99</v>
      </c>
    </row>
    <row r="637" spans="1:8">
      <c r="A637" t="s">
        <v>1131</v>
      </c>
      <c r="B637" t="s">
        <v>1261</v>
      </c>
      <c r="C637" t="s">
        <v>1148</v>
      </c>
      <c r="F637" t="s">
        <v>1262</v>
      </c>
      <c r="G637" t="s">
        <v>1263</v>
      </c>
      <c r="H637">
        <v>100</v>
      </c>
    </row>
    <row r="638" spans="1:8">
      <c r="A638" t="s">
        <v>1131</v>
      </c>
      <c r="B638" t="s">
        <v>1261</v>
      </c>
      <c r="C638" t="s">
        <v>1264</v>
      </c>
      <c r="F638" t="s">
        <v>1262</v>
      </c>
      <c r="G638" t="s">
        <v>1263</v>
      </c>
      <c r="H638">
        <v>101</v>
      </c>
    </row>
    <row r="639" spans="1:8">
      <c r="A639" t="s">
        <v>1131</v>
      </c>
      <c r="B639" t="s">
        <v>1261</v>
      </c>
      <c r="C639" t="s">
        <v>1143</v>
      </c>
      <c r="F639" t="s">
        <v>1262</v>
      </c>
      <c r="G639" t="s">
        <v>1263</v>
      </c>
      <c r="H639">
        <v>102</v>
      </c>
    </row>
    <row r="640" spans="1:8">
      <c r="A640" t="s">
        <v>1131</v>
      </c>
      <c r="B640" t="s">
        <v>1261</v>
      </c>
      <c r="C640" t="s">
        <v>1148</v>
      </c>
      <c r="F640" t="s">
        <v>1262</v>
      </c>
      <c r="G640" t="s">
        <v>1263</v>
      </c>
      <c r="H640">
        <v>103</v>
      </c>
    </row>
    <row r="641" spans="1:8">
      <c r="A641" t="s">
        <v>1131</v>
      </c>
      <c r="B641" t="s">
        <v>1261</v>
      </c>
      <c r="C641" t="s">
        <v>1264</v>
      </c>
      <c r="F641" t="s">
        <v>1262</v>
      </c>
      <c r="G641" t="s">
        <v>1263</v>
      </c>
      <c r="H641">
        <v>104</v>
      </c>
    </row>
    <row r="642" spans="1:8">
      <c r="A642" t="s">
        <v>1131</v>
      </c>
      <c r="B642" t="s">
        <v>1261</v>
      </c>
      <c r="C642" t="s">
        <v>1143</v>
      </c>
      <c r="F642" t="s">
        <v>1262</v>
      </c>
      <c r="G642" t="s">
        <v>1263</v>
      </c>
      <c r="H642">
        <v>105</v>
      </c>
    </row>
    <row r="643" spans="1:8">
      <c r="A643" t="s">
        <v>1131</v>
      </c>
      <c r="B643" t="s">
        <v>1261</v>
      </c>
      <c r="C643" t="s">
        <v>1148</v>
      </c>
      <c r="F643" t="s">
        <v>1262</v>
      </c>
      <c r="G643" t="s">
        <v>1263</v>
      </c>
      <c r="H643">
        <v>106</v>
      </c>
    </row>
    <row r="644" spans="1:8">
      <c r="A644" t="s">
        <v>1131</v>
      </c>
      <c r="B644" t="s">
        <v>1261</v>
      </c>
      <c r="C644" t="s">
        <v>1264</v>
      </c>
      <c r="F644" t="s">
        <v>1262</v>
      </c>
      <c r="G644" t="s">
        <v>1263</v>
      </c>
      <c r="H644">
        <v>107</v>
      </c>
    </row>
    <row r="645" spans="1:8">
      <c r="A645" t="s">
        <v>1131</v>
      </c>
      <c r="B645" t="s">
        <v>1261</v>
      </c>
      <c r="C645" t="s">
        <v>1143</v>
      </c>
      <c r="F645" t="s">
        <v>1262</v>
      </c>
      <c r="G645" t="s">
        <v>1263</v>
      </c>
      <c r="H645">
        <v>108</v>
      </c>
    </row>
    <row r="646" spans="1:8">
      <c r="A646" t="s">
        <v>1131</v>
      </c>
      <c r="B646" t="s">
        <v>1261</v>
      </c>
      <c r="C646" t="s">
        <v>1148</v>
      </c>
      <c r="F646" t="s">
        <v>1262</v>
      </c>
      <c r="G646" t="s">
        <v>1263</v>
      </c>
      <c r="H646">
        <v>109</v>
      </c>
    </row>
    <row r="647" spans="1:8">
      <c r="A647" t="s">
        <v>1131</v>
      </c>
      <c r="B647" t="s">
        <v>1261</v>
      </c>
      <c r="C647" t="s">
        <v>1264</v>
      </c>
      <c r="F647" t="s">
        <v>1262</v>
      </c>
      <c r="G647" t="s">
        <v>1263</v>
      </c>
      <c r="H647">
        <v>110</v>
      </c>
    </row>
    <row r="648" spans="1:8">
      <c r="A648" t="s">
        <v>1131</v>
      </c>
      <c r="B648" t="s">
        <v>1261</v>
      </c>
      <c r="C648" t="s">
        <v>1148</v>
      </c>
      <c r="F648" t="s">
        <v>1262</v>
      </c>
      <c r="G648" t="s">
        <v>1263</v>
      </c>
      <c r="H648">
        <v>111</v>
      </c>
    </row>
    <row r="649" spans="1:8">
      <c r="A649" t="s">
        <v>1131</v>
      </c>
      <c r="B649" t="s">
        <v>1261</v>
      </c>
      <c r="C649" t="s">
        <v>1264</v>
      </c>
      <c r="F649" t="s">
        <v>1262</v>
      </c>
      <c r="G649" t="s">
        <v>1263</v>
      </c>
      <c r="H649">
        <v>112</v>
      </c>
    </row>
    <row r="650" spans="1:8">
      <c r="A650" t="s">
        <v>1131</v>
      </c>
      <c r="B650" t="s">
        <v>1261</v>
      </c>
      <c r="C650" t="s">
        <v>1133</v>
      </c>
      <c r="F650" t="s">
        <v>1262</v>
      </c>
      <c r="G650" t="s">
        <v>1263</v>
      </c>
      <c r="H650">
        <v>113</v>
      </c>
    </row>
    <row r="651" spans="1:8">
      <c r="A651" t="s">
        <v>1131</v>
      </c>
      <c r="B651" t="s">
        <v>1261</v>
      </c>
      <c r="C651" t="s">
        <v>1133</v>
      </c>
      <c r="F651" t="s">
        <v>1262</v>
      </c>
      <c r="G651" t="s">
        <v>1263</v>
      </c>
      <c r="H651">
        <v>114</v>
      </c>
    </row>
    <row r="652" spans="1:8">
      <c r="A652" t="s">
        <v>1131</v>
      </c>
      <c r="B652" t="s">
        <v>1261</v>
      </c>
      <c r="C652" t="s">
        <v>1133</v>
      </c>
      <c r="F652" t="s">
        <v>1262</v>
      </c>
      <c r="G652" t="s">
        <v>1263</v>
      </c>
      <c r="H652">
        <v>115</v>
      </c>
    </row>
    <row r="653" spans="1:8">
      <c r="A653" t="s">
        <v>1131</v>
      </c>
      <c r="B653" t="s">
        <v>1261</v>
      </c>
      <c r="C653" t="s">
        <v>1133</v>
      </c>
      <c r="F653" t="s">
        <v>1262</v>
      </c>
      <c r="G653" t="s">
        <v>1263</v>
      </c>
      <c r="H653">
        <v>116</v>
      </c>
    </row>
    <row r="654" spans="1:8">
      <c r="A654" t="s">
        <v>1131</v>
      </c>
      <c r="B654" t="s">
        <v>1261</v>
      </c>
      <c r="C654" t="s">
        <v>1148</v>
      </c>
      <c r="F654" t="s">
        <v>1262</v>
      </c>
      <c r="G654" t="s">
        <v>1263</v>
      </c>
      <c r="H654">
        <v>117</v>
      </c>
    </row>
    <row r="655" spans="1:8">
      <c r="A655" t="s">
        <v>1131</v>
      </c>
      <c r="B655" t="s">
        <v>1261</v>
      </c>
      <c r="C655" t="s">
        <v>1264</v>
      </c>
      <c r="F655" t="s">
        <v>1262</v>
      </c>
      <c r="G655" t="s">
        <v>1263</v>
      </c>
      <c r="H655">
        <v>118</v>
      </c>
    </row>
    <row r="656" spans="1:8">
      <c r="A656" t="s">
        <v>1131</v>
      </c>
      <c r="B656" t="s">
        <v>1261</v>
      </c>
      <c r="C656" t="s">
        <v>1133</v>
      </c>
      <c r="F656" t="s">
        <v>1262</v>
      </c>
      <c r="G656" t="s">
        <v>1263</v>
      </c>
      <c r="H656">
        <v>119</v>
      </c>
    </row>
    <row r="657" spans="1:8">
      <c r="A657" t="s">
        <v>1131</v>
      </c>
      <c r="B657" t="s">
        <v>1261</v>
      </c>
      <c r="C657" t="s">
        <v>1143</v>
      </c>
      <c r="F657" t="s">
        <v>1262</v>
      </c>
      <c r="G657" t="s">
        <v>1263</v>
      </c>
      <c r="H657">
        <v>120</v>
      </c>
    </row>
    <row r="658" spans="1:8">
      <c r="A658" t="s">
        <v>1131</v>
      </c>
      <c r="B658" t="s">
        <v>1261</v>
      </c>
      <c r="C658" t="s">
        <v>1148</v>
      </c>
      <c r="F658" t="s">
        <v>1262</v>
      </c>
      <c r="G658" t="s">
        <v>1263</v>
      </c>
      <c r="H658">
        <v>121</v>
      </c>
    </row>
    <row r="659" spans="1:8">
      <c r="A659" t="s">
        <v>1131</v>
      </c>
      <c r="B659" t="s">
        <v>1261</v>
      </c>
      <c r="C659" t="s">
        <v>1264</v>
      </c>
      <c r="F659" t="s">
        <v>1262</v>
      </c>
      <c r="G659" t="s">
        <v>1263</v>
      </c>
      <c r="H659">
        <v>122</v>
      </c>
    </row>
    <row r="660" spans="1:8">
      <c r="A660" t="s">
        <v>1131</v>
      </c>
      <c r="B660" t="s">
        <v>1261</v>
      </c>
      <c r="C660" t="s">
        <v>1148</v>
      </c>
      <c r="F660" t="s">
        <v>1262</v>
      </c>
      <c r="G660" t="s">
        <v>1263</v>
      </c>
      <c r="H660">
        <v>123</v>
      </c>
    </row>
    <row r="661" spans="1:8">
      <c r="A661" t="s">
        <v>1131</v>
      </c>
      <c r="B661" t="s">
        <v>1261</v>
      </c>
      <c r="C661" t="s">
        <v>1264</v>
      </c>
      <c r="F661" t="s">
        <v>1262</v>
      </c>
      <c r="G661" t="s">
        <v>1263</v>
      </c>
      <c r="H661">
        <v>124</v>
      </c>
    </row>
    <row r="662" spans="1:8">
      <c r="A662" t="s">
        <v>1131</v>
      </c>
      <c r="B662" t="s">
        <v>1261</v>
      </c>
      <c r="C662" t="s">
        <v>1143</v>
      </c>
      <c r="F662" t="s">
        <v>1262</v>
      </c>
      <c r="G662" t="s">
        <v>1263</v>
      </c>
      <c r="H662">
        <v>125</v>
      </c>
    </row>
    <row r="663" spans="1:8">
      <c r="A663" t="s">
        <v>1131</v>
      </c>
      <c r="B663" t="s">
        <v>1261</v>
      </c>
      <c r="C663" t="s">
        <v>1148</v>
      </c>
      <c r="F663" t="s">
        <v>1262</v>
      </c>
      <c r="G663" t="s">
        <v>1263</v>
      </c>
      <c r="H663">
        <v>126</v>
      </c>
    </row>
    <row r="664" spans="1:8">
      <c r="A664" t="s">
        <v>1131</v>
      </c>
      <c r="B664" t="s">
        <v>1261</v>
      </c>
      <c r="C664" t="s">
        <v>1264</v>
      </c>
      <c r="F664" t="s">
        <v>1262</v>
      </c>
      <c r="G664" t="s">
        <v>1263</v>
      </c>
      <c r="H664">
        <v>127</v>
      </c>
    </row>
    <row r="665" spans="1:8">
      <c r="A665" t="s">
        <v>1131</v>
      </c>
      <c r="B665" t="s">
        <v>1261</v>
      </c>
      <c r="C665" t="s">
        <v>1148</v>
      </c>
      <c r="F665" t="s">
        <v>1262</v>
      </c>
      <c r="G665" t="s">
        <v>1263</v>
      </c>
      <c r="H665">
        <v>128</v>
      </c>
    </row>
    <row r="666" spans="1:8">
      <c r="A666" t="s">
        <v>1131</v>
      </c>
      <c r="B666" t="s">
        <v>1261</v>
      </c>
      <c r="C666" t="s">
        <v>1264</v>
      </c>
      <c r="F666" t="s">
        <v>1262</v>
      </c>
      <c r="G666" t="s">
        <v>1263</v>
      </c>
      <c r="H666">
        <v>129</v>
      </c>
    </row>
    <row r="667" spans="1:8">
      <c r="A667" t="s">
        <v>1131</v>
      </c>
      <c r="B667" t="s">
        <v>1261</v>
      </c>
      <c r="C667" t="s">
        <v>1143</v>
      </c>
      <c r="F667" t="s">
        <v>1262</v>
      </c>
      <c r="G667" t="s">
        <v>1263</v>
      </c>
      <c r="H667">
        <v>130</v>
      </c>
    </row>
    <row r="668" spans="1:8">
      <c r="A668" t="s">
        <v>1131</v>
      </c>
      <c r="B668" t="s">
        <v>1261</v>
      </c>
      <c r="C668" t="s">
        <v>1148</v>
      </c>
      <c r="F668" t="s">
        <v>1262</v>
      </c>
      <c r="G668" t="s">
        <v>1263</v>
      </c>
      <c r="H668">
        <v>131</v>
      </c>
    </row>
    <row r="669" spans="1:8">
      <c r="A669" t="s">
        <v>1131</v>
      </c>
      <c r="B669" t="s">
        <v>1261</v>
      </c>
      <c r="C669" t="s">
        <v>1264</v>
      </c>
      <c r="F669" t="s">
        <v>1262</v>
      </c>
      <c r="G669" t="s">
        <v>1263</v>
      </c>
      <c r="H669">
        <v>132</v>
      </c>
    </row>
    <row r="670" spans="1:8">
      <c r="A670" t="s">
        <v>1131</v>
      </c>
      <c r="B670" t="s">
        <v>1261</v>
      </c>
      <c r="C670" t="s">
        <v>1148</v>
      </c>
      <c r="F670" t="s">
        <v>1262</v>
      </c>
      <c r="G670" t="s">
        <v>1263</v>
      </c>
      <c r="H670">
        <v>133</v>
      </c>
    </row>
    <row r="671" spans="1:8">
      <c r="A671" t="s">
        <v>1131</v>
      </c>
      <c r="B671" t="s">
        <v>1261</v>
      </c>
      <c r="C671" t="s">
        <v>1264</v>
      </c>
      <c r="F671" t="s">
        <v>1262</v>
      </c>
      <c r="G671" t="s">
        <v>1263</v>
      </c>
      <c r="H671">
        <v>134</v>
      </c>
    </row>
    <row r="672" spans="1:8">
      <c r="A672" t="s">
        <v>1131</v>
      </c>
      <c r="B672" t="s">
        <v>1261</v>
      </c>
      <c r="C672" t="s">
        <v>1143</v>
      </c>
      <c r="F672" t="s">
        <v>1262</v>
      </c>
      <c r="G672" t="s">
        <v>1263</v>
      </c>
      <c r="H672">
        <v>135</v>
      </c>
    </row>
    <row r="673" spans="1:8">
      <c r="A673" t="s">
        <v>1131</v>
      </c>
      <c r="B673" t="s">
        <v>1261</v>
      </c>
      <c r="C673" t="s">
        <v>1148</v>
      </c>
      <c r="F673" t="s">
        <v>1262</v>
      </c>
      <c r="G673" t="s">
        <v>1263</v>
      </c>
      <c r="H673">
        <v>136</v>
      </c>
    </row>
    <row r="674" spans="1:8">
      <c r="A674" t="s">
        <v>1131</v>
      </c>
      <c r="B674" t="s">
        <v>1261</v>
      </c>
      <c r="C674" t="s">
        <v>1264</v>
      </c>
      <c r="F674" t="s">
        <v>1262</v>
      </c>
      <c r="G674" t="s">
        <v>1263</v>
      </c>
      <c r="H674">
        <v>137</v>
      </c>
    </row>
    <row r="675" spans="1:8">
      <c r="A675" t="s">
        <v>1131</v>
      </c>
      <c r="B675" t="s">
        <v>1261</v>
      </c>
      <c r="C675" t="s">
        <v>1133</v>
      </c>
      <c r="F675" t="s">
        <v>1262</v>
      </c>
      <c r="G675" t="s">
        <v>1263</v>
      </c>
      <c r="H675">
        <v>138</v>
      </c>
    </row>
    <row r="676" spans="1:8">
      <c r="A676" t="s">
        <v>1131</v>
      </c>
      <c r="B676" t="s">
        <v>1261</v>
      </c>
      <c r="C676" t="s">
        <v>1148</v>
      </c>
      <c r="F676" t="s">
        <v>1262</v>
      </c>
      <c r="G676" t="s">
        <v>1263</v>
      </c>
      <c r="H676">
        <v>139</v>
      </c>
    </row>
    <row r="677" spans="1:8">
      <c r="A677" t="s">
        <v>1131</v>
      </c>
      <c r="B677" t="s">
        <v>1261</v>
      </c>
      <c r="C677" t="s">
        <v>1264</v>
      </c>
      <c r="F677" t="s">
        <v>1262</v>
      </c>
      <c r="G677" t="s">
        <v>1263</v>
      </c>
      <c r="H677">
        <v>140</v>
      </c>
    </row>
    <row r="678" spans="1:8">
      <c r="A678" t="s">
        <v>1131</v>
      </c>
      <c r="B678" t="s">
        <v>1261</v>
      </c>
      <c r="C678" t="s">
        <v>1148</v>
      </c>
      <c r="F678" t="s">
        <v>1262</v>
      </c>
      <c r="G678" t="s">
        <v>1263</v>
      </c>
      <c r="H678">
        <v>141</v>
      </c>
    </row>
    <row r="679" spans="1:8">
      <c r="A679" t="s">
        <v>1131</v>
      </c>
      <c r="B679" t="s">
        <v>1261</v>
      </c>
      <c r="C679" t="s">
        <v>1264</v>
      </c>
      <c r="F679" t="s">
        <v>1262</v>
      </c>
      <c r="G679" t="s">
        <v>1263</v>
      </c>
      <c r="H679">
        <v>142</v>
      </c>
    </row>
    <row r="680" spans="1:8">
      <c r="A680" t="s">
        <v>1131</v>
      </c>
      <c r="B680" t="s">
        <v>1261</v>
      </c>
      <c r="C680" t="s">
        <v>1148</v>
      </c>
      <c r="F680" t="s">
        <v>1262</v>
      </c>
      <c r="G680" t="s">
        <v>1263</v>
      </c>
      <c r="H680">
        <v>143</v>
      </c>
    </row>
    <row r="681" spans="1:8">
      <c r="A681" t="s">
        <v>1131</v>
      </c>
      <c r="B681" t="s">
        <v>1261</v>
      </c>
      <c r="C681" t="s">
        <v>1264</v>
      </c>
      <c r="F681" t="s">
        <v>1262</v>
      </c>
      <c r="G681" t="s">
        <v>1263</v>
      </c>
      <c r="H681">
        <v>144</v>
      </c>
    </row>
    <row r="682" spans="1:8">
      <c r="A682" t="s">
        <v>1131</v>
      </c>
      <c r="B682" t="s">
        <v>1261</v>
      </c>
      <c r="C682" t="s">
        <v>1148</v>
      </c>
      <c r="F682" t="s">
        <v>1262</v>
      </c>
      <c r="G682" t="s">
        <v>1263</v>
      </c>
      <c r="H682">
        <v>145</v>
      </c>
    </row>
    <row r="683" spans="1:8">
      <c r="A683" t="s">
        <v>1131</v>
      </c>
      <c r="B683" t="s">
        <v>1261</v>
      </c>
      <c r="C683" t="s">
        <v>1264</v>
      </c>
      <c r="F683" t="s">
        <v>1262</v>
      </c>
      <c r="G683" t="s">
        <v>1263</v>
      </c>
      <c r="H683">
        <v>146</v>
      </c>
    </row>
    <row r="684" spans="1:8">
      <c r="A684" t="s">
        <v>1131</v>
      </c>
      <c r="B684" t="s">
        <v>1261</v>
      </c>
      <c r="C684" t="s">
        <v>1148</v>
      </c>
      <c r="F684" t="s">
        <v>1262</v>
      </c>
      <c r="G684" t="s">
        <v>1263</v>
      </c>
      <c r="H684">
        <v>147</v>
      </c>
    </row>
    <row r="685" spans="1:8">
      <c r="A685" t="s">
        <v>1131</v>
      </c>
      <c r="B685" t="s">
        <v>1261</v>
      </c>
      <c r="C685" t="s">
        <v>1264</v>
      </c>
      <c r="F685" t="s">
        <v>1262</v>
      </c>
      <c r="G685" t="s">
        <v>1263</v>
      </c>
      <c r="H685">
        <v>148</v>
      </c>
    </row>
    <row r="686" spans="1:8">
      <c r="A686" t="s">
        <v>1131</v>
      </c>
      <c r="B686" t="s">
        <v>1261</v>
      </c>
      <c r="C686" t="s">
        <v>1148</v>
      </c>
      <c r="F686" t="s">
        <v>1262</v>
      </c>
      <c r="G686" t="s">
        <v>1263</v>
      </c>
      <c r="H686">
        <v>149</v>
      </c>
    </row>
    <row r="687" spans="1:8">
      <c r="A687" t="s">
        <v>1131</v>
      </c>
      <c r="B687" t="s">
        <v>1261</v>
      </c>
      <c r="C687" t="s">
        <v>1264</v>
      </c>
      <c r="F687" t="s">
        <v>1262</v>
      </c>
      <c r="G687" t="s">
        <v>1263</v>
      </c>
      <c r="H687">
        <v>150</v>
      </c>
    </row>
    <row r="688" spans="1:8">
      <c r="A688" t="s">
        <v>1131</v>
      </c>
      <c r="B688" t="s">
        <v>1261</v>
      </c>
      <c r="C688" t="s">
        <v>1133</v>
      </c>
      <c r="F688" t="s">
        <v>1262</v>
      </c>
      <c r="G688" t="s">
        <v>1263</v>
      </c>
      <c r="H688">
        <v>151</v>
      </c>
    </row>
    <row r="689" spans="1:8">
      <c r="A689" t="s">
        <v>1131</v>
      </c>
      <c r="B689" t="s">
        <v>1261</v>
      </c>
      <c r="C689" t="s">
        <v>1133</v>
      </c>
      <c r="F689" t="s">
        <v>1262</v>
      </c>
      <c r="G689" t="s">
        <v>1263</v>
      </c>
      <c r="H689">
        <v>152</v>
      </c>
    </row>
    <row r="690" spans="1:8">
      <c r="A690" t="s">
        <v>1131</v>
      </c>
      <c r="B690" t="s">
        <v>1261</v>
      </c>
      <c r="C690" t="s">
        <v>1133</v>
      </c>
      <c r="F690" t="s">
        <v>1262</v>
      </c>
      <c r="G690" t="s">
        <v>1263</v>
      </c>
      <c r="H690">
        <v>153</v>
      </c>
    </row>
    <row r="691" spans="1:8">
      <c r="A691" t="s">
        <v>1131</v>
      </c>
      <c r="B691" t="s">
        <v>1261</v>
      </c>
      <c r="C691" t="s">
        <v>1143</v>
      </c>
      <c r="F691" t="s">
        <v>1262</v>
      </c>
      <c r="G691" t="s">
        <v>1263</v>
      </c>
      <c r="H691">
        <v>154</v>
      </c>
    </row>
    <row r="692" spans="1:8">
      <c r="A692" t="s">
        <v>1131</v>
      </c>
      <c r="B692" t="s">
        <v>1261</v>
      </c>
      <c r="C692" t="s">
        <v>1148</v>
      </c>
      <c r="F692" t="s">
        <v>1262</v>
      </c>
      <c r="G692" t="s">
        <v>1263</v>
      </c>
      <c r="H692">
        <v>155</v>
      </c>
    </row>
    <row r="693" spans="1:8">
      <c r="A693" t="s">
        <v>1131</v>
      </c>
      <c r="B693" t="s">
        <v>1261</v>
      </c>
      <c r="C693" t="s">
        <v>1264</v>
      </c>
      <c r="F693" t="s">
        <v>1262</v>
      </c>
      <c r="G693" t="s">
        <v>1263</v>
      </c>
      <c r="H693">
        <v>156</v>
      </c>
    </row>
    <row r="694" spans="1:8">
      <c r="A694" t="s">
        <v>1131</v>
      </c>
      <c r="B694" t="s">
        <v>1261</v>
      </c>
      <c r="C694" t="s">
        <v>1133</v>
      </c>
      <c r="F694" t="s">
        <v>1262</v>
      </c>
      <c r="G694" t="s">
        <v>1263</v>
      </c>
      <c r="H694">
        <v>157</v>
      </c>
    </row>
    <row r="695" spans="1:8">
      <c r="A695" t="s">
        <v>1131</v>
      </c>
      <c r="B695" t="s">
        <v>1261</v>
      </c>
      <c r="C695" t="s">
        <v>1133</v>
      </c>
      <c r="F695" t="s">
        <v>1262</v>
      </c>
      <c r="G695" t="s">
        <v>1263</v>
      </c>
      <c r="H695">
        <v>158</v>
      </c>
    </row>
    <row r="696" spans="1:8">
      <c r="A696" t="s">
        <v>1131</v>
      </c>
      <c r="B696" t="s">
        <v>1261</v>
      </c>
      <c r="C696" t="s">
        <v>1133</v>
      </c>
      <c r="F696" t="s">
        <v>1262</v>
      </c>
      <c r="G696" t="s">
        <v>1263</v>
      </c>
      <c r="H696">
        <v>159</v>
      </c>
    </row>
    <row r="697" spans="1:8">
      <c r="A697" t="s">
        <v>1131</v>
      </c>
      <c r="B697" t="s">
        <v>1261</v>
      </c>
      <c r="C697" t="s">
        <v>1133</v>
      </c>
      <c r="F697" t="s">
        <v>1262</v>
      </c>
      <c r="G697" t="s">
        <v>1263</v>
      </c>
      <c r="H697">
        <v>160</v>
      </c>
    </row>
    <row r="698" spans="1:8">
      <c r="A698" t="s">
        <v>1131</v>
      </c>
      <c r="B698" t="s">
        <v>1261</v>
      </c>
      <c r="C698" t="s">
        <v>1133</v>
      </c>
      <c r="F698" t="s">
        <v>1262</v>
      </c>
      <c r="G698" t="s">
        <v>1263</v>
      </c>
      <c r="H698">
        <v>161</v>
      </c>
    </row>
    <row r="699" spans="1:8">
      <c r="A699" t="s">
        <v>1131</v>
      </c>
      <c r="B699" t="s">
        <v>1261</v>
      </c>
      <c r="C699" t="s">
        <v>1133</v>
      </c>
      <c r="F699" t="s">
        <v>1262</v>
      </c>
      <c r="G699" t="s">
        <v>1263</v>
      </c>
      <c r="H699">
        <v>162</v>
      </c>
    </row>
    <row r="700" spans="1:8">
      <c r="A700" t="s">
        <v>1131</v>
      </c>
      <c r="B700" t="s">
        <v>1261</v>
      </c>
      <c r="C700" t="s">
        <v>1133</v>
      </c>
      <c r="F700" t="s">
        <v>1262</v>
      </c>
      <c r="G700" t="s">
        <v>1263</v>
      </c>
      <c r="H700">
        <v>163</v>
      </c>
    </row>
    <row r="701" spans="1:8">
      <c r="A701" t="s">
        <v>1131</v>
      </c>
      <c r="B701" t="s">
        <v>1261</v>
      </c>
      <c r="C701" t="s">
        <v>1133</v>
      </c>
      <c r="F701" t="s">
        <v>1262</v>
      </c>
      <c r="G701" t="s">
        <v>1263</v>
      </c>
      <c r="H701">
        <v>164</v>
      </c>
    </row>
    <row r="702" spans="1:8">
      <c r="A702" t="s">
        <v>1131</v>
      </c>
      <c r="B702" t="s">
        <v>1261</v>
      </c>
      <c r="C702" t="s">
        <v>1133</v>
      </c>
      <c r="F702" t="s">
        <v>1262</v>
      </c>
      <c r="G702" t="s">
        <v>1263</v>
      </c>
      <c r="H702">
        <v>165</v>
      </c>
    </row>
    <row r="703" spans="1:8">
      <c r="A703" t="s">
        <v>1131</v>
      </c>
      <c r="B703" t="s">
        <v>1261</v>
      </c>
      <c r="C703" t="s">
        <v>1133</v>
      </c>
      <c r="F703" t="s">
        <v>1262</v>
      </c>
      <c r="G703" t="s">
        <v>1263</v>
      </c>
      <c r="H703">
        <v>166</v>
      </c>
    </row>
    <row r="704" spans="1:8">
      <c r="A704" t="s">
        <v>1131</v>
      </c>
      <c r="B704" t="s">
        <v>1261</v>
      </c>
      <c r="C704" t="s">
        <v>1133</v>
      </c>
      <c r="F704" t="s">
        <v>1262</v>
      </c>
      <c r="G704" t="s">
        <v>1263</v>
      </c>
      <c r="H704">
        <v>167</v>
      </c>
    </row>
    <row r="705" spans="1:8">
      <c r="A705" t="s">
        <v>1131</v>
      </c>
      <c r="B705" t="s">
        <v>1261</v>
      </c>
      <c r="C705" t="s">
        <v>1133</v>
      </c>
      <c r="F705" t="s">
        <v>1262</v>
      </c>
      <c r="G705" t="s">
        <v>1263</v>
      </c>
      <c r="H705">
        <v>168</v>
      </c>
    </row>
    <row r="706" spans="1:8">
      <c r="A706" t="s">
        <v>1131</v>
      </c>
      <c r="B706" t="s">
        <v>1261</v>
      </c>
      <c r="C706" t="s">
        <v>1133</v>
      </c>
      <c r="F706" t="s">
        <v>1262</v>
      </c>
      <c r="G706" t="s">
        <v>1263</v>
      </c>
      <c r="H706">
        <v>169</v>
      </c>
    </row>
    <row r="707" spans="1:8">
      <c r="A707" t="s">
        <v>1131</v>
      </c>
      <c r="B707" t="s">
        <v>1261</v>
      </c>
      <c r="C707" t="s">
        <v>1133</v>
      </c>
      <c r="F707" t="s">
        <v>1262</v>
      </c>
      <c r="G707" t="s">
        <v>1263</v>
      </c>
      <c r="H707">
        <v>170</v>
      </c>
    </row>
    <row r="708" spans="1:8">
      <c r="A708" t="s">
        <v>1131</v>
      </c>
      <c r="B708" t="s">
        <v>1261</v>
      </c>
      <c r="C708" t="s">
        <v>1133</v>
      </c>
      <c r="F708" t="s">
        <v>1262</v>
      </c>
      <c r="G708" t="s">
        <v>1263</v>
      </c>
      <c r="H708">
        <v>171</v>
      </c>
    </row>
    <row r="709" spans="1:8">
      <c r="A709" t="s">
        <v>1131</v>
      </c>
      <c r="B709" t="s">
        <v>1261</v>
      </c>
      <c r="C709" t="s">
        <v>1133</v>
      </c>
      <c r="F709" t="s">
        <v>1262</v>
      </c>
      <c r="G709" t="s">
        <v>1263</v>
      </c>
      <c r="H709">
        <v>172</v>
      </c>
    </row>
    <row r="710" spans="1:8">
      <c r="A710" t="s">
        <v>1131</v>
      </c>
      <c r="B710" t="s">
        <v>1261</v>
      </c>
      <c r="C710" t="s">
        <v>1133</v>
      </c>
      <c r="F710" t="s">
        <v>1262</v>
      </c>
      <c r="G710" t="s">
        <v>1263</v>
      </c>
      <c r="H710">
        <v>173</v>
      </c>
    </row>
    <row r="711" spans="1:8">
      <c r="A711" t="s">
        <v>1131</v>
      </c>
      <c r="B711" t="s">
        <v>1261</v>
      </c>
      <c r="C711" t="s">
        <v>1133</v>
      </c>
      <c r="F711" t="s">
        <v>1262</v>
      </c>
      <c r="G711" t="s">
        <v>1263</v>
      </c>
      <c r="H711">
        <v>174</v>
      </c>
    </row>
    <row r="712" spans="1:8">
      <c r="A712" t="s">
        <v>1131</v>
      </c>
      <c r="B712" t="s">
        <v>1261</v>
      </c>
      <c r="C712" t="s">
        <v>1133</v>
      </c>
      <c r="F712" t="s">
        <v>1262</v>
      </c>
      <c r="G712" t="s">
        <v>1263</v>
      </c>
      <c r="H712">
        <v>175</v>
      </c>
    </row>
    <row r="713" spans="1:8">
      <c r="A713" t="s">
        <v>1131</v>
      </c>
      <c r="B713" t="s">
        <v>1261</v>
      </c>
      <c r="C713" t="s">
        <v>1133</v>
      </c>
      <c r="F713" t="s">
        <v>1262</v>
      </c>
      <c r="G713" t="s">
        <v>1263</v>
      </c>
      <c r="H713">
        <v>176</v>
      </c>
    </row>
    <row r="714" spans="1:8">
      <c r="A714" t="s">
        <v>1131</v>
      </c>
      <c r="B714" t="s">
        <v>1261</v>
      </c>
      <c r="C714" t="s">
        <v>1133</v>
      </c>
      <c r="F714" t="s">
        <v>1262</v>
      </c>
      <c r="G714" t="s">
        <v>1263</v>
      </c>
      <c r="H714">
        <v>177</v>
      </c>
    </row>
    <row r="715" spans="1:8">
      <c r="A715" t="s">
        <v>1131</v>
      </c>
      <c r="B715" t="s">
        <v>1261</v>
      </c>
      <c r="C715" t="s">
        <v>1133</v>
      </c>
      <c r="F715" t="s">
        <v>1262</v>
      </c>
      <c r="G715" t="s">
        <v>1263</v>
      </c>
      <c r="H715">
        <v>178</v>
      </c>
    </row>
    <row r="716" spans="1:8">
      <c r="A716" t="s">
        <v>1131</v>
      </c>
      <c r="B716" t="s">
        <v>1261</v>
      </c>
      <c r="C716" t="s">
        <v>1133</v>
      </c>
      <c r="F716" t="s">
        <v>1262</v>
      </c>
      <c r="G716" t="s">
        <v>1263</v>
      </c>
      <c r="H716">
        <v>179</v>
      </c>
    </row>
    <row r="717" spans="1:8">
      <c r="A717" t="s">
        <v>1131</v>
      </c>
      <c r="B717" t="s">
        <v>1261</v>
      </c>
      <c r="C717" t="s">
        <v>1133</v>
      </c>
      <c r="F717" t="s">
        <v>1262</v>
      </c>
      <c r="G717" t="s">
        <v>1263</v>
      </c>
      <c r="H717">
        <v>180</v>
      </c>
    </row>
    <row r="718" spans="1:8">
      <c r="A718" t="s">
        <v>1131</v>
      </c>
      <c r="B718" t="s">
        <v>1261</v>
      </c>
      <c r="C718" t="s">
        <v>1133</v>
      </c>
      <c r="F718" t="s">
        <v>1262</v>
      </c>
      <c r="G718" t="s">
        <v>1263</v>
      </c>
      <c r="H718">
        <v>181</v>
      </c>
    </row>
    <row r="719" spans="1:8">
      <c r="A719" t="s">
        <v>1131</v>
      </c>
      <c r="B719" t="s">
        <v>1261</v>
      </c>
      <c r="C719" t="s">
        <v>1133</v>
      </c>
      <c r="F719" t="s">
        <v>1262</v>
      </c>
      <c r="G719" t="s">
        <v>1263</v>
      </c>
      <c r="H719">
        <v>182</v>
      </c>
    </row>
    <row r="720" spans="1:8">
      <c r="A720" t="s">
        <v>1131</v>
      </c>
      <c r="B720" t="s">
        <v>1261</v>
      </c>
      <c r="C720" t="s">
        <v>1133</v>
      </c>
      <c r="F720" t="s">
        <v>1262</v>
      </c>
      <c r="G720" t="s">
        <v>1263</v>
      </c>
      <c r="H720">
        <v>183</v>
      </c>
    </row>
    <row r="721" spans="1:8">
      <c r="A721" t="s">
        <v>1131</v>
      </c>
      <c r="B721" t="s">
        <v>1261</v>
      </c>
      <c r="C721" t="s">
        <v>1133</v>
      </c>
      <c r="F721" t="s">
        <v>1262</v>
      </c>
      <c r="G721" t="s">
        <v>1263</v>
      </c>
      <c r="H721">
        <v>184</v>
      </c>
    </row>
    <row r="722" spans="1:8">
      <c r="A722" t="s">
        <v>1131</v>
      </c>
      <c r="B722" t="s">
        <v>1261</v>
      </c>
      <c r="C722" t="s">
        <v>1133</v>
      </c>
      <c r="F722" t="s">
        <v>1262</v>
      </c>
      <c r="G722" t="s">
        <v>1263</v>
      </c>
      <c r="H722">
        <v>185</v>
      </c>
    </row>
    <row r="723" spans="1:8">
      <c r="A723" t="s">
        <v>1131</v>
      </c>
      <c r="B723" t="s">
        <v>1261</v>
      </c>
      <c r="C723" t="s">
        <v>1133</v>
      </c>
      <c r="F723" t="s">
        <v>1262</v>
      </c>
      <c r="G723" t="s">
        <v>1263</v>
      </c>
      <c r="H723">
        <v>186</v>
      </c>
    </row>
    <row r="724" spans="1:8">
      <c r="A724" t="s">
        <v>1131</v>
      </c>
      <c r="B724" t="s">
        <v>1261</v>
      </c>
      <c r="C724" t="s">
        <v>1133</v>
      </c>
      <c r="F724" t="s">
        <v>1262</v>
      </c>
      <c r="G724" t="s">
        <v>1263</v>
      </c>
      <c r="H724">
        <v>187</v>
      </c>
    </row>
    <row r="725" spans="1:8">
      <c r="A725" t="s">
        <v>1131</v>
      </c>
      <c r="B725" t="s">
        <v>1261</v>
      </c>
      <c r="C725" t="s">
        <v>1133</v>
      </c>
      <c r="F725" t="s">
        <v>1262</v>
      </c>
      <c r="G725" t="s">
        <v>1263</v>
      </c>
      <c r="H725">
        <v>188</v>
      </c>
    </row>
    <row r="726" spans="1:8">
      <c r="A726" t="s">
        <v>1131</v>
      </c>
      <c r="B726" t="s">
        <v>1261</v>
      </c>
      <c r="C726" t="s">
        <v>1133</v>
      </c>
      <c r="F726" t="s">
        <v>1262</v>
      </c>
      <c r="G726" t="s">
        <v>1263</v>
      </c>
      <c r="H726">
        <v>189</v>
      </c>
    </row>
    <row r="727" spans="1:8">
      <c r="A727" t="s">
        <v>1131</v>
      </c>
      <c r="B727" t="s">
        <v>1261</v>
      </c>
      <c r="C727" t="s">
        <v>1133</v>
      </c>
      <c r="F727" t="s">
        <v>1262</v>
      </c>
      <c r="G727" t="s">
        <v>1263</v>
      </c>
      <c r="H727">
        <v>190</v>
      </c>
    </row>
    <row r="728" spans="1:8">
      <c r="A728" t="s">
        <v>1131</v>
      </c>
      <c r="B728" t="s">
        <v>1261</v>
      </c>
      <c r="C728" t="s">
        <v>1133</v>
      </c>
      <c r="F728" t="s">
        <v>1262</v>
      </c>
      <c r="G728" t="s">
        <v>1263</v>
      </c>
      <c r="H728">
        <v>191</v>
      </c>
    </row>
    <row r="729" spans="1:8">
      <c r="A729" t="s">
        <v>1131</v>
      </c>
      <c r="B729" t="s">
        <v>1261</v>
      </c>
      <c r="C729" t="s">
        <v>1133</v>
      </c>
      <c r="F729" t="s">
        <v>1262</v>
      </c>
      <c r="G729" t="s">
        <v>1263</v>
      </c>
      <c r="H729">
        <v>192</v>
      </c>
    </row>
    <row r="730" spans="1:8">
      <c r="A730" t="s">
        <v>1131</v>
      </c>
      <c r="B730" t="s">
        <v>1261</v>
      </c>
      <c r="C730" t="s">
        <v>1133</v>
      </c>
      <c r="F730" t="s">
        <v>1262</v>
      </c>
      <c r="G730" t="s">
        <v>1263</v>
      </c>
      <c r="H730">
        <v>193</v>
      </c>
    </row>
    <row r="731" spans="1:8">
      <c r="A731" t="s">
        <v>1131</v>
      </c>
      <c r="B731" t="s">
        <v>1261</v>
      </c>
      <c r="C731" t="s">
        <v>1133</v>
      </c>
      <c r="F731" t="s">
        <v>1262</v>
      </c>
      <c r="G731" t="s">
        <v>1263</v>
      </c>
      <c r="H731">
        <v>194</v>
      </c>
    </row>
    <row r="732" spans="1:8">
      <c r="A732" t="s">
        <v>1131</v>
      </c>
      <c r="B732" t="s">
        <v>1261</v>
      </c>
      <c r="C732" t="s">
        <v>1133</v>
      </c>
      <c r="F732" t="s">
        <v>1262</v>
      </c>
      <c r="G732" t="s">
        <v>1263</v>
      </c>
      <c r="H732">
        <v>195</v>
      </c>
    </row>
    <row r="733" spans="1:8">
      <c r="A733" t="s">
        <v>1131</v>
      </c>
      <c r="B733" t="s">
        <v>1261</v>
      </c>
      <c r="C733" t="s">
        <v>1133</v>
      </c>
      <c r="F733" t="s">
        <v>1262</v>
      </c>
      <c r="G733" t="s">
        <v>1263</v>
      </c>
      <c r="H733">
        <v>196</v>
      </c>
    </row>
    <row r="734" spans="1:8">
      <c r="A734" t="s">
        <v>1131</v>
      </c>
      <c r="B734" t="s">
        <v>1261</v>
      </c>
      <c r="C734" t="s">
        <v>1133</v>
      </c>
      <c r="F734" t="s">
        <v>1262</v>
      </c>
      <c r="G734" t="s">
        <v>1263</v>
      </c>
      <c r="H734">
        <v>197</v>
      </c>
    </row>
    <row r="735" spans="1:8">
      <c r="A735" t="s">
        <v>1131</v>
      </c>
      <c r="B735" t="s">
        <v>1261</v>
      </c>
      <c r="C735" t="s">
        <v>1133</v>
      </c>
      <c r="F735" t="s">
        <v>1262</v>
      </c>
      <c r="G735" t="s">
        <v>1263</v>
      </c>
      <c r="H735">
        <v>198</v>
      </c>
    </row>
    <row r="736" spans="1:8">
      <c r="A736" t="s">
        <v>1131</v>
      </c>
      <c r="B736" t="s">
        <v>1261</v>
      </c>
      <c r="C736" t="s">
        <v>1265</v>
      </c>
      <c r="F736" t="s">
        <v>1262</v>
      </c>
      <c r="G736" t="s">
        <v>1263</v>
      </c>
      <c r="H736">
        <v>199</v>
      </c>
    </row>
    <row r="737" spans="1:8">
      <c r="A737" t="s">
        <v>1131</v>
      </c>
      <c r="B737" t="s">
        <v>1261</v>
      </c>
      <c r="C737" t="s">
        <v>1133</v>
      </c>
      <c r="F737" t="s">
        <v>1262</v>
      </c>
      <c r="G737" t="s">
        <v>1263</v>
      </c>
      <c r="H737">
        <v>200</v>
      </c>
    </row>
    <row r="738" spans="1:8">
      <c r="A738" t="s">
        <v>1131</v>
      </c>
      <c r="B738" t="s">
        <v>1261</v>
      </c>
      <c r="C738" t="s">
        <v>1133</v>
      </c>
      <c r="F738" t="s">
        <v>1262</v>
      </c>
      <c r="G738" t="s">
        <v>1263</v>
      </c>
      <c r="H738">
        <v>201</v>
      </c>
    </row>
    <row r="739" spans="1:8">
      <c r="A739" t="s">
        <v>1131</v>
      </c>
      <c r="B739" t="s">
        <v>1261</v>
      </c>
      <c r="C739" t="s">
        <v>1133</v>
      </c>
      <c r="F739" t="s">
        <v>1262</v>
      </c>
      <c r="G739" t="s">
        <v>1263</v>
      </c>
      <c r="H739">
        <v>202</v>
      </c>
    </row>
    <row r="740" spans="1:8">
      <c r="A740" t="s">
        <v>1131</v>
      </c>
      <c r="B740" t="s">
        <v>1261</v>
      </c>
      <c r="C740" t="s">
        <v>1133</v>
      </c>
      <c r="F740" t="s">
        <v>1262</v>
      </c>
      <c r="G740" t="s">
        <v>1263</v>
      </c>
      <c r="H740">
        <v>203</v>
      </c>
    </row>
    <row r="741" spans="1:8">
      <c r="A741" t="s">
        <v>1131</v>
      </c>
      <c r="B741" t="s">
        <v>1261</v>
      </c>
      <c r="C741" t="s">
        <v>1133</v>
      </c>
      <c r="F741" t="s">
        <v>1262</v>
      </c>
      <c r="G741" t="s">
        <v>1263</v>
      </c>
      <c r="H741">
        <v>204</v>
      </c>
    </row>
    <row r="742" spans="1:8">
      <c r="A742" t="s">
        <v>1131</v>
      </c>
      <c r="B742" t="s">
        <v>1261</v>
      </c>
      <c r="C742" t="s">
        <v>1133</v>
      </c>
      <c r="F742" t="s">
        <v>1262</v>
      </c>
      <c r="G742" t="s">
        <v>1263</v>
      </c>
      <c r="H742">
        <v>205</v>
      </c>
    </row>
    <row r="743" spans="1:8">
      <c r="A743" t="s">
        <v>1131</v>
      </c>
      <c r="B743" t="s">
        <v>1261</v>
      </c>
      <c r="C743" t="s">
        <v>1133</v>
      </c>
      <c r="F743" t="s">
        <v>1262</v>
      </c>
      <c r="G743" t="s">
        <v>1263</v>
      </c>
      <c r="H743">
        <v>206</v>
      </c>
    </row>
    <row r="744" spans="1:8">
      <c r="A744" t="s">
        <v>1131</v>
      </c>
      <c r="B744" t="s">
        <v>1261</v>
      </c>
      <c r="C744" t="s">
        <v>1133</v>
      </c>
      <c r="F744" t="s">
        <v>1262</v>
      </c>
      <c r="G744" t="s">
        <v>1263</v>
      </c>
      <c r="H744">
        <v>207</v>
      </c>
    </row>
    <row r="745" spans="1:8">
      <c r="A745" t="s">
        <v>1131</v>
      </c>
      <c r="B745" t="s">
        <v>1261</v>
      </c>
      <c r="C745" t="s">
        <v>1133</v>
      </c>
      <c r="F745" t="s">
        <v>1262</v>
      </c>
      <c r="G745" t="s">
        <v>1263</v>
      </c>
      <c r="H745">
        <v>208</v>
      </c>
    </row>
    <row r="746" spans="1:8">
      <c r="A746" t="s">
        <v>1131</v>
      </c>
      <c r="B746" t="s">
        <v>1261</v>
      </c>
      <c r="C746" t="s">
        <v>1133</v>
      </c>
      <c r="F746" t="s">
        <v>1262</v>
      </c>
      <c r="G746" t="s">
        <v>1263</v>
      </c>
      <c r="H746">
        <v>209</v>
      </c>
    </row>
    <row r="747" spans="1:8">
      <c r="A747" t="s">
        <v>1131</v>
      </c>
      <c r="B747" t="s">
        <v>1261</v>
      </c>
      <c r="C747" t="s">
        <v>1266</v>
      </c>
      <c r="F747" t="s">
        <v>1267</v>
      </c>
      <c r="G747" t="s">
        <v>1263</v>
      </c>
      <c r="H747">
        <v>210</v>
      </c>
    </row>
    <row r="748" spans="1:8">
      <c r="A748" t="s">
        <v>1131</v>
      </c>
      <c r="B748" t="s">
        <v>1261</v>
      </c>
      <c r="C748" t="s">
        <v>1133</v>
      </c>
      <c r="F748" t="s">
        <v>1262</v>
      </c>
      <c r="G748" t="s">
        <v>1263</v>
      </c>
      <c r="H748">
        <v>211</v>
      </c>
    </row>
    <row r="749" spans="1:8">
      <c r="A749" t="s">
        <v>1131</v>
      </c>
      <c r="B749" t="s">
        <v>1261</v>
      </c>
      <c r="C749" t="s">
        <v>1133</v>
      </c>
      <c r="F749" t="s">
        <v>1262</v>
      </c>
      <c r="G749" t="s">
        <v>1263</v>
      </c>
      <c r="H749">
        <v>212</v>
      </c>
    </row>
    <row r="750" spans="1:8">
      <c r="A750" t="s">
        <v>1131</v>
      </c>
      <c r="B750" t="s">
        <v>1261</v>
      </c>
      <c r="C750" t="s">
        <v>1133</v>
      </c>
      <c r="F750" t="s">
        <v>1262</v>
      </c>
      <c r="G750" t="s">
        <v>1263</v>
      </c>
      <c r="H750">
        <v>213</v>
      </c>
    </row>
    <row r="751" spans="1:8">
      <c r="A751" t="s">
        <v>1131</v>
      </c>
      <c r="B751" t="s">
        <v>1261</v>
      </c>
      <c r="C751" t="s">
        <v>1133</v>
      </c>
      <c r="F751" t="s">
        <v>1262</v>
      </c>
      <c r="G751" t="s">
        <v>1263</v>
      </c>
      <c r="H751">
        <v>214</v>
      </c>
    </row>
    <row r="752" spans="1:8">
      <c r="A752" t="s">
        <v>1131</v>
      </c>
      <c r="B752" t="s">
        <v>1261</v>
      </c>
      <c r="C752" t="s">
        <v>1133</v>
      </c>
      <c r="F752" t="s">
        <v>1262</v>
      </c>
      <c r="G752" t="s">
        <v>1263</v>
      </c>
      <c r="H752">
        <v>215</v>
      </c>
    </row>
    <row r="753" spans="1:8">
      <c r="A753" t="s">
        <v>1131</v>
      </c>
      <c r="B753" t="s">
        <v>1261</v>
      </c>
      <c r="C753" t="s">
        <v>1133</v>
      </c>
      <c r="F753" t="s">
        <v>1262</v>
      </c>
      <c r="G753" t="s">
        <v>1263</v>
      </c>
      <c r="H753">
        <v>216</v>
      </c>
    </row>
    <row r="754" spans="1:8">
      <c r="A754" t="s">
        <v>1131</v>
      </c>
      <c r="B754" t="s">
        <v>1261</v>
      </c>
      <c r="C754" t="s">
        <v>1266</v>
      </c>
      <c r="F754" t="s">
        <v>1262</v>
      </c>
      <c r="G754" t="s">
        <v>1263</v>
      </c>
      <c r="H754">
        <v>217</v>
      </c>
    </row>
    <row r="755" spans="1:8">
      <c r="A755" t="s">
        <v>1131</v>
      </c>
      <c r="B755" t="s">
        <v>1261</v>
      </c>
      <c r="C755" t="s">
        <v>1265</v>
      </c>
      <c r="F755" t="s">
        <v>1262</v>
      </c>
      <c r="G755" t="s">
        <v>1263</v>
      </c>
      <c r="H755">
        <v>218</v>
      </c>
    </row>
    <row r="756" spans="1:8">
      <c r="A756" t="s">
        <v>1131</v>
      </c>
      <c r="B756" t="s">
        <v>1261</v>
      </c>
      <c r="C756" t="s">
        <v>1133</v>
      </c>
      <c r="F756" t="s">
        <v>1262</v>
      </c>
      <c r="G756" t="s">
        <v>1263</v>
      </c>
      <c r="H756">
        <v>219</v>
      </c>
    </row>
    <row r="757" spans="1:8">
      <c r="A757" t="s">
        <v>1131</v>
      </c>
      <c r="B757" t="s">
        <v>1261</v>
      </c>
      <c r="C757" t="s">
        <v>1133</v>
      </c>
      <c r="F757" t="s">
        <v>1262</v>
      </c>
      <c r="G757" t="s">
        <v>1263</v>
      </c>
      <c r="H757">
        <v>220</v>
      </c>
    </row>
    <row r="758" spans="1:8">
      <c r="A758" t="s">
        <v>1131</v>
      </c>
      <c r="B758" t="s">
        <v>1261</v>
      </c>
      <c r="C758" t="s">
        <v>1133</v>
      </c>
      <c r="F758" t="s">
        <v>1262</v>
      </c>
      <c r="G758" t="s">
        <v>1263</v>
      </c>
      <c r="H758">
        <v>221</v>
      </c>
    </row>
    <row r="759" spans="1:8">
      <c r="A759" t="s">
        <v>1131</v>
      </c>
      <c r="B759" t="s">
        <v>1261</v>
      </c>
      <c r="C759" t="s">
        <v>1133</v>
      </c>
      <c r="F759" t="s">
        <v>1262</v>
      </c>
      <c r="G759" t="s">
        <v>1263</v>
      </c>
      <c r="H759">
        <v>222</v>
      </c>
    </row>
    <row r="760" spans="1:8">
      <c r="A760" t="s">
        <v>1131</v>
      </c>
      <c r="B760" t="s">
        <v>1261</v>
      </c>
      <c r="C760" t="s">
        <v>1133</v>
      </c>
      <c r="F760" t="s">
        <v>1262</v>
      </c>
      <c r="G760" t="s">
        <v>1263</v>
      </c>
      <c r="H760">
        <v>223</v>
      </c>
    </row>
    <row r="761" spans="1:8">
      <c r="A761" t="s">
        <v>1131</v>
      </c>
      <c r="B761" t="s">
        <v>1261</v>
      </c>
      <c r="C761" t="s">
        <v>1133</v>
      </c>
      <c r="F761" t="s">
        <v>1262</v>
      </c>
      <c r="G761" t="s">
        <v>1263</v>
      </c>
      <c r="H761">
        <v>224</v>
      </c>
    </row>
    <row r="762" spans="1:8">
      <c r="A762" t="s">
        <v>1131</v>
      </c>
      <c r="B762" t="s">
        <v>1261</v>
      </c>
      <c r="C762" t="s">
        <v>1133</v>
      </c>
      <c r="F762" t="s">
        <v>1262</v>
      </c>
      <c r="G762" t="s">
        <v>1263</v>
      </c>
      <c r="H762">
        <v>225</v>
      </c>
    </row>
    <row r="763" spans="1:8">
      <c r="A763" t="s">
        <v>1131</v>
      </c>
      <c r="B763" t="s">
        <v>1261</v>
      </c>
      <c r="C763" t="s">
        <v>1133</v>
      </c>
      <c r="F763" t="s">
        <v>1262</v>
      </c>
      <c r="G763" t="s">
        <v>1263</v>
      </c>
      <c r="H763">
        <v>226</v>
      </c>
    </row>
    <row r="764" spans="1:8">
      <c r="A764" t="s">
        <v>1131</v>
      </c>
      <c r="B764" t="s">
        <v>1261</v>
      </c>
      <c r="C764" t="s">
        <v>1133</v>
      </c>
      <c r="F764" t="s">
        <v>1262</v>
      </c>
      <c r="G764" t="s">
        <v>1263</v>
      </c>
      <c r="H764">
        <v>227</v>
      </c>
    </row>
    <row r="765" spans="1:8">
      <c r="A765" t="s">
        <v>1131</v>
      </c>
      <c r="B765" t="s">
        <v>1261</v>
      </c>
      <c r="C765" t="s">
        <v>1133</v>
      </c>
      <c r="F765" t="s">
        <v>1262</v>
      </c>
      <c r="G765" t="s">
        <v>1263</v>
      </c>
      <c r="H765">
        <v>228</v>
      </c>
    </row>
    <row r="766" spans="1:8">
      <c r="A766" t="s">
        <v>1131</v>
      </c>
      <c r="B766" t="s">
        <v>1261</v>
      </c>
      <c r="C766" t="s">
        <v>1133</v>
      </c>
      <c r="F766" t="s">
        <v>1262</v>
      </c>
      <c r="G766" t="s">
        <v>1263</v>
      </c>
      <c r="H766">
        <v>229</v>
      </c>
    </row>
    <row r="767" spans="1:8">
      <c r="A767" t="s">
        <v>1131</v>
      </c>
      <c r="B767" t="s">
        <v>1261</v>
      </c>
      <c r="C767" t="s">
        <v>1133</v>
      </c>
      <c r="F767" t="s">
        <v>1262</v>
      </c>
      <c r="G767" t="s">
        <v>1263</v>
      </c>
      <c r="H767">
        <v>230</v>
      </c>
    </row>
    <row r="768" spans="1:8">
      <c r="A768" t="s">
        <v>1131</v>
      </c>
      <c r="B768" t="s">
        <v>1261</v>
      </c>
      <c r="C768" t="s">
        <v>1133</v>
      </c>
      <c r="F768" t="s">
        <v>1262</v>
      </c>
      <c r="G768" t="s">
        <v>1263</v>
      </c>
      <c r="H768">
        <v>231</v>
      </c>
    </row>
    <row r="769" spans="1:8">
      <c r="A769" t="s">
        <v>1131</v>
      </c>
      <c r="B769" t="s">
        <v>1261</v>
      </c>
      <c r="C769" t="s">
        <v>1133</v>
      </c>
      <c r="F769" t="s">
        <v>1262</v>
      </c>
      <c r="G769" t="s">
        <v>1263</v>
      </c>
      <c r="H769">
        <v>232</v>
      </c>
    </row>
    <row r="770" spans="1:8">
      <c r="A770" t="s">
        <v>1131</v>
      </c>
      <c r="B770" t="s">
        <v>1261</v>
      </c>
      <c r="C770" t="s">
        <v>1133</v>
      </c>
      <c r="F770" t="s">
        <v>1262</v>
      </c>
      <c r="G770" t="s">
        <v>1263</v>
      </c>
      <c r="H770">
        <v>233</v>
      </c>
    </row>
    <row r="771" spans="1:8">
      <c r="A771" t="s">
        <v>1131</v>
      </c>
      <c r="B771" t="s">
        <v>1261</v>
      </c>
      <c r="C771" t="s">
        <v>1265</v>
      </c>
      <c r="F771" t="s">
        <v>1262</v>
      </c>
      <c r="G771" t="s">
        <v>1263</v>
      </c>
      <c r="H771">
        <v>234</v>
      </c>
    </row>
    <row r="772" spans="1:8">
      <c r="A772" t="s">
        <v>1131</v>
      </c>
      <c r="B772" t="s">
        <v>1261</v>
      </c>
      <c r="C772" t="s">
        <v>1133</v>
      </c>
      <c r="F772" t="s">
        <v>1262</v>
      </c>
      <c r="G772" t="s">
        <v>1263</v>
      </c>
      <c r="H772">
        <v>235</v>
      </c>
    </row>
    <row r="773" spans="1:8">
      <c r="A773" t="s">
        <v>1131</v>
      </c>
      <c r="B773" t="s">
        <v>1261</v>
      </c>
      <c r="C773" t="s">
        <v>1133</v>
      </c>
      <c r="F773" t="s">
        <v>1262</v>
      </c>
      <c r="G773" t="s">
        <v>1263</v>
      </c>
      <c r="H773">
        <v>236</v>
      </c>
    </row>
    <row r="774" spans="1:8">
      <c r="A774" t="s">
        <v>1131</v>
      </c>
      <c r="B774" t="s">
        <v>1261</v>
      </c>
      <c r="C774" t="s">
        <v>1133</v>
      </c>
      <c r="F774" t="s">
        <v>1262</v>
      </c>
      <c r="G774" t="s">
        <v>1263</v>
      </c>
      <c r="H774">
        <v>237</v>
      </c>
    </row>
    <row r="775" spans="1:8">
      <c r="A775" t="s">
        <v>1131</v>
      </c>
      <c r="B775" t="s">
        <v>1261</v>
      </c>
      <c r="C775" t="s">
        <v>1133</v>
      </c>
      <c r="F775" t="s">
        <v>1262</v>
      </c>
      <c r="G775" t="s">
        <v>1263</v>
      </c>
      <c r="H775">
        <v>238</v>
      </c>
    </row>
    <row r="776" spans="1:8">
      <c r="A776" t="s">
        <v>1131</v>
      </c>
      <c r="B776" t="s">
        <v>1261</v>
      </c>
      <c r="C776" t="s">
        <v>1133</v>
      </c>
      <c r="F776" t="s">
        <v>1262</v>
      </c>
      <c r="G776" t="s">
        <v>1263</v>
      </c>
      <c r="H776">
        <v>239</v>
      </c>
    </row>
    <row r="777" spans="1:8">
      <c r="A777" t="s">
        <v>1131</v>
      </c>
      <c r="B777" t="s">
        <v>1261</v>
      </c>
      <c r="C777" t="s">
        <v>1133</v>
      </c>
      <c r="F777" t="s">
        <v>1262</v>
      </c>
      <c r="G777" t="s">
        <v>1263</v>
      </c>
      <c r="H777">
        <v>240</v>
      </c>
    </row>
    <row r="778" spans="1:8">
      <c r="A778" t="s">
        <v>1131</v>
      </c>
      <c r="B778" t="s">
        <v>1261</v>
      </c>
      <c r="C778" t="s">
        <v>1133</v>
      </c>
      <c r="F778" t="s">
        <v>1262</v>
      </c>
      <c r="G778" t="s">
        <v>1263</v>
      </c>
      <c r="H778">
        <v>241</v>
      </c>
    </row>
    <row r="779" spans="1:8">
      <c r="A779" t="s">
        <v>1131</v>
      </c>
      <c r="B779" t="s">
        <v>1261</v>
      </c>
      <c r="C779" t="s">
        <v>1133</v>
      </c>
      <c r="F779" t="s">
        <v>1262</v>
      </c>
      <c r="G779" t="s">
        <v>1263</v>
      </c>
      <c r="H779">
        <v>242</v>
      </c>
    </row>
    <row r="780" spans="1:8">
      <c r="A780" t="s">
        <v>1131</v>
      </c>
      <c r="B780" t="s">
        <v>1261</v>
      </c>
      <c r="C780" t="s">
        <v>1133</v>
      </c>
      <c r="F780" t="s">
        <v>1262</v>
      </c>
      <c r="G780" t="s">
        <v>1263</v>
      </c>
      <c r="H780">
        <v>243</v>
      </c>
    </row>
    <row r="781" spans="1:8">
      <c r="A781" t="s">
        <v>1131</v>
      </c>
      <c r="B781" t="s">
        <v>1261</v>
      </c>
      <c r="C781" t="s">
        <v>1133</v>
      </c>
      <c r="F781" t="s">
        <v>1262</v>
      </c>
      <c r="G781" t="s">
        <v>1263</v>
      </c>
      <c r="H781">
        <v>244</v>
      </c>
    </row>
    <row r="782" spans="1:8">
      <c r="A782" t="s">
        <v>1131</v>
      </c>
      <c r="B782" t="s">
        <v>1261</v>
      </c>
      <c r="C782" t="s">
        <v>1133</v>
      </c>
      <c r="F782" t="s">
        <v>1262</v>
      </c>
      <c r="G782" t="s">
        <v>1263</v>
      </c>
      <c r="H782">
        <v>245</v>
      </c>
    </row>
    <row r="783" spans="1:8">
      <c r="A783" t="s">
        <v>1131</v>
      </c>
      <c r="B783" t="s">
        <v>1261</v>
      </c>
      <c r="C783" t="s">
        <v>1133</v>
      </c>
      <c r="F783" t="s">
        <v>1262</v>
      </c>
      <c r="G783" t="s">
        <v>1263</v>
      </c>
      <c r="H783">
        <v>246</v>
      </c>
    </row>
    <row r="784" spans="1:8">
      <c r="A784" t="s">
        <v>1131</v>
      </c>
      <c r="B784" t="s">
        <v>1261</v>
      </c>
      <c r="C784" t="s">
        <v>1133</v>
      </c>
      <c r="F784" t="s">
        <v>1262</v>
      </c>
      <c r="G784" t="s">
        <v>1263</v>
      </c>
      <c r="H784">
        <v>247</v>
      </c>
    </row>
    <row r="785" spans="1:8">
      <c r="A785" t="s">
        <v>1131</v>
      </c>
      <c r="B785" t="s">
        <v>1261</v>
      </c>
      <c r="C785" t="s">
        <v>1133</v>
      </c>
      <c r="F785" t="s">
        <v>1262</v>
      </c>
      <c r="G785" t="s">
        <v>1263</v>
      </c>
      <c r="H785">
        <v>248</v>
      </c>
    </row>
    <row r="786" spans="1:8">
      <c r="A786" t="s">
        <v>1131</v>
      </c>
      <c r="B786" t="s">
        <v>1261</v>
      </c>
      <c r="C786" t="s">
        <v>1133</v>
      </c>
      <c r="F786" t="s">
        <v>1262</v>
      </c>
      <c r="G786" t="s">
        <v>1263</v>
      </c>
      <c r="H786">
        <v>249</v>
      </c>
    </row>
    <row r="787" spans="1:8">
      <c r="A787" t="s">
        <v>1131</v>
      </c>
      <c r="B787" t="s">
        <v>1261</v>
      </c>
      <c r="C787" t="s">
        <v>1133</v>
      </c>
      <c r="F787" t="s">
        <v>1262</v>
      </c>
      <c r="G787" t="s">
        <v>1263</v>
      </c>
      <c r="H787">
        <v>250</v>
      </c>
    </row>
    <row r="788" spans="1:8">
      <c r="A788" t="s">
        <v>1131</v>
      </c>
      <c r="B788" t="s">
        <v>1261</v>
      </c>
      <c r="C788" t="s">
        <v>1133</v>
      </c>
      <c r="F788" t="s">
        <v>1262</v>
      </c>
      <c r="G788" t="s">
        <v>1263</v>
      </c>
      <c r="H788">
        <v>251</v>
      </c>
    </row>
    <row r="789" spans="1:8">
      <c r="A789" t="s">
        <v>1131</v>
      </c>
      <c r="B789" t="s">
        <v>1261</v>
      </c>
      <c r="C789" t="s">
        <v>1133</v>
      </c>
      <c r="F789" t="s">
        <v>1262</v>
      </c>
      <c r="G789" t="s">
        <v>1263</v>
      </c>
      <c r="H789">
        <v>252</v>
      </c>
    </row>
    <row r="790" spans="1:8">
      <c r="A790" t="s">
        <v>1131</v>
      </c>
      <c r="B790" t="s">
        <v>1261</v>
      </c>
      <c r="C790" t="s">
        <v>1133</v>
      </c>
      <c r="F790" t="s">
        <v>1262</v>
      </c>
      <c r="G790" t="s">
        <v>1263</v>
      </c>
      <c r="H790">
        <v>253</v>
      </c>
    </row>
    <row r="791" spans="1:8">
      <c r="A791" t="s">
        <v>1131</v>
      </c>
      <c r="B791" t="s">
        <v>1261</v>
      </c>
      <c r="C791" t="s">
        <v>1133</v>
      </c>
      <c r="F791" t="s">
        <v>1262</v>
      </c>
      <c r="G791" t="s">
        <v>1263</v>
      </c>
      <c r="H791">
        <v>254</v>
      </c>
    </row>
    <row r="792" spans="1:8">
      <c r="A792" t="s">
        <v>1131</v>
      </c>
      <c r="B792" t="s">
        <v>1261</v>
      </c>
      <c r="C792" t="s">
        <v>1133</v>
      </c>
      <c r="F792" t="s">
        <v>1262</v>
      </c>
      <c r="G792" t="s">
        <v>1263</v>
      </c>
      <c r="H792">
        <v>255</v>
      </c>
    </row>
    <row r="793" spans="1:8">
      <c r="A793" t="s">
        <v>1131</v>
      </c>
      <c r="B793" t="s">
        <v>1261</v>
      </c>
      <c r="C793" t="s">
        <v>1133</v>
      </c>
      <c r="F793" t="s">
        <v>1262</v>
      </c>
      <c r="G793" t="s">
        <v>1263</v>
      </c>
      <c r="H793">
        <v>256</v>
      </c>
    </row>
    <row r="794" spans="1:8">
      <c r="A794" t="s">
        <v>1131</v>
      </c>
      <c r="B794" t="s">
        <v>1261</v>
      </c>
      <c r="C794" t="s">
        <v>1133</v>
      </c>
      <c r="F794" t="s">
        <v>1262</v>
      </c>
      <c r="G794" t="s">
        <v>1263</v>
      </c>
      <c r="H794">
        <v>257</v>
      </c>
    </row>
    <row r="795" spans="1:8">
      <c r="A795" t="s">
        <v>1131</v>
      </c>
      <c r="B795" t="s">
        <v>1261</v>
      </c>
      <c r="C795" t="s">
        <v>1133</v>
      </c>
      <c r="F795" t="s">
        <v>1262</v>
      </c>
      <c r="G795" t="s">
        <v>1263</v>
      </c>
      <c r="H795">
        <v>258</v>
      </c>
    </row>
    <row r="796" spans="1:8">
      <c r="A796" t="s">
        <v>1131</v>
      </c>
      <c r="B796" t="s">
        <v>1261</v>
      </c>
      <c r="C796" t="s">
        <v>1133</v>
      </c>
      <c r="F796" t="s">
        <v>1262</v>
      </c>
      <c r="G796" t="s">
        <v>1263</v>
      </c>
      <c r="H796">
        <v>259</v>
      </c>
    </row>
    <row r="797" spans="1:8">
      <c r="A797" t="s">
        <v>1131</v>
      </c>
      <c r="B797" t="s">
        <v>1261</v>
      </c>
      <c r="C797" t="s">
        <v>1133</v>
      </c>
      <c r="F797" t="s">
        <v>1262</v>
      </c>
      <c r="G797" t="s">
        <v>1263</v>
      </c>
      <c r="H797">
        <v>260</v>
      </c>
    </row>
    <row r="798" spans="1:8">
      <c r="A798" t="s">
        <v>1131</v>
      </c>
      <c r="B798" t="s">
        <v>1261</v>
      </c>
      <c r="C798" t="s">
        <v>1133</v>
      </c>
      <c r="F798" t="s">
        <v>1262</v>
      </c>
      <c r="G798" t="s">
        <v>1263</v>
      </c>
      <c r="H798">
        <v>261</v>
      </c>
    </row>
    <row r="799" spans="1:8">
      <c r="A799" t="s">
        <v>1131</v>
      </c>
      <c r="B799" t="s">
        <v>1261</v>
      </c>
      <c r="C799" t="s">
        <v>1133</v>
      </c>
      <c r="F799" t="s">
        <v>1262</v>
      </c>
      <c r="G799" t="s">
        <v>1263</v>
      </c>
      <c r="H799">
        <v>262</v>
      </c>
    </row>
    <row r="800" spans="1:8">
      <c r="A800" t="s">
        <v>1131</v>
      </c>
      <c r="B800" t="s">
        <v>1261</v>
      </c>
      <c r="C800" t="s">
        <v>1133</v>
      </c>
      <c r="F800" t="s">
        <v>1262</v>
      </c>
      <c r="G800" t="s">
        <v>1263</v>
      </c>
      <c r="H800">
        <v>263</v>
      </c>
    </row>
    <row r="801" spans="1:8">
      <c r="A801" t="s">
        <v>1131</v>
      </c>
      <c r="B801" t="s">
        <v>1261</v>
      </c>
      <c r="C801" t="s">
        <v>1268</v>
      </c>
      <c r="F801" t="s">
        <v>1262</v>
      </c>
      <c r="G801" t="s">
        <v>1263</v>
      </c>
      <c r="H801">
        <v>264</v>
      </c>
    </row>
    <row r="802" spans="1:8">
      <c r="A802" t="s">
        <v>1131</v>
      </c>
      <c r="B802" t="s">
        <v>1261</v>
      </c>
      <c r="C802" t="s">
        <v>1133</v>
      </c>
      <c r="F802" t="s">
        <v>1262</v>
      </c>
      <c r="G802" t="s">
        <v>1263</v>
      </c>
      <c r="H802">
        <v>265</v>
      </c>
    </row>
    <row r="803" spans="1:8">
      <c r="A803" t="s">
        <v>1131</v>
      </c>
      <c r="B803" t="s">
        <v>1261</v>
      </c>
      <c r="C803" t="s">
        <v>1133</v>
      </c>
      <c r="F803" t="s">
        <v>1262</v>
      </c>
      <c r="G803" t="s">
        <v>1263</v>
      </c>
      <c r="H803">
        <v>266</v>
      </c>
    </row>
    <row r="804" spans="1:8">
      <c r="A804" t="s">
        <v>1131</v>
      </c>
      <c r="B804" t="s">
        <v>1261</v>
      </c>
      <c r="C804" t="s">
        <v>1133</v>
      </c>
      <c r="F804" t="s">
        <v>1262</v>
      </c>
      <c r="G804" t="s">
        <v>1263</v>
      </c>
      <c r="H804">
        <v>267</v>
      </c>
    </row>
    <row r="805" spans="1:8">
      <c r="A805" t="s">
        <v>1131</v>
      </c>
      <c r="B805" t="s">
        <v>1261</v>
      </c>
      <c r="C805" t="s">
        <v>1133</v>
      </c>
      <c r="F805" t="s">
        <v>1262</v>
      </c>
      <c r="G805" t="s">
        <v>1263</v>
      </c>
      <c r="H805">
        <v>268</v>
      </c>
    </row>
    <row r="806" spans="1:8">
      <c r="A806" t="s">
        <v>1131</v>
      </c>
      <c r="B806" t="s">
        <v>1261</v>
      </c>
      <c r="C806" t="s">
        <v>1133</v>
      </c>
      <c r="F806" t="s">
        <v>1262</v>
      </c>
      <c r="G806" t="s">
        <v>1263</v>
      </c>
      <c r="H806">
        <v>269</v>
      </c>
    </row>
    <row r="807" spans="1:8">
      <c r="A807" t="s">
        <v>1131</v>
      </c>
      <c r="B807" t="s">
        <v>1261</v>
      </c>
      <c r="C807" t="s">
        <v>1269</v>
      </c>
      <c r="F807" t="s">
        <v>1262</v>
      </c>
      <c r="G807" t="s">
        <v>1263</v>
      </c>
      <c r="H807">
        <v>270</v>
      </c>
    </row>
    <row r="808" spans="1:8">
      <c r="A808" t="s">
        <v>1131</v>
      </c>
      <c r="B808" t="s">
        <v>1261</v>
      </c>
      <c r="C808" t="s">
        <v>1133</v>
      </c>
      <c r="F808" t="s">
        <v>1262</v>
      </c>
      <c r="G808" t="s">
        <v>1263</v>
      </c>
      <c r="H808">
        <v>271</v>
      </c>
    </row>
    <row r="809" spans="1:8">
      <c r="A809" t="s">
        <v>1131</v>
      </c>
      <c r="B809" t="s">
        <v>1261</v>
      </c>
      <c r="C809" t="s">
        <v>1133</v>
      </c>
      <c r="F809" t="s">
        <v>1262</v>
      </c>
      <c r="G809" t="s">
        <v>1263</v>
      </c>
      <c r="H809">
        <v>272</v>
      </c>
    </row>
    <row r="810" spans="1:8">
      <c r="A810" t="s">
        <v>1131</v>
      </c>
      <c r="B810" t="s">
        <v>1261</v>
      </c>
      <c r="C810" t="s">
        <v>1133</v>
      </c>
      <c r="F810" t="s">
        <v>1262</v>
      </c>
      <c r="G810" t="s">
        <v>1263</v>
      </c>
      <c r="H810">
        <v>273</v>
      </c>
    </row>
    <row r="811" spans="1:8">
      <c r="A811" t="s">
        <v>1131</v>
      </c>
      <c r="B811" t="s">
        <v>1261</v>
      </c>
      <c r="C811" t="s">
        <v>1133</v>
      </c>
      <c r="F811" t="s">
        <v>1262</v>
      </c>
      <c r="G811" t="s">
        <v>1263</v>
      </c>
      <c r="H811">
        <v>274</v>
      </c>
    </row>
    <row r="812" spans="1:8">
      <c r="A812" t="s">
        <v>1131</v>
      </c>
      <c r="B812" t="s">
        <v>1261</v>
      </c>
      <c r="C812" t="s">
        <v>1133</v>
      </c>
      <c r="F812" t="s">
        <v>1262</v>
      </c>
      <c r="G812" t="s">
        <v>1263</v>
      </c>
      <c r="H812">
        <v>275</v>
      </c>
    </row>
    <row r="813" spans="1:8">
      <c r="A813" t="s">
        <v>1131</v>
      </c>
      <c r="B813" t="s">
        <v>1261</v>
      </c>
      <c r="C813" t="s">
        <v>1133</v>
      </c>
      <c r="F813" t="s">
        <v>1262</v>
      </c>
      <c r="G813" t="s">
        <v>1263</v>
      </c>
      <c r="H813">
        <v>276</v>
      </c>
    </row>
    <row r="814" spans="1:8">
      <c r="A814" t="s">
        <v>1131</v>
      </c>
      <c r="B814" t="s">
        <v>1261</v>
      </c>
      <c r="C814" t="s">
        <v>1133</v>
      </c>
      <c r="F814" t="s">
        <v>1262</v>
      </c>
      <c r="G814" t="s">
        <v>1263</v>
      </c>
      <c r="H814">
        <v>277</v>
      </c>
    </row>
    <row r="815" spans="1:8">
      <c r="A815" t="s">
        <v>1131</v>
      </c>
      <c r="B815" t="s">
        <v>1261</v>
      </c>
      <c r="C815" t="s">
        <v>1133</v>
      </c>
      <c r="F815" t="s">
        <v>1262</v>
      </c>
      <c r="G815" t="s">
        <v>1263</v>
      </c>
      <c r="H815">
        <v>278</v>
      </c>
    </row>
    <row r="816" spans="1:8">
      <c r="A816" t="s">
        <v>1131</v>
      </c>
      <c r="B816" t="s">
        <v>1261</v>
      </c>
      <c r="C816" t="s">
        <v>1269</v>
      </c>
      <c r="F816" t="s">
        <v>1262</v>
      </c>
      <c r="G816" t="s">
        <v>1263</v>
      </c>
      <c r="H816">
        <v>279</v>
      </c>
    </row>
    <row r="817" spans="1:8">
      <c r="A817" t="s">
        <v>1131</v>
      </c>
      <c r="B817" t="s">
        <v>1261</v>
      </c>
      <c r="C817" t="s">
        <v>1133</v>
      </c>
      <c r="F817" t="s">
        <v>1262</v>
      </c>
      <c r="G817" t="s">
        <v>1263</v>
      </c>
      <c r="H817">
        <v>280</v>
      </c>
    </row>
    <row r="818" spans="1:8">
      <c r="A818" t="s">
        <v>1131</v>
      </c>
      <c r="B818" t="s">
        <v>1261</v>
      </c>
      <c r="C818" t="s">
        <v>1269</v>
      </c>
      <c r="F818" t="s">
        <v>1262</v>
      </c>
      <c r="G818" t="s">
        <v>1263</v>
      </c>
      <c r="H818">
        <v>281</v>
      </c>
    </row>
    <row r="819" spans="1:8">
      <c r="A819" t="s">
        <v>1131</v>
      </c>
      <c r="B819" t="s">
        <v>1261</v>
      </c>
      <c r="C819" t="s">
        <v>1133</v>
      </c>
      <c r="F819" t="s">
        <v>1262</v>
      </c>
      <c r="G819" t="s">
        <v>1263</v>
      </c>
      <c r="H819">
        <v>282</v>
      </c>
    </row>
    <row r="820" spans="1:8">
      <c r="A820" t="s">
        <v>1131</v>
      </c>
      <c r="B820" t="s">
        <v>1261</v>
      </c>
      <c r="C820" t="s">
        <v>1133</v>
      </c>
      <c r="F820" t="s">
        <v>1262</v>
      </c>
      <c r="G820" t="s">
        <v>1263</v>
      </c>
      <c r="H820">
        <v>283</v>
      </c>
    </row>
    <row r="821" spans="1:8">
      <c r="A821" t="s">
        <v>1131</v>
      </c>
      <c r="B821" t="s">
        <v>1261</v>
      </c>
      <c r="C821" t="s">
        <v>1133</v>
      </c>
      <c r="F821" t="s">
        <v>1262</v>
      </c>
      <c r="G821" t="s">
        <v>1263</v>
      </c>
      <c r="H821">
        <v>284</v>
      </c>
    </row>
    <row r="822" spans="1:8">
      <c r="A822" t="s">
        <v>1131</v>
      </c>
      <c r="B822" t="s">
        <v>1261</v>
      </c>
      <c r="C822" t="s">
        <v>1133</v>
      </c>
      <c r="F822" t="s">
        <v>1262</v>
      </c>
      <c r="G822" t="s">
        <v>1263</v>
      </c>
      <c r="H822">
        <v>285</v>
      </c>
    </row>
    <row r="823" spans="1:8">
      <c r="A823" t="s">
        <v>1131</v>
      </c>
      <c r="B823" t="s">
        <v>1261</v>
      </c>
      <c r="C823" t="s">
        <v>1133</v>
      </c>
      <c r="F823" t="s">
        <v>1262</v>
      </c>
      <c r="G823" t="s">
        <v>1263</v>
      </c>
      <c r="H823">
        <v>286</v>
      </c>
    </row>
    <row r="824" spans="1:8">
      <c r="A824" t="s">
        <v>1131</v>
      </c>
      <c r="B824" t="s">
        <v>1261</v>
      </c>
      <c r="C824" t="s">
        <v>1133</v>
      </c>
      <c r="F824" t="s">
        <v>1262</v>
      </c>
      <c r="G824" t="s">
        <v>1263</v>
      </c>
      <c r="H824">
        <v>287</v>
      </c>
    </row>
    <row r="825" spans="1:8">
      <c r="A825" t="s">
        <v>1131</v>
      </c>
      <c r="B825" t="s">
        <v>1261</v>
      </c>
      <c r="C825" t="s">
        <v>1133</v>
      </c>
      <c r="F825" t="s">
        <v>1262</v>
      </c>
      <c r="G825" t="s">
        <v>1263</v>
      </c>
      <c r="H825">
        <v>288</v>
      </c>
    </row>
    <row r="826" spans="1:8">
      <c r="A826" t="s">
        <v>1131</v>
      </c>
      <c r="B826" t="s">
        <v>1261</v>
      </c>
      <c r="C826" t="s">
        <v>1133</v>
      </c>
      <c r="F826" t="s">
        <v>1262</v>
      </c>
      <c r="G826" t="s">
        <v>1263</v>
      </c>
      <c r="H826">
        <v>289</v>
      </c>
    </row>
    <row r="827" spans="1:8">
      <c r="A827" t="s">
        <v>1131</v>
      </c>
      <c r="B827" t="s">
        <v>1261</v>
      </c>
      <c r="C827" t="s">
        <v>1133</v>
      </c>
      <c r="F827" t="s">
        <v>1262</v>
      </c>
      <c r="G827" t="s">
        <v>1263</v>
      </c>
      <c r="H827">
        <v>290</v>
      </c>
    </row>
    <row r="828" spans="1:8">
      <c r="A828" t="s">
        <v>1131</v>
      </c>
      <c r="B828" t="s">
        <v>1261</v>
      </c>
      <c r="C828" t="s">
        <v>1133</v>
      </c>
      <c r="F828" t="s">
        <v>1262</v>
      </c>
      <c r="G828" t="s">
        <v>1263</v>
      </c>
      <c r="H828">
        <v>291</v>
      </c>
    </row>
    <row r="829" spans="1:8">
      <c r="A829" t="s">
        <v>1131</v>
      </c>
      <c r="B829" t="s">
        <v>1261</v>
      </c>
      <c r="C829" t="s">
        <v>1133</v>
      </c>
      <c r="F829" t="s">
        <v>1262</v>
      </c>
      <c r="G829" t="s">
        <v>1263</v>
      </c>
      <c r="H829">
        <v>292</v>
      </c>
    </row>
    <row r="830" spans="1:8">
      <c r="A830" t="s">
        <v>1131</v>
      </c>
      <c r="B830" t="s">
        <v>1261</v>
      </c>
      <c r="C830" t="s">
        <v>1133</v>
      </c>
      <c r="F830" t="s">
        <v>1262</v>
      </c>
      <c r="G830" t="s">
        <v>1263</v>
      </c>
      <c r="H830">
        <v>293</v>
      </c>
    </row>
    <row r="831" spans="1:8">
      <c r="A831" t="s">
        <v>1131</v>
      </c>
      <c r="B831" t="s">
        <v>1261</v>
      </c>
      <c r="C831" t="s">
        <v>1133</v>
      </c>
      <c r="F831" t="s">
        <v>1262</v>
      </c>
      <c r="G831" t="s">
        <v>1263</v>
      </c>
      <c r="H831">
        <v>294</v>
      </c>
    </row>
    <row r="832" spans="1:8">
      <c r="A832" t="s">
        <v>1131</v>
      </c>
      <c r="B832" t="s">
        <v>1261</v>
      </c>
      <c r="C832" t="s">
        <v>1133</v>
      </c>
      <c r="F832" t="s">
        <v>1262</v>
      </c>
      <c r="G832" t="s">
        <v>1263</v>
      </c>
      <c r="H832">
        <v>295</v>
      </c>
    </row>
    <row r="833" spans="1:8">
      <c r="A833" t="s">
        <v>1131</v>
      </c>
      <c r="B833" t="s">
        <v>1261</v>
      </c>
      <c r="C833" t="s">
        <v>1133</v>
      </c>
      <c r="F833" t="s">
        <v>1262</v>
      </c>
      <c r="G833" t="s">
        <v>1263</v>
      </c>
      <c r="H833">
        <v>296</v>
      </c>
    </row>
    <row r="834" spans="1:8">
      <c r="A834" t="s">
        <v>1131</v>
      </c>
      <c r="B834" t="s">
        <v>1261</v>
      </c>
      <c r="C834" t="s">
        <v>1133</v>
      </c>
      <c r="F834" t="s">
        <v>1262</v>
      </c>
      <c r="G834" t="s">
        <v>1263</v>
      </c>
      <c r="H834">
        <v>297</v>
      </c>
    </row>
    <row r="835" spans="1:8">
      <c r="A835" t="s">
        <v>1131</v>
      </c>
      <c r="B835" t="s">
        <v>1261</v>
      </c>
      <c r="C835" t="s">
        <v>1133</v>
      </c>
      <c r="F835" t="s">
        <v>1262</v>
      </c>
      <c r="G835" t="s">
        <v>1263</v>
      </c>
      <c r="H835">
        <v>298</v>
      </c>
    </row>
    <row r="836" spans="1:8">
      <c r="A836" t="s">
        <v>1131</v>
      </c>
      <c r="B836" t="s">
        <v>1261</v>
      </c>
      <c r="C836" t="s">
        <v>1133</v>
      </c>
      <c r="F836" t="s">
        <v>1262</v>
      </c>
      <c r="G836" t="s">
        <v>1263</v>
      </c>
      <c r="H836">
        <v>299</v>
      </c>
    </row>
    <row r="837" spans="1:8">
      <c r="A837" t="s">
        <v>1131</v>
      </c>
      <c r="B837" t="s">
        <v>1261</v>
      </c>
      <c r="C837" t="s">
        <v>1133</v>
      </c>
      <c r="F837" t="s">
        <v>1262</v>
      </c>
      <c r="G837" t="s">
        <v>1263</v>
      </c>
      <c r="H837">
        <v>300</v>
      </c>
    </row>
    <row r="838" spans="1:8">
      <c r="A838" t="s">
        <v>1131</v>
      </c>
      <c r="B838" t="s">
        <v>1261</v>
      </c>
      <c r="C838" t="s">
        <v>1133</v>
      </c>
      <c r="F838" t="s">
        <v>1262</v>
      </c>
      <c r="G838" t="s">
        <v>1263</v>
      </c>
      <c r="H838">
        <v>301</v>
      </c>
    </row>
    <row r="839" spans="1:8">
      <c r="A839" t="s">
        <v>1131</v>
      </c>
      <c r="B839" t="s">
        <v>1261</v>
      </c>
      <c r="C839" t="s">
        <v>1133</v>
      </c>
      <c r="F839" t="s">
        <v>1262</v>
      </c>
      <c r="G839" t="s">
        <v>1263</v>
      </c>
      <c r="H839">
        <v>302</v>
      </c>
    </row>
    <row r="840" spans="1:8">
      <c r="A840" t="s">
        <v>1131</v>
      </c>
      <c r="B840" t="s">
        <v>1261</v>
      </c>
      <c r="C840" t="s">
        <v>1133</v>
      </c>
      <c r="F840" t="s">
        <v>1262</v>
      </c>
      <c r="G840" t="s">
        <v>1263</v>
      </c>
      <c r="H840">
        <v>303</v>
      </c>
    </row>
    <row r="841" spans="1:8">
      <c r="A841" t="s">
        <v>1131</v>
      </c>
      <c r="B841" t="s">
        <v>1261</v>
      </c>
      <c r="C841" t="s">
        <v>1133</v>
      </c>
      <c r="F841" t="s">
        <v>1262</v>
      </c>
      <c r="G841" t="s">
        <v>1263</v>
      </c>
      <c r="H841">
        <v>304</v>
      </c>
    </row>
    <row r="842" spans="1:8">
      <c r="A842" t="s">
        <v>1131</v>
      </c>
      <c r="B842" t="s">
        <v>1261</v>
      </c>
      <c r="C842" t="s">
        <v>1133</v>
      </c>
      <c r="F842" t="s">
        <v>1262</v>
      </c>
      <c r="G842" t="s">
        <v>1263</v>
      </c>
      <c r="H842">
        <v>305</v>
      </c>
    </row>
    <row r="843" spans="1:8">
      <c r="A843" t="s">
        <v>1131</v>
      </c>
      <c r="B843" t="s">
        <v>1261</v>
      </c>
      <c r="C843" t="s">
        <v>1133</v>
      </c>
      <c r="F843" t="s">
        <v>1262</v>
      </c>
      <c r="G843" t="s">
        <v>1263</v>
      </c>
      <c r="H843">
        <v>306</v>
      </c>
    </row>
    <row r="844" spans="1:8">
      <c r="A844" t="s">
        <v>1131</v>
      </c>
      <c r="B844" t="s">
        <v>1261</v>
      </c>
      <c r="C844" t="s">
        <v>1133</v>
      </c>
      <c r="F844" t="s">
        <v>1262</v>
      </c>
      <c r="G844" t="s">
        <v>1263</v>
      </c>
      <c r="H844">
        <v>307</v>
      </c>
    </row>
    <row r="845" spans="1:8">
      <c r="A845" t="s">
        <v>1131</v>
      </c>
      <c r="B845" t="s">
        <v>1261</v>
      </c>
      <c r="C845" t="s">
        <v>1133</v>
      </c>
      <c r="F845" t="s">
        <v>1262</v>
      </c>
      <c r="G845" t="s">
        <v>1263</v>
      </c>
      <c r="H845">
        <v>308</v>
      </c>
    </row>
    <row r="846" spans="1:8">
      <c r="A846" t="s">
        <v>1131</v>
      </c>
      <c r="B846" t="s">
        <v>1261</v>
      </c>
      <c r="C846" t="s">
        <v>1133</v>
      </c>
      <c r="F846" t="s">
        <v>1262</v>
      </c>
      <c r="G846" t="s">
        <v>1263</v>
      </c>
      <c r="H846">
        <v>309</v>
      </c>
    </row>
    <row r="847" spans="1:8">
      <c r="A847" t="s">
        <v>1131</v>
      </c>
      <c r="B847" t="s">
        <v>1261</v>
      </c>
      <c r="C847" t="s">
        <v>1133</v>
      </c>
      <c r="F847" t="s">
        <v>1262</v>
      </c>
      <c r="G847" t="s">
        <v>1263</v>
      </c>
      <c r="H847">
        <v>310</v>
      </c>
    </row>
    <row r="848" spans="1:8">
      <c r="A848" t="s">
        <v>1131</v>
      </c>
      <c r="B848" t="s">
        <v>1261</v>
      </c>
      <c r="C848" t="s">
        <v>1133</v>
      </c>
      <c r="F848" t="s">
        <v>1262</v>
      </c>
      <c r="G848" t="s">
        <v>1263</v>
      </c>
      <c r="H848">
        <v>311</v>
      </c>
    </row>
    <row r="849" spans="1:8">
      <c r="A849" t="s">
        <v>1131</v>
      </c>
      <c r="B849" t="s">
        <v>1261</v>
      </c>
      <c r="C849" t="s">
        <v>1133</v>
      </c>
      <c r="F849" t="s">
        <v>1262</v>
      </c>
      <c r="G849" t="s">
        <v>1263</v>
      </c>
      <c r="H849">
        <v>312</v>
      </c>
    </row>
    <row r="850" spans="1:8">
      <c r="A850" t="s">
        <v>1131</v>
      </c>
      <c r="B850" t="s">
        <v>1261</v>
      </c>
      <c r="C850" t="s">
        <v>1133</v>
      </c>
      <c r="F850" t="s">
        <v>1262</v>
      </c>
      <c r="G850" t="s">
        <v>1263</v>
      </c>
      <c r="H850">
        <v>313</v>
      </c>
    </row>
    <row r="851" spans="1:8">
      <c r="A851" t="s">
        <v>1131</v>
      </c>
      <c r="B851" t="s">
        <v>1261</v>
      </c>
      <c r="C851" t="s">
        <v>1133</v>
      </c>
      <c r="F851" t="s">
        <v>1262</v>
      </c>
      <c r="G851" t="s">
        <v>1263</v>
      </c>
      <c r="H851">
        <v>314</v>
      </c>
    </row>
    <row r="852" spans="1:8">
      <c r="A852" t="s">
        <v>1131</v>
      </c>
      <c r="B852" t="s">
        <v>1261</v>
      </c>
      <c r="C852" t="s">
        <v>1133</v>
      </c>
      <c r="F852" t="s">
        <v>1262</v>
      </c>
      <c r="G852" t="s">
        <v>1263</v>
      </c>
      <c r="H852">
        <v>315</v>
      </c>
    </row>
    <row r="853" spans="1:8">
      <c r="A853" t="s">
        <v>1131</v>
      </c>
      <c r="B853" t="s">
        <v>1261</v>
      </c>
      <c r="C853" t="s">
        <v>1269</v>
      </c>
      <c r="F853" t="s">
        <v>1262</v>
      </c>
      <c r="G853" t="s">
        <v>1263</v>
      </c>
      <c r="H853">
        <v>316</v>
      </c>
    </row>
    <row r="854" spans="1:8">
      <c r="A854" t="s">
        <v>1131</v>
      </c>
      <c r="B854" t="s">
        <v>1261</v>
      </c>
      <c r="C854" t="s">
        <v>1133</v>
      </c>
      <c r="F854" t="s">
        <v>1262</v>
      </c>
      <c r="G854" t="s">
        <v>1263</v>
      </c>
      <c r="H854">
        <v>317</v>
      </c>
    </row>
    <row r="855" spans="1:8">
      <c r="A855" t="s">
        <v>1131</v>
      </c>
      <c r="B855" t="s">
        <v>1261</v>
      </c>
      <c r="C855" t="s">
        <v>1133</v>
      </c>
      <c r="F855" t="s">
        <v>1262</v>
      </c>
      <c r="G855" t="s">
        <v>1263</v>
      </c>
      <c r="H855">
        <v>318</v>
      </c>
    </row>
    <row r="856" spans="1:8">
      <c r="A856" t="s">
        <v>1131</v>
      </c>
      <c r="B856" t="s">
        <v>1261</v>
      </c>
      <c r="C856" t="s">
        <v>1133</v>
      </c>
      <c r="F856" t="s">
        <v>1262</v>
      </c>
      <c r="G856" t="s">
        <v>1263</v>
      </c>
      <c r="H856">
        <v>319</v>
      </c>
    </row>
    <row r="857" spans="1:8">
      <c r="A857" t="s">
        <v>1131</v>
      </c>
      <c r="B857" t="s">
        <v>1261</v>
      </c>
      <c r="C857" t="s">
        <v>1133</v>
      </c>
      <c r="F857" t="s">
        <v>1262</v>
      </c>
      <c r="G857" t="s">
        <v>1263</v>
      </c>
      <c r="H857">
        <v>320</v>
      </c>
    </row>
    <row r="858" spans="1:8">
      <c r="A858" t="s">
        <v>1131</v>
      </c>
      <c r="B858" t="s">
        <v>1261</v>
      </c>
      <c r="C858" t="s">
        <v>1133</v>
      </c>
      <c r="F858" t="s">
        <v>1262</v>
      </c>
      <c r="G858" t="s">
        <v>1263</v>
      </c>
      <c r="H858">
        <v>321</v>
      </c>
    </row>
    <row r="859" spans="1:8">
      <c r="A859" t="s">
        <v>1131</v>
      </c>
      <c r="B859" t="s">
        <v>1261</v>
      </c>
      <c r="C859" t="s">
        <v>1133</v>
      </c>
      <c r="F859" t="s">
        <v>1262</v>
      </c>
      <c r="G859" t="s">
        <v>1263</v>
      </c>
      <c r="H859">
        <v>322</v>
      </c>
    </row>
    <row r="860" spans="1:8">
      <c r="A860" t="s">
        <v>1131</v>
      </c>
      <c r="B860" t="s">
        <v>1261</v>
      </c>
      <c r="C860" t="s">
        <v>1133</v>
      </c>
      <c r="F860" t="s">
        <v>1262</v>
      </c>
      <c r="G860" t="s">
        <v>1263</v>
      </c>
      <c r="H860">
        <v>323</v>
      </c>
    </row>
    <row r="861" spans="1:8">
      <c r="A861" t="s">
        <v>1131</v>
      </c>
      <c r="B861" t="s">
        <v>1261</v>
      </c>
      <c r="C861" t="s">
        <v>1133</v>
      </c>
      <c r="F861" t="s">
        <v>1262</v>
      </c>
      <c r="G861" t="s">
        <v>1263</v>
      </c>
      <c r="H861">
        <v>324</v>
      </c>
    </row>
    <row r="862" spans="1:8">
      <c r="A862" t="s">
        <v>1131</v>
      </c>
      <c r="B862" t="s">
        <v>1261</v>
      </c>
      <c r="C862" t="s">
        <v>1133</v>
      </c>
      <c r="F862" t="s">
        <v>1262</v>
      </c>
      <c r="G862" t="s">
        <v>1263</v>
      </c>
      <c r="H862">
        <v>325</v>
      </c>
    </row>
    <row r="863" spans="1:8">
      <c r="A863" t="s">
        <v>1131</v>
      </c>
      <c r="B863" t="s">
        <v>1261</v>
      </c>
      <c r="C863" t="s">
        <v>1133</v>
      </c>
      <c r="F863" t="s">
        <v>1262</v>
      </c>
      <c r="G863" t="s">
        <v>1263</v>
      </c>
      <c r="H863">
        <v>326</v>
      </c>
    </row>
    <row r="864" spans="1:8">
      <c r="A864" t="s">
        <v>1131</v>
      </c>
      <c r="B864" t="s">
        <v>1261</v>
      </c>
      <c r="C864" t="s">
        <v>1133</v>
      </c>
      <c r="F864" t="s">
        <v>1262</v>
      </c>
      <c r="G864" t="s">
        <v>1263</v>
      </c>
      <c r="H864">
        <v>327</v>
      </c>
    </row>
    <row r="865" spans="1:8">
      <c r="A865" t="s">
        <v>1131</v>
      </c>
      <c r="B865" t="s">
        <v>1261</v>
      </c>
      <c r="C865" t="s">
        <v>1133</v>
      </c>
      <c r="F865" t="s">
        <v>1262</v>
      </c>
      <c r="G865" t="s">
        <v>1263</v>
      </c>
      <c r="H865">
        <v>328</v>
      </c>
    </row>
    <row r="866" spans="1:8">
      <c r="A866" t="s">
        <v>1131</v>
      </c>
      <c r="B866" t="s">
        <v>1261</v>
      </c>
      <c r="C866" t="s">
        <v>1133</v>
      </c>
      <c r="F866" t="s">
        <v>1262</v>
      </c>
      <c r="G866" t="s">
        <v>1263</v>
      </c>
      <c r="H866">
        <v>329</v>
      </c>
    </row>
    <row r="867" spans="1:8">
      <c r="A867" t="s">
        <v>1131</v>
      </c>
      <c r="B867" t="s">
        <v>1261</v>
      </c>
      <c r="C867" t="s">
        <v>1133</v>
      </c>
      <c r="F867" t="s">
        <v>1262</v>
      </c>
      <c r="G867" t="s">
        <v>1263</v>
      </c>
      <c r="H867">
        <v>330</v>
      </c>
    </row>
    <row r="868" spans="1:8">
      <c r="A868" t="s">
        <v>1131</v>
      </c>
      <c r="B868" t="s">
        <v>1261</v>
      </c>
      <c r="C868" t="s">
        <v>1133</v>
      </c>
      <c r="F868" t="s">
        <v>1262</v>
      </c>
      <c r="G868" t="s">
        <v>1263</v>
      </c>
      <c r="H868">
        <v>331</v>
      </c>
    </row>
    <row r="869" spans="1:8">
      <c r="A869" t="s">
        <v>1131</v>
      </c>
      <c r="B869" t="s">
        <v>1261</v>
      </c>
      <c r="C869" t="s">
        <v>1133</v>
      </c>
      <c r="F869" t="s">
        <v>1262</v>
      </c>
      <c r="G869" t="s">
        <v>1263</v>
      </c>
      <c r="H869">
        <v>332</v>
      </c>
    </row>
    <row r="870" spans="1:8">
      <c r="A870" t="s">
        <v>1131</v>
      </c>
      <c r="B870" t="s">
        <v>1261</v>
      </c>
      <c r="C870" t="s">
        <v>1133</v>
      </c>
      <c r="F870" t="s">
        <v>1262</v>
      </c>
      <c r="G870" t="s">
        <v>1263</v>
      </c>
      <c r="H870">
        <v>333</v>
      </c>
    </row>
    <row r="871" spans="1:8">
      <c r="A871" t="s">
        <v>1131</v>
      </c>
      <c r="B871" t="s">
        <v>1261</v>
      </c>
      <c r="C871" t="s">
        <v>1133</v>
      </c>
      <c r="F871" t="s">
        <v>1262</v>
      </c>
      <c r="G871" t="s">
        <v>1263</v>
      </c>
      <c r="H871">
        <v>334</v>
      </c>
    </row>
    <row r="872" spans="1:8">
      <c r="A872" t="s">
        <v>1131</v>
      </c>
      <c r="B872" t="s">
        <v>1261</v>
      </c>
      <c r="C872" t="s">
        <v>1133</v>
      </c>
      <c r="F872" t="s">
        <v>1262</v>
      </c>
      <c r="G872" t="s">
        <v>1263</v>
      </c>
      <c r="H872">
        <v>335</v>
      </c>
    </row>
    <row r="873" spans="1:8">
      <c r="A873" t="s">
        <v>1131</v>
      </c>
      <c r="B873" t="s">
        <v>1261</v>
      </c>
      <c r="C873" t="s">
        <v>1133</v>
      </c>
      <c r="F873" t="s">
        <v>1262</v>
      </c>
      <c r="G873" t="s">
        <v>1263</v>
      </c>
      <c r="H873">
        <v>336</v>
      </c>
    </row>
    <row r="874" spans="1:8">
      <c r="A874" t="s">
        <v>1131</v>
      </c>
      <c r="B874" t="s">
        <v>1261</v>
      </c>
      <c r="C874" t="s">
        <v>1133</v>
      </c>
      <c r="F874" t="s">
        <v>1262</v>
      </c>
      <c r="G874" t="s">
        <v>1263</v>
      </c>
      <c r="H874">
        <v>337</v>
      </c>
    </row>
    <row r="875" spans="1:8">
      <c r="A875" t="s">
        <v>1131</v>
      </c>
      <c r="B875" t="s">
        <v>1261</v>
      </c>
      <c r="C875" t="s">
        <v>1133</v>
      </c>
      <c r="F875" t="s">
        <v>1262</v>
      </c>
      <c r="G875" t="s">
        <v>1263</v>
      </c>
      <c r="H875">
        <v>338</v>
      </c>
    </row>
    <row r="876" spans="1:8">
      <c r="A876" t="s">
        <v>1131</v>
      </c>
      <c r="B876" t="s">
        <v>1261</v>
      </c>
      <c r="C876" t="s">
        <v>1133</v>
      </c>
      <c r="F876" t="s">
        <v>1262</v>
      </c>
      <c r="G876" t="s">
        <v>1263</v>
      </c>
      <c r="H876">
        <v>339</v>
      </c>
    </row>
    <row r="877" spans="1:8">
      <c r="A877" t="s">
        <v>1131</v>
      </c>
      <c r="B877" t="s">
        <v>1261</v>
      </c>
      <c r="C877" t="s">
        <v>1133</v>
      </c>
      <c r="F877" t="s">
        <v>1262</v>
      </c>
      <c r="G877" t="s">
        <v>1263</v>
      </c>
      <c r="H877">
        <v>340</v>
      </c>
    </row>
    <row r="878" spans="1:8">
      <c r="A878" t="s">
        <v>1131</v>
      </c>
      <c r="B878" t="s">
        <v>1261</v>
      </c>
      <c r="C878" t="s">
        <v>1133</v>
      </c>
      <c r="F878" t="s">
        <v>1262</v>
      </c>
      <c r="G878" t="s">
        <v>1263</v>
      </c>
      <c r="H878">
        <v>341</v>
      </c>
    </row>
    <row r="879" spans="1:8">
      <c r="A879" t="s">
        <v>1131</v>
      </c>
      <c r="B879" t="s">
        <v>1261</v>
      </c>
      <c r="C879" t="s">
        <v>1133</v>
      </c>
      <c r="F879" t="s">
        <v>1262</v>
      </c>
      <c r="G879" t="s">
        <v>1263</v>
      </c>
      <c r="H879">
        <v>342</v>
      </c>
    </row>
    <row r="880" spans="1:8">
      <c r="A880" t="s">
        <v>1131</v>
      </c>
      <c r="B880" t="s">
        <v>1261</v>
      </c>
      <c r="C880" t="s">
        <v>1133</v>
      </c>
      <c r="F880" t="s">
        <v>1262</v>
      </c>
      <c r="G880" t="s">
        <v>1263</v>
      </c>
      <c r="H880">
        <v>343</v>
      </c>
    </row>
    <row r="881" spans="1:8">
      <c r="A881" t="s">
        <v>1131</v>
      </c>
      <c r="B881" t="s">
        <v>1261</v>
      </c>
      <c r="C881" t="s">
        <v>1133</v>
      </c>
      <c r="F881" t="s">
        <v>1262</v>
      </c>
      <c r="G881" t="s">
        <v>1263</v>
      </c>
      <c r="H881">
        <v>344</v>
      </c>
    </row>
    <row r="882" spans="1:8">
      <c r="A882" t="s">
        <v>1131</v>
      </c>
      <c r="B882" t="s">
        <v>1261</v>
      </c>
      <c r="C882" t="s">
        <v>1133</v>
      </c>
      <c r="F882" t="s">
        <v>1262</v>
      </c>
      <c r="G882" t="s">
        <v>1263</v>
      </c>
      <c r="H882">
        <v>345</v>
      </c>
    </row>
    <row r="883" spans="1:8">
      <c r="A883" t="s">
        <v>1131</v>
      </c>
      <c r="B883" t="s">
        <v>1261</v>
      </c>
      <c r="C883" t="s">
        <v>1133</v>
      </c>
      <c r="F883" t="s">
        <v>1262</v>
      </c>
      <c r="G883" t="s">
        <v>1263</v>
      </c>
      <c r="H883">
        <v>346</v>
      </c>
    </row>
    <row r="884" spans="1:8">
      <c r="A884" t="s">
        <v>1131</v>
      </c>
      <c r="B884" t="s">
        <v>1261</v>
      </c>
      <c r="C884" t="s">
        <v>1133</v>
      </c>
      <c r="F884" t="s">
        <v>1262</v>
      </c>
      <c r="G884" t="s">
        <v>1263</v>
      </c>
      <c r="H884">
        <v>347</v>
      </c>
    </row>
    <row r="885" spans="1:8">
      <c r="A885" t="s">
        <v>1131</v>
      </c>
      <c r="B885" t="s">
        <v>1261</v>
      </c>
      <c r="C885" t="s">
        <v>1133</v>
      </c>
      <c r="F885" t="s">
        <v>1262</v>
      </c>
      <c r="G885" t="s">
        <v>1263</v>
      </c>
      <c r="H885">
        <v>348</v>
      </c>
    </row>
    <row r="886" spans="1:8">
      <c r="A886" t="s">
        <v>1131</v>
      </c>
      <c r="B886" t="s">
        <v>1261</v>
      </c>
      <c r="C886" t="s">
        <v>1133</v>
      </c>
      <c r="F886" t="s">
        <v>1262</v>
      </c>
      <c r="G886" t="s">
        <v>1263</v>
      </c>
      <c r="H886">
        <v>349</v>
      </c>
    </row>
    <row r="887" spans="1:8">
      <c r="A887" t="s">
        <v>1131</v>
      </c>
      <c r="B887" t="s">
        <v>1261</v>
      </c>
      <c r="C887" t="s">
        <v>1133</v>
      </c>
      <c r="F887" t="s">
        <v>1262</v>
      </c>
      <c r="G887" t="s">
        <v>1263</v>
      </c>
      <c r="H887">
        <v>350</v>
      </c>
    </row>
    <row r="888" spans="1:8">
      <c r="A888" t="s">
        <v>1131</v>
      </c>
      <c r="B888" t="s">
        <v>1261</v>
      </c>
      <c r="C888" t="s">
        <v>1133</v>
      </c>
      <c r="F888" t="s">
        <v>1262</v>
      </c>
      <c r="G888" t="s">
        <v>1263</v>
      </c>
      <c r="H888">
        <v>351</v>
      </c>
    </row>
    <row r="889" spans="1:8">
      <c r="A889" t="s">
        <v>1131</v>
      </c>
      <c r="B889" t="s">
        <v>1261</v>
      </c>
      <c r="C889" t="s">
        <v>1133</v>
      </c>
      <c r="F889" t="s">
        <v>1262</v>
      </c>
      <c r="G889" t="s">
        <v>1263</v>
      </c>
      <c r="H889">
        <v>352</v>
      </c>
    </row>
    <row r="890" spans="1:8">
      <c r="A890" t="s">
        <v>1131</v>
      </c>
      <c r="B890" t="s">
        <v>1261</v>
      </c>
      <c r="C890" t="s">
        <v>1133</v>
      </c>
      <c r="F890" t="s">
        <v>1262</v>
      </c>
      <c r="G890" t="s">
        <v>1263</v>
      </c>
      <c r="H890">
        <v>353</v>
      </c>
    </row>
    <row r="891" spans="1:8">
      <c r="A891" t="s">
        <v>1131</v>
      </c>
      <c r="B891" t="s">
        <v>1261</v>
      </c>
      <c r="C891" t="s">
        <v>1133</v>
      </c>
      <c r="F891" t="s">
        <v>1262</v>
      </c>
      <c r="G891" t="s">
        <v>1263</v>
      </c>
      <c r="H891">
        <v>354</v>
      </c>
    </row>
    <row r="892" spans="1:8">
      <c r="A892" t="s">
        <v>1131</v>
      </c>
      <c r="B892" t="s">
        <v>1261</v>
      </c>
      <c r="C892" t="s">
        <v>1133</v>
      </c>
      <c r="F892" t="s">
        <v>1262</v>
      </c>
      <c r="G892" t="s">
        <v>1263</v>
      </c>
      <c r="H892">
        <v>355</v>
      </c>
    </row>
    <row r="893" spans="1:8">
      <c r="A893" t="s">
        <v>1131</v>
      </c>
      <c r="B893" t="s">
        <v>1261</v>
      </c>
      <c r="C893" t="s">
        <v>1133</v>
      </c>
      <c r="F893" t="s">
        <v>1262</v>
      </c>
      <c r="G893" t="s">
        <v>1263</v>
      </c>
      <c r="H893">
        <v>356</v>
      </c>
    </row>
    <row r="894" spans="1:8">
      <c r="A894" t="s">
        <v>1131</v>
      </c>
      <c r="B894" t="s">
        <v>1261</v>
      </c>
      <c r="C894" t="s">
        <v>1133</v>
      </c>
      <c r="F894" t="s">
        <v>1262</v>
      </c>
      <c r="G894" t="s">
        <v>1263</v>
      </c>
      <c r="H894">
        <v>357</v>
      </c>
    </row>
    <row r="895" spans="1:8">
      <c r="A895" t="s">
        <v>1131</v>
      </c>
      <c r="B895" t="s">
        <v>1261</v>
      </c>
      <c r="C895" t="s">
        <v>1133</v>
      </c>
      <c r="F895" t="s">
        <v>1262</v>
      </c>
      <c r="G895" t="s">
        <v>1263</v>
      </c>
      <c r="H895">
        <v>358</v>
      </c>
    </row>
    <row r="896" spans="1:8">
      <c r="A896" t="s">
        <v>1131</v>
      </c>
      <c r="B896" t="s">
        <v>1261</v>
      </c>
      <c r="C896" t="s">
        <v>1133</v>
      </c>
      <c r="F896" t="s">
        <v>1262</v>
      </c>
      <c r="G896" t="s">
        <v>1263</v>
      </c>
      <c r="H896">
        <v>359</v>
      </c>
    </row>
    <row r="897" spans="1:8">
      <c r="A897" t="s">
        <v>1131</v>
      </c>
      <c r="B897" t="s">
        <v>1261</v>
      </c>
      <c r="C897" t="s">
        <v>1133</v>
      </c>
      <c r="F897" t="s">
        <v>1262</v>
      </c>
      <c r="G897" t="s">
        <v>1263</v>
      </c>
      <c r="H897">
        <v>360</v>
      </c>
    </row>
    <row r="898" spans="1:8">
      <c r="A898" t="s">
        <v>1131</v>
      </c>
      <c r="B898" t="s">
        <v>1261</v>
      </c>
      <c r="C898" t="s">
        <v>1133</v>
      </c>
      <c r="F898" t="s">
        <v>1262</v>
      </c>
      <c r="G898" t="s">
        <v>1263</v>
      </c>
      <c r="H898">
        <v>361</v>
      </c>
    </row>
    <row r="899" spans="1:8">
      <c r="A899" t="s">
        <v>1131</v>
      </c>
      <c r="B899" t="s">
        <v>1261</v>
      </c>
      <c r="C899" t="s">
        <v>1133</v>
      </c>
      <c r="F899" t="s">
        <v>1262</v>
      </c>
      <c r="G899" t="s">
        <v>1263</v>
      </c>
      <c r="H899">
        <v>362</v>
      </c>
    </row>
    <row r="900" spans="1:8">
      <c r="A900" t="s">
        <v>1131</v>
      </c>
      <c r="B900" t="s">
        <v>1261</v>
      </c>
      <c r="C900" t="s">
        <v>1228</v>
      </c>
      <c r="F900" t="s">
        <v>1262</v>
      </c>
      <c r="G900" t="s">
        <v>1263</v>
      </c>
      <c r="H900">
        <v>363</v>
      </c>
    </row>
    <row r="901" spans="1:8">
      <c r="A901" t="s">
        <v>1131</v>
      </c>
      <c r="B901" t="s">
        <v>1261</v>
      </c>
      <c r="C901" t="s">
        <v>1228</v>
      </c>
      <c r="F901" t="s">
        <v>1262</v>
      </c>
      <c r="G901" t="s">
        <v>1263</v>
      </c>
      <c r="H901">
        <v>364</v>
      </c>
    </row>
    <row r="902" spans="1:8">
      <c r="A902" t="s">
        <v>1131</v>
      </c>
      <c r="B902" t="s">
        <v>1261</v>
      </c>
      <c r="C902" t="s">
        <v>1228</v>
      </c>
      <c r="F902" t="s">
        <v>1262</v>
      </c>
      <c r="G902" t="s">
        <v>1263</v>
      </c>
      <c r="H902">
        <v>365</v>
      </c>
    </row>
    <row r="903" spans="1:8">
      <c r="A903" t="s">
        <v>1131</v>
      </c>
      <c r="B903" t="s">
        <v>1261</v>
      </c>
      <c r="C903" t="s">
        <v>1228</v>
      </c>
      <c r="F903" t="s">
        <v>1262</v>
      </c>
      <c r="G903" t="s">
        <v>1263</v>
      </c>
      <c r="H903">
        <v>366</v>
      </c>
    </row>
    <row r="904" spans="1:8">
      <c r="A904" t="s">
        <v>1131</v>
      </c>
      <c r="B904" t="s">
        <v>1261</v>
      </c>
      <c r="C904" t="s">
        <v>1228</v>
      </c>
      <c r="F904" t="s">
        <v>1262</v>
      </c>
      <c r="G904" t="s">
        <v>1263</v>
      </c>
      <c r="H904">
        <v>367</v>
      </c>
    </row>
    <row r="905" spans="1:8">
      <c r="A905" t="s">
        <v>1131</v>
      </c>
      <c r="B905" t="s">
        <v>1261</v>
      </c>
      <c r="C905" t="s">
        <v>1228</v>
      </c>
      <c r="F905" t="s">
        <v>1262</v>
      </c>
      <c r="G905" t="s">
        <v>1263</v>
      </c>
      <c r="H905">
        <v>368</v>
      </c>
    </row>
    <row r="906" spans="1:8">
      <c r="A906" t="s">
        <v>1131</v>
      </c>
      <c r="B906" t="s">
        <v>1261</v>
      </c>
      <c r="C906" t="s">
        <v>1228</v>
      </c>
      <c r="F906" t="s">
        <v>1262</v>
      </c>
      <c r="G906" t="s">
        <v>1263</v>
      </c>
      <c r="H906">
        <v>369</v>
      </c>
    </row>
    <row r="907" spans="1:8">
      <c r="A907" t="s">
        <v>1131</v>
      </c>
      <c r="B907" t="s">
        <v>1261</v>
      </c>
      <c r="C907" t="s">
        <v>1228</v>
      </c>
      <c r="F907" t="s">
        <v>1262</v>
      </c>
      <c r="G907" t="s">
        <v>1263</v>
      </c>
      <c r="H907">
        <v>370</v>
      </c>
    </row>
    <row r="908" spans="1:8">
      <c r="A908" t="s">
        <v>1131</v>
      </c>
      <c r="B908" t="s">
        <v>1261</v>
      </c>
      <c r="C908" t="s">
        <v>1228</v>
      </c>
      <c r="F908" t="s">
        <v>1262</v>
      </c>
      <c r="G908" t="s">
        <v>1263</v>
      </c>
      <c r="H908">
        <v>371</v>
      </c>
    </row>
    <row r="909" spans="1:8">
      <c r="A909" t="s">
        <v>1131</v>
      </c>
      <c r="B909" t="s">
        <v>1261</v>
      </c>
      <c r="C909" t="s">
        <v>1228</v>
      </c>
      <c r="F909" t="s">
        <v>1262</v>
      </c>
      <c r="G909" t="s">
        <v>1263</v>
      </c>
      <c r="H909">
        <v>372</v>
      </c>
    </row>
    <row r="910" spans="1:8">
      <c r="A910" t="s">
        <v>1131</v>
      </c>
      <c r="B910" t="s">
        <v>1261</v>
      </c>
      <c r="C910" t="s">
        <v>1228</v>
      </c>
      <c r="F910" t="s">
        <v>1262</v>
      </c>
      <c r="G910" t="s">
        <v>1263</v>
      </c>
      <c r="H910">
        <v>373</v>
      </c>
    </row>
    <row r="911" spans="1:8">
      <c r="A911" t="s">
        <v>1131</v>
      </c>
      <c r="B911" t="s">
        <v>1261</v>
      </c>
      <c r="C911" t="s">
        <v>1228</v>
      </c>
      <c r="F911" t="s">
        <v>1262</v>
      </c>
      <c r="G911" t="s">
        <v>1263</v>
      </c>
      <c r="H911">
        <v>374</v>
      </c>
    </row>
    <row r="912" spans="1:8">
      <c r="A912" t="s">
        <v>1131</v>
      </c>
      <c r="B912" t="s">
        <v>1261</v>
      </c>
      <c r="C912" t="s">
        <v>1228</v>
      </c>
      <c r="F912" t="s">
        <v>1262</v>
      </c>
      <c r="G912" t="s">
        <v>1263</v>
      </c>
      <c r="H912">
        <v>375</v>
      </c>
    </row>
    <row r="913" spans="1:8">
      <c r="A913" t="s">
        <v>1131</v>
      </c>
      <c r="B913" t="s">
        <v>1261</v>
      </c>
      <c r="C913" t="s">
        <v>1228</v>
      </c>
      <c r="F913" t="s">
        <v>1262</v>
      </c>
      <c r="G913" t="s">
        <v>1263</v>
      </c>
      <c r="H913">
        <v>376</v>
      </c>
    </row>
    <row r="914" spans="1:8">
      <c r="A914" t="s">
        <v>1131</v>
      </c>
      <c r="B914" t="s">
        <v>1261</v>
      </c>
      <c r="C914" t="s">
        <v>1228</v>
      </c>
      <c r="F914" t="s">
        <v>1262</v>
      </c>
      <c r="G914" t="s">
        <v>1263</v>
      </c>
      <c r="H914">
        <v>377</v>
      </c>
    </row>
    <row r="915" spans="1:8">
      <c r="A915" t="s">
        <v>1131</v>
      </c>
      <c r="B915" t="s">
        <v>1261</v>
      </c>
      <c r="C915" t="s">
        <v>1228</v>
      </c>
      <c r="F915" t="s">
        <v>1262</v>
      </c>
      <c r="G915" t="s">
        <v>1263</v>
      </c>
      <c r="H915">
        <v>378</v>
      </c>
    </row>
    <row r="916" spans="1:8">
      <c r="A916" t="s">
        <v>1131</v>
      </c>
      <c r="B916" t="s">
        <v>1261</v>
      </c>
      <c r="C916" t="s">
        <v>1228</v>
      </c>
      <c r="F916" t="s">
        <v>1262</v>
      </c>
      <c r="G916" t="s">
        <v>1263</v>
      </c>
      <c r="H916">
        <v>379</v>
      </c>
    </row>
    <row r="917" spans="1:8">
      <c r="A917" t="s">
        <v>1131</v>
      </c>
      <c r="B917" t="s">
        <v>1261</v>
      </c>
      <c r="C917" t="s">
        <v>1228</v>
      </c>
      <c r="F917" t="s">
        <v>1262</v>
      </c>
      <c r="G917" t="s">
        <v>1263</v>
      </c>
      <c r="H917">
        <v>380</v>
      </c>
    </row>
    <row r="918" spans="1:8">
      <c r="A918" t="s">
        <v>1131</v>
      </c>
      <c r="B918" t="s">
        <v>1261</v>
      </c>
      <c r="C918" t="s">
        <v>1228</v>
      </c>
      <c r="F918" t="s">
        <v>1262</v>
      </c>
      <c r="G918" t="s">
        <v>1263</v>
      </c>
      <c r="H918">
        <v>381</v>
      </c>
    </row>
    <row r="919" spans="1:8">
      <c r="A919" t="s">
        <v>1131</v>
      </c>
      <c r="B919" t="s">
        <v>1261</v>
      </c>
      <c r="C919" t="s">
        <v>1228</v>
      </c>
      <c r="F919" t="s">
        <v>1262</v>
      </c>
      <c r="G919" t="s">
        <v>1263</v>
      </c>
      <c r="H919">
        <v>382</v>
      </c>
    </row>
    <row r="920" spans="1:8">
      <c r="A920" t="s">
        <v>1131</v>
      </c>
      <c r="B920" t="s">
        <v>1261</v>
      </c>
      <c r="C920" t="s">
        <v>1228</v>
      </c>
      <c r="F920" t="s">
        <v>1262</v>
      </c>
      <c r="G920" t="s">
        <v>1263</v>
      </c>
      <c r="H920">
        <v>383</v>
      </c>
    </row>
    <row r="921" spans="1:8">
      <c r="A921" t="s">
        <v>1131</v>
      </c>
      <c r="B921" t="s">
        <v>1261</v>
      </c>
      <c r="C921" t="s">
        <v>1228</v>
      </c>
      <c r="F921" t="s">
        <v>1262</v>
      </c>
      <c r="G921" t="s">
        <v>1263</v>
      </c>
      <c r="H921">
        <v>384</v>
      </c>
    </row>
    <row r="922" spans="1:8">
      <c r="A922" t="s">
        <v>1131</v>
      </c>
      <c r="B922" t="s">
        <v>1261</v>
      </c>
      <c r="C922" t="s">
        <v>1228</v>
      </c>
      <c r="F922" t="s">
        <v>1262</v>
      </c>
      <c r="G922" t="s">
        <v>1263</v>
      </c>
      <c r="H922">
        <v>385</v>
      </c>
    </row>
    <row r="923" spans="1:8">
      <c r="A923" t="s">
        <v>1131</v>
      </c>
      <c r="B923" t="s">
        <v>1261</v>
      </c>
      <c r="C923" t="s">
        <v>1228</v>
      </c>
      <c r="F923" t="s">
        <v>1262</v>
      </c>
      <c r="G923" t="s">
        <v>1263</v>
      </c>
      <c r="H923">
        <v>386</v>
      </c>
    </row>
    <row r="924" spans="1:8">
      <c r="A924" t="s">
        <v>1131</v>
      </c>
      <c r="B924" t="s">
        <v>1261</v>
      </c>
      <c r="C924" t="s">
        <v>1228</v>
      </c>
      <c r="F924" t="s">
        <v>1262</v>
      </c>
      <c r="G924" t="s">
        <v>1263</v>
      </c>
      <c r="H924">
        <v>387</v>
      </c>
    </row>
    <row r="925" spans="1:8">
      <c r="A925" t="s">
        <v>1131</v>
      </c>
      <c r="B925" t="s">
        <v>1261</v>
      </c>
      <c r="C925" t="s">
        <v>1228</v>
      </c>
      <c r="F925" t="s">
        <v>1262</v>
      </c>
      <c r="G925" t="s">
        <v>1263</v>
      </c>
      <c r="H925">
        <v>388</v>
      </c>
    </row>
    <row r="926" spans="1:8">
      <c r="A926" t="s">
        <v>1131</v>
      </c>
      <c r="B926" t="s">
        <v>1261</v>
      </c>
      <c r="C926" t="s">
        <v>1228</v>
      </c>
      <c r="F926" t="s">
        <v>1262</v>
      </c>
      <c r="G926" t="s">
        <v>1263</v>
      </c>
      <c r="H926">
        <v>389</v>
      </c>
    </row>
    <row r="927" spans="1:8">
      <c r="A927" t="s">
        <v>1131</v>
      </c>
      <c r="B927" t="s">
        <v>1261</v>
      </c>
      <c r="C927" t="s">
        <v>1228</v>
      </c>
      <c r="F927" t="s">
        <v>1262</v>
      </c>
      <c r="G927" t="s">
        <v>1263</v>
      </c>
      <c r="H927">
        <v>390</v>
      </c>
    </row>
    <row r="928" spans="1:8">
      <c r="A928" t="s">
        <v>1131</v>
      </c>
      <c r="B928" t="s">
        <v>1261</v>
      </c>
      <c r="C928" t="s">
        <v>1232</v>
      </c>
      <c r="F928" t="s">
        <v>1262</v>
      </c>
      <c r="G928" t="s">
        <v>1263</v>
      </c>
      <c r="H928">
        <v>391</v>
      </c>
    </row>
    <row r="929" spans="1:8">
      <c r="A929" t="s">
        <v>1131</v>
      </c>
      <c r="B929" t="s">
        <v>1261</v>
      </c>
      <c r="C929" t="s">
        <v>1232</v>
      </c>
      <c r="F929" t="s">
        <v>1262</v>
      </c>
      <c r="G929" t="s">
        <v>1263</v>
      </c>
      <c r="H929">
        <v>392</v>
      </c>
    </row>
    <row r="930" spans="1:8">
      <c r="A930" t="s">
        <v>1131</v>
      </c>
      <c r="B930" t="s">
        <v>1261</v>
      </c>
      <c r="C930" t="s">
        <v>1232</v>
      </c>
      <c r="F930" t="s">
        <v>1262</v>
      </c>
      <c r="G930" t="s">
        <v>1263</v>
      </c>
      <c r="H930">
        <v>393</v>
      </c>
    </row>
    <row r="931" spans="1:8">
      <c r="A931" t="s">
        <v>1131</v>
      </c>
      <c r="B931" t="s">
        <v>1261</v>
      </c>
      <c r="C931" t="s">
        <v>1232</v>
      </c>
      <c r="F931" t="s">
        <v>1262</v>
      </c>
      <c r="G931" t="s">
        <v>1263</v>
      </c>
      <c r="H931">
        <v>394</v>
      </c>
    </row>
    <row r="932" spans="1:8">
      <c r="A932" t="s">
        <v>1131</v>
      </c>
      <c r="B932" t="s">
        <v>1261</v>
      </c>
      <c r="C932" t="s">
        <v>1232</v>
      </c>
      <c r="F932" t="s">
        <v>1262</v>
      </c>
      <c r="G932" t="s">
        <v>1263</v>
      </c>
      <c r="H932">
        <v>395</v>
      </c>
    </row>
    <row r="933" spans="1:8">
      <c r="A933" t="s">
        <v>1131</v>
      </c>
      <c r="B933" t="s">
        <v>1261</v>
      </c>
      <c r="C933" t="s">
        <v>1232</v>
      </c>
      <c r="F933" t="s">
        <v>1262</v>
      </c>
      <c r="G933" t="s">
        <v>1263</v>
      </c>
      <c r="H933">
        <v>396</v>
      </c>
    </row>
    <row r="934" spans="1:8">
      <c r="A934" t="s">
        <v>1131</v>
      </c>
      <c r="B934" t="s">
        <v>1261</v>
      </c>
      <c r="C934" t="s">
        <v>1232</v>
      </c>
      <c r="F934" t="s">
        <v>1262</v>
      </c>
      <c r="G934" t="s">
        <v>1263</v>
      </c>
      <c r="H934">
        <v>397</v>
      </c>
    </row>
    <row r="935" spans="1:8">
      <c r="A935" t="s">
        <v>1131</v>
      </c>
      <c r="B935" t="s">
        <v>1261</v>
      </c>
      <c r="C935" t="s">
        <v>1232</v>
      </c>
      <c r="F935" t="s">
        <v>1262</v>
      </c>
      <c r="G935" t="s">
        <v>1263</v>
      </c>
      <c r="H935">
        <v>398</v>
      </c>
    </row>
    <row r="936" spans="1:8">
      <c r="A936" t="s">
        <v>1131</v>
      </c>
      <c r="B936" t="s">
        <v>1261</v>
      </c>
      <c r="C936" t="s">
        <v>1232</v>
      </c>
      <c r="F936" t="s">
        <v>1262</v>
      </c>
      <c r="G936" t="s">
        <v>1263</v>
      </c>
      <c r="H936">
        <v>399</v>
      </c>
    </row>
    <row r="937" spans="1:8">
      <c r="A937" t="s">
        <v>1131</v>
      </c>
      <c r="B937" t="s">
        <v>1261</v>
      </c>
      <c r="C937" t="s">
        <v>1232</v>
      </c>
      <c r="F937" t="s">
        <v>1262</v>
      </c>
      <c r="G937" t="s">
        <v>1263</v>
      </c>
      <c r="H937">
        <v>400</v>
      </c>
    </row>
    <row r="938" spans="1:8">
      <c r="A938" t="s">
        <v>1131</v>
      </c>
      <c r="B938" t="s">
        <v>1261</v>
      </c>
      <c r="C938" t="s">
        <v>1232</v>
      </c>
      <c r="F938" t="s">
        <v>1262</v>
      </c>
      <c r="G938" t="s">
        <v>1263</v>
      </c>
      <c r="H938">
        <v>401</v>
      </c>
    </row>
    <row r="939" spans="1:8">
      <c r="A939" t="s">
        <v>1131</v>
      </c>
      <c r="B939" t="s">
        <v>1261</v>
      </c>
      <c r="C939" t="s">
        <v>1232</v>
      </c>
      <c r="F939" t="s">
        <v>1262</v>
      </c>
      <c r="G939" t="s">
        <v>1263</v>
      </c>
      <c r="H939">
        <v>402</v>
      </c>
    </row>
    <row r="940" spans="1:8">
      <c r="A940" t="s">
        <v>1131</v>
      </c>
      <c r="B940" t="s">
        <v>1261</v>
      </c>
      <c r="C940" t="s">
        <v>1232</v>
      </c>
      <c r="F940" t="s">
        <v>1262</v>
      </c>
      <c r="G940" t="s">
        <v>1263</v>
      </c>
      <c r="H940">
        <v>403</v>
      </c>
    </row>
    <row r="941" spans="1:8">
      <c r="A941" t="s">
        <v>1131</v>
      </c>
      <c r="B941" t="s">
        <v>1261</v>
      </c>
      <c r="C941" t="s">
        <v>1232</v>
      </c>
      <c r="F941" t="s">
        <v>1262</v>
      </c>
      <c r="G941" t="s">
        <v>1263</v>
      </c>
      <c r="H941">
        <v>404</v>
      </c>
    </row>
    <row r="942" spans="1:8">
      <c r="A942" t="s">
        <v>1131</v>
      </c>
      <c r="B942" t="s">
        <v>1261</v>
      </c>
      <c r="C942" t="s">
        <v>1232</v>
      </c>
      <c r="F942" t="s">
        <v>1262</v>
      </c>
      <c r="G942" t="s">
        <v>1263</v>
      </c>
      <c r="H942">
        <v>405</v>
      </c>
    </row>
    <row r="943" spans="1:8">
      <c r="A943" t="s">
        <v>1131</v>
      </c>
      <c r="B943" t="s">
        <v>1261</v>
      </c>
      <c r="C943" t="s">
        <v>1232</v>
      </c>
      <c r="F943" t="s">
        <v>1262</v>
      </c>
      <c r="G943" t="s">
        <v>1263</v>
      </c>
      <c r="H943">
        <v>406</v>
      </c>
    </row>
    <row r="944" spans="1:8">
      <c r="A944" t="s">
        <v>1131</v>
      </c>
      <c r="B944" t="s">
        <v>1261</v>
      </c>
      <c r="C944" t="s">
        <v>1232</v>
      </c>
      <c r="F944" t="s">
        <v>1262</v>
      </c>
      <c r="G944" t="s">
        <v>1263</v>
      </c>
      <c r="H944">
        <v>407</v>
      </c>
    </row>
    <row r="945" spans="1:8">
      <c r="A945" t="s">
        <v>1131</v>
      </c>
      <c r="B945" t="s">
        <v>1261</v>
      </c>
      <c r="C945" t="s">
        <v>1232</v>
      </c>
      <c r="F945" t="s">
        <v>1262</v>
      </c>
      <c r="G945" t="s">
        <v>1263</v>
      </c>
      <c r="H945">
        <v>408</v>
      </c>
    </row>
    <row r="946" spans="1:8">
      <c r="A946" t="s">
        <v>1131</v>
      </c>
      <c r="B946" t="s">
        <v>1261</v>
      </c>
      <c r="C946" t="s">
        <v>1232</v>
      </c>
      <c r="F946" t="s">
        <v>1262</v>
      </c>
      <c r="G946" t="s">
        <v>1263</v>
      </c>
      <c r="H946">
        <v>409</v>
      </c>
    </row>
    <row r="947" spans="1:8">
      <c r="A947" t="s">
        <v>1131</v>
      </c>
      <c r="B947" t="s">
        <v>1261</v>
      </c>
      <c r="C947" t="s">
        <v>1232</v>
      </c>
      <c r="F947" t="s">
        <v>1262</v>
      </c>
      <c r="G947" t="s">
        <v>1263</v>
      </c>
      <c r="H947">
        <v>410</v>
      </c>
    </row>
    <row r="948" spans="1:8">
      <c r="A948" t="s">
        <v>1131</v>
      </c>
      <c r="B948" t="s">
        <v>1261</v>
      </c>
      <c r="C948" t="s">
        <v>1232</v>
      </c>
      <c r="F948" t="s">
        <v>1262</v>
      </c>
      <c r="G948" t="s">
        <v>1263</v>
      </c>
      <c r="H948">
        <v>411</v>
      </c>
    </row>
    <row r="949" spans="1:8">
      <c r="A949" t="s">
        <v>1131</v>
      </c>
      <c r="B949" t="s">
        <v>1261</v>
      </c>
      <c r="C949" t="s">
        <v>1232</v>
      </c>
      <c r="F949" t="s">
        <v>1262</v>
      </c>
      <c r="G949" t="s">
        <v>1263</v>
      </c>
      <c r="H949">
        <v>412</v>
      </c>
    </row>
    <row r="950" spans="1:8">
      <c r="A950" t="s">
        <v>1131</v>
      </c>
      <c r="B950" t="s">
        <v>1261</v>
      </c>
      <c r="C950" t="s">
        <v>1232</v>
      </c>
      <c r="F950" t="s">
        <v>1262</v>
      </c>
      <c r="G950" t="s">
        <v>1263</v>
      </c>
      <c r="H950">
        <v>413</v>
      </c>
    </row>
    <row r="951" spans="1:8">
      <c r="A951" t="s">
        <v>1131</v>
      </c>
      <c r="B951" t="s">
        <v>1261</v>
      </c>
      <c r="C951" t="s">
        <v>1232</v>
      </c>
      <c r="F951" t="s">
        <v>1262</v>
      </c>
      <c r="G951" t="s">
        <v>1263</v>
      </c>
      <c r="H951">
        <v>414</v>
      </c>
    </row>
    <row r="952" spans="1:8">
      <c r="A952" t="s">
        <v>1131</v>
      </c>
      <c r="B952" t="s">
        <v>1261</v>
      </c>
      <c r="C952" t="s">
        <v>1232</v>
      </c>
      <c r="F952" t="s">
        <v>1262</v>
      </c>
      <c r="G952" t="s">
        <v>1263</v>
      </c>
      <c r="H952">
        <v>415</v>
      </c>
    </row>
    <row r="953" spans="1:8">
      <c r="A953" t="s">
        <v>1131</v>
      </c>
      <c r="B953" t="s">
        <v>1261</v>
      </c>
      <c r="C953" t="s">
        <v>1232</v>
      </c>
      <c r="F953" t="s">
        <v>1262</v>
      </c>
      <c r="G953" t="s">
        <v>1263</v>
      </c>
      <c r="H953">
        <v>416</v>
      </c>
    </row>
    <row r="954" spans="1:8">
      <c r="A954" t="s">
        <v>1131</v>
      </c>
      <c r="B954" t="s">
        <v>1261</v>
      </c>
      <c r="C954" t="s">
        <v>1232</v>
      </c>
      <c r="F954" t="s">
        <v>1262</v>
      </c>
      <c r="G954" t="s">
        <v>1263</v>
      </c>
      <c r="H954">
        <v>417</v>
      </c>
    </row>
    <row r="955" spans="1:8">
      <c r="A955" t="s">
        <v>1131</v>
      </c>
      <c r="B955" t="s">
        <v>1261</v>
      </c>
      <c r="C955" t="s">
        <v>1133</v>
      </c>
      <c r="F955" t="s">
        <v>1262</v>
      </c>
      <c r="G955" t="s">
        <v>1263</v>
      </c>
      <c r="H955">
        <v>418</v>
      </c>
    </row>
    <row r="956" spans="1:8">
      <c r="A956" t="s">
        <v>1131</v>
      </c>
      <c r="B956" t="s">
        <v>1261</v>
      </c>
      <c r="C956" t="s">
        <v>1133</v>
      </c>
      <c r="F956" t="s">
        <v>1262</v>
      </c>
      <c r="G956" t="s">
        <v>1263</v>
      </c>
      <c r="H956">
        <v>419</v>
      </c>
    </row>
    <row r="957" spans="1:8">
      <c r="A957" t="s">
        <v>1131</v>
      </c>
      <c r="B957" t="s">
        <v>1261</v>
      </c>
      <c r="C957" t="s">
        <v>1133</v>
      </c>
      <c r="F957" t="s">
        <v>1262</v>
      </c>
      <c r="G957" t="s">
        <v>1263</v>
      </c>
      <c r="H957">
        <v>420</v>
      </c>
    </row>
    <row r="958" spans="1:8">
      <c r="A958" t="s">
        <v>1131</v>
      </c>
      <c r="B958" t="s">
        <v>1261</v>
      </c>
      <c r="C958" t="s">
        <v>1270</v>
      </c>
      <c r="F958" t="s">
        <v>1262</v>
      </c>
      <c r="G958" t="s">
        <v>1263</v>
      </c>
      <c r="H958">
        <v>421</v>
      </c>
    </row>
    <row r="959" spans="1:8">
      <c r="A959" t="s">
        <v>1131</v>
      </c>
      <c r="B959" t="s">
        <v>1261</v>
      </c>
      <c r="C959" t="s">
        <v>1236</v>
      </c>
      <c r="F959" t="s">
        <v>1262</v>
      </c>
      <c r="G959" t="s">
        <v>1263</v>
      </c>
      <c r="H959">
        <v>422</v>
      </c>
    </row>
    <row r="960" spans="1:8">
      <c r="A960" t="s">
        <v>1131</v>
      </c>
      <c r="B960" t="s">
        <v>1261</v>
      </c>
      <c r="C960" t="s">
        <v>1236</v>
      </c>
      <c r="F960" t="s">
        <v>1262</v>
      </c>
      <c r="G960" t="s">
        <v>1263</v>
      </c>
      <c r="H960">
        <v>423</v>
      </c>
    </row>
    <row r="961" spans="1:8">
      <c r="A961" t="s">
        <v>1131</v>
      </c>
      <c r="B961" t="s">
        <v>1261</v>
      </c>
      <c r="C961" t="s">
        <v>1236</v>
      </c>
      <c r="F961" t="s">
        <v>1262</v>
      </c>
      <c r="G961" t="s">
        <v>1263</v>
      </c>
      <c r="H961">
        <v>424</v>
      </c>
    </row>
    <row r="962" spans="1:8">
      <c r="A962" t="s">
        <v>1131</v>
      </c>
      <c r="B962" t="s">
        <v>1261</v>
      </c>
      <c r="C962" t="s">
        <v>1236</v>
      </c>
      <c r="F962" t="s">
        <v>1262</v>
      </c>
      <c r="G962" t="s">
        <v>1263</v>
      </c>
      <c r="H962">
        <v>425</v>
      </c>
    </row>
    <row r="963" spans="1:8">
      <c r="A963" t="s">
        <v>1131</v>
      </c>
      <c r="B963" t="s">
        <v>1261</v>
      </c>
      <c r="C963" t="s">
        <v>1236</v>
      </c>
      <c r="F963" t="s">
        <v>1262</v>
      </c>
      <c r="G963" t="s">
        <v>1263</v>
      </c>
      <c r="H963">
        <v>426</v>
      </c>
    </row>
    <row r="964" spans="1:8">
      <c r="A964" t="s">
        <v>1131</v>
      </c>
      <c r="B964" t="s">
        <v>1261</v>
      </c>
      <c r="C964" t="s">
        <v>1236</v>
      </c>
      <c r="F964" t="s">
        <v>1262</v>
      </c>
      <c r="G964" t="s">
        <v>1263</v>
      </c>
      <c r="H964">
        <v>427</v>
      </c>
    </row>
    <row r="965" spans="1:8">
      <c r="A965" t="s">
        <v>1131</v>
      </c>
      <c r="B965" t="s">
        <v>1261</v>
      </c>
      <c r="C965" t="s">
        <v>1236</v>
      </c>
      <c r="F965" t="s">
        <v>1262</v>
      </c>
      <c r="G965" t="s">
        <v>1263</v>
      </c>
      <c r="H965">
        <v>428</v>
      </c>
    </row>
    <row r="966" spans="1:8">
      <c r="A966" t="s">
        <v>1131</v>
      </c>
      <c r="B966" t="s">
        <v>1261</v>
      </c>
      <c r="C966" t="s">
        <v>1236</v>
      </c>
      <c r="F966" t="s">
        <v>1262</v>
      </c>
      <c r="G966" t="s">
        <v>1263</v>
      </c>
      <c r="H966">
        <v>429</v>
      </c>
    </row>
    <row r="967" spans="1:8">
      <c r="A967" t="s">
        <v>1131</v>
      </c>
      <c r="B967" t="s">
        <v>1261</v>
      </c>
      <c r="C967" t="s">
        <v>1236</v>
      </c>
      <c r="F967" t="s">
        <v>1262</v>
      </c>
      <c r="G967" t="s">
        <v>1263</v>
      </c>
      <c r="H967">
        <v>430</v>
      </c>
    </row>
    <row r="968" spans="1:8">
      <c r="A968" t="s">
        <v>1131</v>
      </c>
      <c r="B968" t="s">
        <v>1261</v>
      </c>
      <c r="C968" t="s">
        <v>1236</v>
      </c>
      <c r="F968" t="s">
        <v>1262</v>
      </c>
      <c r="G968" t="s">
        <v>1263</v>
      </c>
      <c r="H968">
        <v>431</v>
      </c>
    </row>
    <row r="969" spans="1:8">
      <c r="A969" t="s">
        <v>1131</v>
      </c>
      <c r="B969" t="s">
        <v>1261</v>
      </c>
      <c r="C969" t="s">
        <v>1236</v>
      </c>
      <c r="F969" t="s">
        <v>1262</v>
      </c>
      <c r="G969" t="s">
        <v>1263</v>
      </c>
      <c r="H969">
        <v>432</v>
      </c>
    </row>
    <row r="970" spans="1:8">
      <c r="A970" t="s">
        <v>1131</v>
      </c>
      <c r="B970" t="s">
        <v>1261</v>
      </c>
      <c r="C970" t="s">
        <v>1236</v>
      </c>
      <c r="F970" t="s">
        <v>1262</v>
      </c>
      <c r="G970" t="s">
        <v>1263</v>
      </c>
      <c r="H970">
        <v>433</v>
      </c>
    </row>
    <row r="971" spans="1:8">
      <c r="A971" t="s">
        <v>1131</v>
      </c>
      <c r="B971" t="s">
        <v>1261</v>
      </c>
      <c r="C971" t="s">
        <v>1236</v>
      </c>
      <c r="F971" t="s">
        <v>1262</v>
      </c>
      <c r="G971" t="s">
        <v>1263</v>
      </c>
      <c r="H971">
        <v>434</v>
      </c>
    </row>
    <row r="972" spans="1:8">
      <c r="A972" t="s">
        <v>1131</v>
      </c>
      <c r="B972" t="s">
        <v>1261</v>
      </c>
      <c r="C972" t="s">
        <v>1236</v>
      </c>
      <c r="F972" t="s">
        <v>1262</v>
      </c>
      <c r="G972" t="s">
        <v>1263</v>
      </c>
      <c r="H972">
        <v>435</v>
      </c>
    </row>
    <row r="973" spans="1:8">
      <c r="A973" t="s">
        <v>1131</v>
      </c>
      <c r="B973" t="s">
        <v>1261</v>
      </c>
      <c r="C973" t="s">
        <v>1236</v>
      </c>
      <c r="F973" t="s">
        <v>1262</v>
      </c>
      <c r="G973" t="s">
        <v>1263</v>
      </c>
      <c r="H973">
        <v>436</v>
      </c>
    </row>
    <row r="974" spans="1:8">
      <c r="A974" t="s">
        <v>1131</v>
      </c>
      <c r="B974" t="s">
        <v>1261</v>
      </c>
      <c r="C974" t="s">
        <v>1236</v>
      </c>
      <c r="F974" t="s">
        <v>1262</v>
      </c>
      <c r="G974" t="s">
        <v>1263</v>
      </c>
      <c r="H974">
        <v>437</v>
      </c>
    </row>
    <row r="975" spans="1:8">
      <c r="A975" t="s">
        <v>1131</v>
      </c>
      <c r="B975" t="s">
        <v>1261</v>
      </c>
      <c r="C975" t="s">
        <v>1236</v>
      </c>
      <c r="F975" t="s">
        <v>1262</v>
      </c>
      <c r="G975" t="s">
        <v>1263</v>
      </c>
      <c r="H975">
        <v>438</v>
      </c>
    </row>
    <row r="976" spans="1:8">
      <c r="A976" t="s">
        <v>1131</v>
      </c>
      <c r="B976" t="s">
        <v>1261</v>
      </c>
      <c r="C976" t="s">
        <v>1236</v>
      </c>
      <c r="F976" t="s">
        <v>1262</v>
      </c>
      <c r="G976" t="s">
        <v>1263</v>
      </c>
      <c r="H976">
        <v>439</v>
      </c>
    </row>
    <row r="977" spans="1:8">
      <c r="A977" t="s">
        <v>1131</v>
      </c>
      <c r="B977" t="s">
        <v>1261</v>
      </c>
      <c r="C977" t="s">
        <v>1236</v>
      </c>
      <c r="F977" t="s">
        <v>1262</v>
      </c>
      <c r="G977" t="s">
        <v>1263</v>
      </c>
      <c r="H977">
        <v>440</v>
      </c>
    </row>
    <row r="978" spans="1:8">
      <c r="A978" t="s">
        <v>1131</v>
      </c>
      <c r="B978" t="s">
        <v>1261</v>
      </c>
      <c r="C978" t="s">
        <v>1236</v>
      </c>
      <c r="F978" t="s">
        <v>1262</v>
      </c>
      <c r="G978" t="s">
        <v>1263</v>
      </c>
      <c r="H978">
        <v>441</v>
      </c>
    </row>
    <row r="979" spans="1:8">
      <c r="A979" t="s">
        <v>1131</v>
      </c>
      <c r="B979" t="s">
        <v>1261</v>
      </c>
      <c r="C979" t="s">
        <v>1236</v>
      </c>
      <c r="F979" t="s">
        <v>1262</v>
      </c>
      <c r="G979" t="s">
        <v>1263</v>
      </c>
      <c r="H979">
        <v>442</v>
      </c>
    </row>
    <row r="980" spans="1:8">
      <c r="A980" t="s">
        <v>1131</v>
      </c>
      <c r="B980" t="s">
        <v>1261</v>
      </c>
      <c r="C980" t="s">
        <v>1236</v>
      </c>
      <c r="F980" t="s">
        <v>1262</v>
      </c>
      <c r="G980" t="s">
        <v>1263</v>
      </c>
      <c r="H980">
        <v>443</v>
      </c>
    </row>
    <row r="981" spans="1:8">
      <c r="A981" t="s">
        <v>1131</v>
      </c>
      <c r="B981" t="s">
        <v>1261</v>
      </c>
      <c r="C981" t="s">
        <v>1236</v>
      </c>
      <c r="F981" t="s">
        <v>1262</v>
      </c>
      <c r="G981" t="s">
        <v>1263</v>
      </c>
      <c r="H981">
        <v>444</v>
      </c>
    </row>
    <row r="982" spans="1:8">
      <c r="A982" t="s">
        <v>1131</v>
      </c>
      <c r="B982" t="s">
        <v>1261</v>
      </c>
      <c r="C982" t="s">
        <v>1236</v>
      </c>
      <c r="F982" t="s">
        <v>1262</v>
      </c>
      <c r="G982" t="s">
        <v>1263</v>
      </c>
      <c r="H982">
        <v>445</v>
      </c>
    </row>
    <row r="983" spans="1:8">
      <c r="A983" t="s">
        <v>1131</v>
      </c>
      <c r="B983" t="s">
        <v>1261</v>
      </c>
      <c r="C983" t="s">
        <v>1236</v>
      </c>
      <c r="F983" t="s">
        <v>1262</v>
      </c>
      <c r="G983" t="s">
        <v>1263</v>
      </c>
      <c r="H983">
        <v>446</v>
      </c>
    </row>
    <row r="984" spans="1:8">
      <c r="A984" t="s">
        <v>1131</v>
      </c>
      <c r="B984" t="s">
        <v>1261</v>
      </c>
      <c r="C984" t="s">
        <v>1236</v>
      </c>
      <c r="F984" t="s">
        <v>1262</v>
      </c>
      <c r="G984" t="s">
        <v>1263</v>
      </c>
      <c r="H984">
        <v>447</v>
      </c>
    </row>
    <row r="985" spans="1:8">
      <c r="A985" t="s">
        <v>1131</v>
      </c>
      <c r="B985" t="s">
        <v>1261</v>
      </c>
      <c r="C985" t="s">
        <v>1133</v>
      </c>
      <c r="F985" t="s">
        <v>1262</v>
      </c>
      <c r="G985" t="s">
        <v>1263</v>
      </c>
      <c r="H985">
        <v>448</v>
      </c>
    </row>
    <row r="986" spans="1:8">
      <c r="A986" t="s">
        <v>1131</v>
      </c>
      <c r="B986" t="s">
        <v>1261</v>
      </c>
      <c r="C986" t="s">
        <v>1133</v>
      </c>
      <c r="F986" t="s">
        <v>1262</v>
      </c>
      <c r="G986" t="s">
        <v>1263</v>
      </c>
      <c r="H986">
        <v>449</v>
      </c>
    </row>
    <row r="987" spans="1:8">
      <c r="A987" t="s">
        <v>1131</v>
      </c>
      <c r="B987" t="s">
        <v>1261</v>
      </c>
      <c r="C987" t="s">
        <v>1133</v>
      </c>
      <c r="F987" t="s">
        <v>1262</v>
      </c>
      <c r="G987" t="s">
        <v>1263</v>
      </c>
      <c r="H987">
        <v>450</v>
      </c>
    </row>
    <row r="988" spans="1:8">
      <c r="A988" t="s">
        <v>1131</v>
      </c>
      <c r="B988" t="s">
        <v>1261</v>
      </c>
      <c r="C988" t="s">
        <v>1133</v>
      </c>
      <c r="F988" t="s">
        <v>1262</v>
      </c>
      <c r="G988" t="s">
        <v>1263</v>
      </c>
      <c r="H988">
        <v>451</v>
      </c>
    </row>
    <row r="989" spans="1:8">
      <c r="A989" t="s">
        <v>1131</v>
      </c>
      <c r="B989" t="s">
        <v>1261</v>
      </c>
      <c r="C989" t="s">
        <v>1133</v>
      </c>
      <c r="F989" t="s">
        <v>1262</v>
      </c>
      <c r="G989" t="s">
        <v>1263</v>
      </c>
      <c r="H989">
        <v>452</v>
      </c>
    </row>
    <row r="990" spans="1:8">
      <c r="A990" t="s">
        <v>1131</v>
      </c>
      <c r="B990" t="s">
        <v>1261</v>
      </c>
      <c r="C990" t="s">
        <v>1133</v>
      </c>
      <c r="F990" t="s">
        <v>1262</v>
      </c>
      <c r="G990" t="s">
        <v>1263</v>
      </c>
      <c r="H990">
        <v>453</v>
      </c>
    </row>
    <row r="991" spans="1:8">
      <c r="A991" t="s">
        <v>1131</v>
      </c>
      <c r="B991" t="s">
        <v>1261</v>
      </c>
      <c r="C991" t="s">
        <v>1133</v>
      </c>
      <c r="F991" t="s">
        <v>1262</v>
      </c>
      <c r="G991" t="s">
        <v>1263</v>
      </c>
      <c r="H991">
        <v>454</v>
      </c>
    </row>
    <row r="992" spans="1:8">
      <c r="A992" t="s">
        <v>1131</v>
      </c>
      <c r="B992" t="s">
        <v>1261</v>
      </c>
      <c r="C992" t="s">
        <v>1133</v>
      </c>
      <c r="F992" t="s">
        <v>1262</v>
      </c>
      <c r="G992" t="s">
        <v>1263</v>
      </c>
      <c r="H992">
        <v>455</v>
      </c>
    </row>
    <row r="993" spans="1:8">
      <c r="A993" t="s">
        <v>1131</v>
      </c>
      <c r="B993" t="s">
        <v>1261</v>
      </c>
      <c r="C993" t="s">
        <v>1133</v>
      </c>
      <c r="F993" t="s">
        <v>1262</v>
      </c>
      <c r="G993" t="s">
        <v>1263</v>
      </c>
      <c r="H993">
        <v>456</v>
      </c>
    </row>
    <row r="994" spans="1:8">
      <c r="A994" t="s">
        <v>1131</v>
      </c>
      <c r="B994" t="s">
        <v>1261</v>
      </c>
      <c r="C994" t="s">
        <v>1133</v>
      </c>
      <c r="F994" t="s">
        <v>1262</v>
      </c>
      <c r="G994" t="s">
        <v>1263</v>
      </c>
      <c r="H994">
        <v>457</v>
      </c>
    </row>
    <row r="995" spans="1:8">
      <c r="A995" t="s">
        <v>1131</v>
      </c>
      <c r="B995" t="s">
        <v>1261</v>
      </c>
      <c r="C995" t="s">
        <v>1133</v>
      </c>
      <c r="F995" t="s">
        <v>1262</v>
      </c>
      <c r="G995" t="s">
        <v>1263</v>
      </c>
      <c r="H995">
        <v>458</v>
      </c>
    </row>
    <row r="996" spans="1:8">
      <c r="A996" t="s">
        <v>1131</v>
      </c>
      <c r="B996" t="s">
        <v>1261</v>
      </c>
      <c r="C996" t="s">
        <v>1240</v>
      </c>
      <c r="F996" t="s">
        <v>1262</v>
      </c>
      <c r="G996" t="s">
        <v>1263</v>
      </c>
      <c r="H996">
        <v>459</v>
      </c>
    </row>
    <row r="997" spans="1:8">
      <c r="A997" t="s">
        <v>1131</v>
      </c>
      <c r="B997" t="s">
        <v>1261</v>
      </c>
      <c r="C997" t="s">
        <v>1240</v>
      </c>
      <c r="F997" t="s">
        <v>1262</v>
      </c>
      <c r="G997" t="s">
        <v>1263</v>
      </c>
      <c r="H997">
        <v>460</v>
      </c>
    </row>
    <row r="998" spans="1:8">
      <c r="A998" t="s">
        <v>1131</v>
      </c>
      <c r="B998" t="s">
        <v>1261</v>
      </c>
      <c r="C998" t="s">
        <v>1240</v>
      </c>
      <c r="F998" t="s">
        <v>1262</v>
      </c>
      <c r="G998" t="s">
        <v>1263</v>
      </c>
      <c r="H998">
        <v>461</v>
      </c>
    </row>
    <row r="999" spans="1:8">
      <c r="A999" t="s">
        <v>1131</v>
      </c>
      <c r="B999" t="s">
        <v>1261</v>
      </c>
      <c r="C999" t="s">
        <v>1240</v>
      </c>
      <c r="F999" t="s">
        <v>1262</v>
      </c>
      <c r="G999" t="s">
        <v>1263</v>
      </c>
      <c r="H999">
        <v>462</v>
      </c>
    </row>
    <row r="1000" spans="1:8">
      <c r="A1000" t="s">
        <v>1131</v>
      </c>
      <c r="B1000" t="s">
        <v>1261</v>
      </c>
      <c r="C1000" t="s">
        <v>1240</v>
      </c>
      <c r="F1000" t="s">
        <v>1262</v>
      </c>
      <c r="G1000" t="s">
        <v>1263</v>
      </c>
      <c r="H1000">
        <v>463</v>
      </c>
    </row>
    <row r="1001" spans="1:8">
      <c r="A1001" t="s">
        <v>1131</v>
      </c>
      <c r="B1001" t="s">
        <v>1261</v>
      </c>
      <c r="C1001" t="s">
        <v>1240</v>
      </c>
      <c r="F1001" t="s">
        <v>1262</v>
      </c>
      <c r="G1001" t="s">
        <v>1263</v>
      </c>
      <c r="H1001">
        <v>464</v>
      </c>
    </row>
    <row r="1002" spans="1:8">
      <c r="A1002" t="s">
        <v>1131</v>
      </c>
      <c r="B1002" t="s">
        <v>1261</v>
      </c>
      <c r="C1002" t="s">
        <v>1240</v>
      </c>
      <c r="F1002" t="s">
        <v>1262</v>
      </c>
      <c r="G1002" t="s">
        <v>1263</v>
      </c>
      <c r="H1002">
        <v>465</v>
      </c>
    </row>
    <row r="1003" spans="1:8">
      <c r="A1003" t="s">
        <v>1131</v>
      </c>
      <c r="B1003" t="s">
        <v>1261</v>
      </c>
      <c r="C1003" t="s">
        <v>1240</v>
      </c>
      <c r="F1003" t="s">
        <v>1262</v>
      </c>
      <c r="G1003" t="s">
        <v>1263</v>
      </c>
      <c r="H1003">
        <v>466</v>
      </c>
    </row>
    <row r="1004" spans="1:8">
      <c r="A1004" t="s">
        <v>1131</v>
      </c>
      <c r="B1004" t="s">
        <v>1261</v>
      </c>
      <c r="C1004" t="s">
        <v>1240</v>
      </c>
      <c r="F1004" t="s">
        <v>1262</v>
      </c>
      <c r="G1004" t="s">
        <v>1263</v>
      </c>
      <c r="H1004">
        <v>467</v>
      </c>
    </row>
    <row r="1005" spans="1:8">
      <c r="A1005" t="s">
        <v>1131</v>
      </c>
      <c r="B1005" t="s">
        <v>1261</v>
      </c>
      <c r="C1005" t="s">
        <v>1240</v>
      </c>
      <c r="F1005" t="s">
        <v>1262</v>
      </c>
      <c r="G1005" t="s">
        <v>1263</v>
      </c>
      <c r="H1005">
        <v>468</v>
      </c>
    </row>
    <row r="1006" spans="1:8">
      <c r="A1006" t="s">
        <v>1131</v>
      </c>
      <c r="B1006" t="s">
        <v>1261</v>
      </c>
      <c r="C1006" t="s">
        <v>1240</v>
      </c>
      <c r="F1006" t="s">
        <v>1262</v>
      </c>
      <c r="G1006" t="s">
        <v>1263</v>
      </c>
      <c r="H1006">
        <v>469</v>
      </c>
    </row>
    <row r="1007" spans="1:8">
      <c r="A1007" t="s">
        <v>1131</v>
      </c>
      <c r="B1007" t="s">
        <v>1261</v>
      </c>
      <c r="C1007" t="s">
        <v>1240</v>
      </c>
      <c r="F1007" t="s">
        <v>1262</v>
      </c>
      <c r="G1007" t="s">
        <v>1263</v>
      </c>
      <c r="H1007">
        <v>470</v>
      </c>
    </row>
    <row r="1008" spans="1:8">
      <c r="A1008" t="s">
        <v>1131</v>
      </c>
      <c r="B1008" t="s">
        <v>1261</v>
      </c>
      <c r="C1008" t="s">
        <v>1240</v>
      </c>
      <c r="F1008" t="s">
        <v>1262</v>
      </c>
      <c r="G1008" t="s">
        <v>1263</v>
      </c>
      <c r="H1008">
        <v>471</v>
      </c>
    </row>
    <row r="1009" spans="1:8">
      <c r="A1009" t="s">
        <v>1131</v>
      </c>
      <c r="B1009" t="s">
        <v>1261</v>
      </c>
      <c r="C1009" t="s">
        <v>1240</v>
      </c>
      <c r="F1009" t="s">
        <v>1262</v>
      </c>
      <c r="G1009" t="s">
        <v>1263</v>
      </c>
      <c r="H1009">
        <v>472</v>
      </c>
    </row>
    <row r="1010" spans="1:8">
      <c r="A1010" t="s">
        <v>1131</v>
      </c>
      <c r="B1010" t="s">
        <v>1261</v>
      </c>
      <c r="C1010" t="s">
        <v>1240</v>
      </c>
      <c r="F1010" t="s">
        <v>1262</v>
      </c>
      <c r="G1010" t="s">
        <v>1263</v>
      </c>
      <c r="H1010">
        <v>473</v>
      </c>
    </row>
    <row r="1011" spans="1:8">
      <c r="A1011" t="s">
        <v>1131</v>
      </c>
      <c r="B1011" t="s">
        <v>1261</v>
      </c>
      <c r="C1011" t="s">
        <v>1240</v>
      </c>
      <c r="F1011" t="s">
        <v>1262</v>
      </c>
      <c r="G1011" t="s">
        <v>1263</v>
      </c>
      <c r="H1011">
        <v>474</v>
      </c>
    </row>
    <row r="1012" spans="1:8">
      <c r="A1012" t="s">
        <v>1131</v>
      </c>
      <c r="B1012" t="s">
        <v>1261</v>
      </c>
      <c r="C1012" t="s">
        <v>1240</v>
      </c>
      <c r="F1012" t="s">
        <v>1262</v>
      </c>
      <c r="G1012" t="s">
        <v>1263</v>
      </c>
      <c r="H1012">
        <v>475</v>
      </c>
    </row>
    <row r="1013" spans="1:8">
      <c r="A1013" t="s">
        <v>1131</v>
      </c>
      <c r="B1013" t="s">
        <v>1261</v>
      </c>
      <c r="C1013" t="s">
        <v>1240</v>
      </c>
      <c r="F1013" t="s">
        <v>1262</v>
      </c>
      <c r="G1013" t="s">
        <v>1263</v>
      </c>
      <c r="H1013">
        <v>476</v>
      </c>
    </row>
    <row r="1014" spans="1:8">
      <c r="A1014" t="s">
        <v>1131</v>
      </c>
      <c r="B1014" t="s">
        <v>1261</v>
      </c>
      <c r="C1014" t="s">
        <v>1240</v>
      </c>
      <c r="F1014" t="s">
        <v>1262</v>
      </c>
      <c r="G1014" t="s">
        <v>1263</v>
      </c>
      <c r="H1014">
        <v>477</v>
      </c>
    </row>
    <row r="1015" spans="1:8">
      <c r="A1015" t="s">
        <v>1131</v>
      </c>
      <c r="B1015" t="s">
        <v>1261</v>
      </c>
      <c r="C1015" t="s">
        <v>1240</v>
      </c>
      <c r="F1015" t="s">
        <v>1262</v>
      </c>
      <c r="G1015" t="s">
        <v>1263</v>
      </c>
      <c r="H1015">
        <v>478</v>
      </c>
    </row>
    <row r="1016" spans="1:8">
      <c r="A1016" t="s">
        <v>1131</v>
      </c>
      <c r="B1016" t="s">
        <v>1261</v>
      </c>
      <c r="C1016" t="s">
        <v>1240</v>
      </c>
      <c r="F1016" t="s">
        <v>1262</v>
      </c>
      <c r="G1016" t="s">
        <v>1263</v>
      </c>
      <c r="H1016">
        <v>479</v>
      </c>
    </row>
    <row r="1017" spans="1:8">
      <c r="A1017" t="s">
        <v>1131</v>
      </c>
      <c r="B1017" t="s">
        <v>1261</v>
      </c>
      <c r="C1017" t="s">
        <v>1240</v>
      </c>
      <c r="F1017" t="s">
        <v>1262</v>
      </c>
      <c r="G1017" t="s">
        <v>1263</v>
      </c>
      <c r="H1017">
        <v>480</v>
      </c>
    </row>
    <row r="1018" spans="1:8">
      <c r="A1018" t="s">
        <v>1131</v>
      </c>
      <c r="B1018" t="s">
        <v>1261</v>
      </c>
      <c r="C1018" t="s">
        <v>1240</v>
      </c>
      <c r="F1018" t="s">
        <v>1262</v>
      </c>
      <c r="G1018" t="s">
        <v>1263</v>
      </c>
      <c r="H1018">
        <v>481</v>
      </c>
    </row>
    <row r="1019" spans="1:8">
      <c r="A1019" t="s">
        <v>1131</v>
      </c>
      <c r="B1019" t="s">
        <v>1261</v>
      </c>
      <c r="C1019" t="s">
        <v>1240</v>
      </c>
      <c r="F1019" t="s">
        <v>1262</v>
      </c>
      <c r="G1019" t="s">
        <v>1263</v>
      </c>
      <c r="H1019">
        <v>482</v>
      </c>
    </row>
    <row r="1020" spans="1:8">
      <c r="A1020" t="s">
        <v>1131</v>
      </c>
      <c r="B1020" t="s">
        <v>1261</v>
      </c>
      <c r="C1020" t="s">
        <v>1240</v>
      </c>
      <c r="F1020" t="s">
        <v>1262</v>
      </c>
      <c r="G1020" t="s">
        <v>1263</v>
      </c>
      <c r="H1020">
        <v>483</v>
      </c>
    </row>
    <row r="1021" spans="1:8">
      <c r="A1021" t="s">
        <v>1131</v>
      </c>
      <c r="B1021" t="s">
        <v>1261</v>
      </c>
      <c r="C1021" t="s">
        <v>1240</v>
      </c>
      <c r="F1021" t="s">
        <v>1262</v>
      </c>
      <c r="G1021" t="s">
        <v>1263</v>
      </c>
      <c r="H1021">
        <v>484</v>
      </c>
    </row>
    <row r="1022" spans="1:8">
      <c r="A1022" t="s">
        <v>1131</v>
      </c>
      <c r="B1022" t="s">
        <v>1261</v>
      </c>
      <c r="C1022" t="s">
        <v>1240</v>
      </c>
      <c r="F1022" t="s">
        <v>1262</v>
      </c>
      <c r="G1022" t="s">
        <v>1263</v>
      </c>
      <c r="H1022">
        <v>485</v>
      </c>
    </row>
    <row r="1023" spans="1:8">
      <c r="A1023" t="s">
        <v>1131</v>
      </c>
      <c r="B1023" t="s">
        <v>1261</v>
      </c>
      <c r="C1023" t="s">
        <v>1240</v>
      </c>
      <c r="F1023" t="s">
        <v>1262</v>
      </c>
      <c r="G1023" t="s">
        <v>1263</v>
      </c>
      <c r="H1023">
        <v>486</v>
      </c>
    </row>
    <row r="1024" spans="1:8">
      <c r="A1024" t="s">
        <v>1131</v>
      </c>
      <c r="B1024" t="s">
        <v>1261</v>
      </c>
      <c r="C1024" t="s">
        <v>1240</v>
      </c>
      <c r="F1024" t="s">
        <v>1262</v>
      </c>
      <c r="G1024" t="s">
        <v>1263</v>
      </c>
      <c r="H1024">
        <v>487</v>
      </c>
    </row>
    <row r="1025" spans="1:8">
      <c r="A1025" t="s">
        <v>1131</v>
      </c>
      <c r="B1025" t="s">
        <v>1261</v>
      </c>
      <c r="C1025" t="s">
        <v>1240</v>
      </c>
      <c r="F1025" t="s">
        <v>1262</v>
      </c>
      <c r="G1025" t="s">
        <v>1263</v>
      </c>
      <c r="H1025">
        <v>488</v>
      </c>
    </row>
    <row r="1026" spans="1:8">
      <c r="A1026" t="s">
        <v>1131</v>
      </c>
      <c r="B1026" t="s">
        <v>1261</v>
      </c>
      <c r="C1026" t="s">
        <v>1240</v>
      </c>
      <c r="F1026" t="s">
        <v>1262</v>
      </c>
      <c r="G1026" t="s">
        <v>1263</v>
      </c>
      <c r="H1026">
        <v>489</v>
      </c>
    </row>
    <row r="1027" spans="1:8">
      <c r="A1027" t="s">
        <v>1131</v>
      </c>
      <c r="B1027" t="s">
        <v>1261</v>
      </c>
      <c r="C1027" t="s">
        <v>1240</v>
      </c>
      <c r="F1027" t="s">
        <v>1262</v>
      </c>
      <c r="G1027" t="s">
        <v>1263</v>
      </c>
      <c r="H1027">
        <v>490</v>
      </c>
    </row>
    <row r="1028" spans="1:8">
      <c r="A1028" t="s">
        <v>1131</v>
      </c>
      <c r="B1028" t="s">
        <v>1261</v>
      </c>
      <c r="C1028" t="s">
        <v>1240</v>
      </c>
      <c r="F1028" t="s">
        <v>1262</v>
      </c>
      <c r="G1028" t="s">
        <v>1263</v>
      </c>
      <c r="H1028">
        <v>491</v>
      </c>
    </row>
    <row r="1029" spans="1:8">
      <c r="A1029" t="s">
        <v>1131</v>
      </c>
      <c r="B1029" t="s">
        <v>1261</v>
      </c>
      <c r="C1029" t="s">
        <v>1240</v>
      </c>
      <c r="F1029" t="s">
        <v>1262</v>
      </c>
      <c r="G1029" t="s">
        <v>1263</v>
      </c>
      <c r="H1029">
        <v>492</v>
      </c>
    </row>
    <row r="1030" spans="1:8">
      <c r="A1030" t="s">
        <v>1131</v>
      </c>
      <c r="B1030" t="s">
        <v>1261</v>
      </c>
      <c r="C1030" t="s">
        <v>1240</v>
      </c>
      <c r="F1030" t="s">
        <v>1262</v>
      </c>
      <c r="G1030" t="s">
        <v>1263</v>
      </c>
      <c r="H1030">
        <v>493</v>
      </c>
    </row>
    <row r="1031" spans="1:8">
      <c r="A1031" t="s">
        <v>1131</v>
      </c>
      <c r="B1031" t="s">
        <v>1261</v>
      </c>
      <c r="C1031" t="s">
        <v>1133</v>
      </c>
      <c r="F1031" t="s">
        <v>1262</v>
      </c>
      <c r="G1031" t="s">
        <v>1263</v>
      </c>
      <c r="H1031">
        <v>494</v>
      </c>
    </row>
    <row r="1032" spans="1:8">
      <c r="A1032" t="s">
        <v>1131</v>
      </c>
      <c r="B1032" t="s">
        <v>1261</v>
      </c>
      <c r="C1032" t="s">
        <v>1133</v>
      </c>
      <c r="F1032" t="s">
        <v>1262</v>
      </c>
      <c r="G1032" t="s">
        <v>1263</v>
      </c>
      <c r="H1032">
        <v>495</v>
      </c>
    </row>
    <row r="1033" spans="1:8">
      <c r="A1033" t="s">
        <v>1131</v>
      </c>
      <c r="B1033" t="s">
        <v>1261</v>
      </c>
      <c r="C1033" t="s">
        <v>1133</v>
      </c>
      <c r="F1033" t="s">
        <v>1262</v>
      </c>
      <c r="G1033" t="s">
        <v>1263</v>
      </c>
      <c r="H1033">
        <v>496</v>
      </c>
    </row>
    <row r="1034" spans="1:8">
      <c r="A1034" t="s">
        <v>1131</v>
      </c>
      <c r="B1034" t="s">
        <v>1261</v>
      </c>
      <c r="C1034" t="s">
        <v>1133</v>
      </c>
      <c r="F1034" t="s">
        <v>1262</v>
      </c>
      <c r="G1034" t="s">
        <v>1263</v>
      </c>
      <c r="H1034">
        <v>497</v>
      </c>
    </row>
    <row r="1035" spans="1:8">
      <c r="A1035" t="s">
        <v>1131</v>
      </c>
      <c r="B1035" t="s">
        <v>1261</v>
      </c>
      <c r="C1035" t="s">
        <v>1133</v>
      </c>
      <c r="F1035" t="s">
        <v>1262</v>
      </c>
      <c r="G1035" t="s">
        <v>1263</v>
      </c>
      <c r="H1035">
        <v>498</v>
      </c>
    </row>
    <row r="1036" spans="1:8">
      <c r="A1036" t="s">
        <v>1131</v>
      </c>
      <c r="B1036" t="s">
        <v>1261</v>
      </c>
      <c r="C1036" t="s">
        <v>1133</v>
      </c>
      <c r="F1036" t="s">
        <v>1262</v>
      </c>
      <c r="G1036" t="s">
        <v>1263</v>
      </c>
      <c r="H1036">
        <v>499</v>
      </c>
    </row>
    <row r="1037" spans="1:8">
      <c r="A1037" t="s">
        <v>1131</v>
      </c>
      <c r="B1037" t="s">
        <v>1261</v>
      </c>
      <c r="C1037" t="s">
        <v>1133</v>
      </c>
      <c r="F1037" t="s">
        <v>1262</v>
      </c>
      <c r="G1037" t="s">
        <v>1263</v>
      </c>
      <c r="H1037">
        <v>500</v>
      </c>
    </row>
    <row r="1038" spans="1:8">
      <c r="A1038" t="s">
        <v>1131</v>
      </c>
      <c r="B1038" t="s">
        <v>1261</v>
      </c>
      <c r="C1038" t="s">
        <v>1133</v>
      </c>
      <c r="F1038" t="s">
        <v>1262</v>
      </c>
      <c r="G1038" t="s">
        <v>1263</v>
      </c>
      <c r="H1038">
        <v>501</v>
      </c>
    </row>
    <row r="1039" spans="1:8">
      <c r="A1039" t="s">
        <v>1131</v>
      </c>
      <c r="B1039" t="s">
        <v>1261</v>
      </c>
      <c r="C1039" t="s">
        <v>1133</v>
      </c>
      <c r="F1039" t="s">
        <v>1262</v>
      </c>
      <c r="G1039" t="s">
        <v>1263</v>
      </c>
      <c r="H1039">
        <v>502</v>
      </c>
    </row>
    <row r="1040" spans="1:8">
      <c r="A1040" t="s">
        <v>1131</v>
      </c>
      <c r="B1040" t="s">
        <v>1261</v>
      </c>
      <c r="C1040" t="s">
        <v>1133</v>
      </c>
      <c r="F1040" t="s">
        <v>1262</v>
      </c>
      <c r="G1040" t="s">
        <v>1263</v>
      </c>
      <c r="H1040">
        <v>503</v>
      </c>
    </row>
    <row r="1041" spans="1:8">
      <c r="A1041" t="s">
        <v>1131</v>
      </c>
      <c r="B1041" t="s">
        <v>1261</v>
      </c>
      <c r="C1041" t="s">
        <v>1133</v>
      </c>
      <c r="F1041" t="s">
        <v>1262</v>
      </c>
      <c r="G1041" t="s">
        <v>1263</v>
      </c>
      <c r="H1041">
        <v>504</v>
      </c>
    </row>
    <row r="1042" spans="1:8">
      <c r="A1042" t="s">
        <v>1131</v>
      </c>
      <c r="B1042" t="s">
        <v>1261</v>
      </c>
      <c r="C1042" t="s">
        <v>1133</v>
      </c>
      <c r="F1042" t="s">
        <v>1262</v>
      </c>
      <c r="G1042" t="s">
        <v>1263</v>
      </c>
      <c r="H1042">
        <v>505</v>
      </c>
    </row>
    <row r="1043" spans="1:8">
      <c r="A1043" t="s">
        <v>1131</v>
      </c>
      <c r="B1043" t="s">
        <v>1261</v>
      </c>
      <c r="C1043" t="s">
        <v>1133</v>
      </c>
      <c r="F1043" t="s">
        <v>1262</v>
      </c>
      <c r="G1043" t="s">
        <v>1263</v>
      </c>
      <c r="H1043">
        <v>506</v>
      </c>
    </row>
    <row r="1044" spans="1:8">
      <c r="A1044" t="s">
        <v>1131</v>
      </c>
      <c r="B1044" t="s">
        <v>1261</v>
      </c>
      <c r="C1044" t="s">
        <v>1133</v>
      </c>
      <c r="F1044" t="s">
        <v>1262</v>
      </c>
      <c r="G1044" t="s">
        <v>1263</v>
      </c>
      <c r="H1044">
        <v>507</v>
      </c>
    </row>
    <row r="1045" spans="1:8">
      <c r="A1045" t="s">
        <v>1131</v>
      </c>
      <c r="B1045" t="s">
        <v>1261</v>
      </c>
      <c r="C1045" t="s">
        <v>1133</v>
      </c>
      <c r="F1045" t="s">
        <v>1262</v>
      </c>
      <c r="G1045" t="s">
        <v>1263</v>
      </c>
      <c r="H1045">
        <v>508</v>
      </c>
    </row>
    <row r="1046" spans="1:8">
      <c r="A1046" t="s">
        <v>1131</v>
      </c>
      <c r="B1046" t="s">
        <v>1261</v>
      </c>
      <c r="C1046" t="s">
        <v>1133</v>
      </c>
      <c r="F1046" t="s">
        <v>1262</v>
      </c>
      <c r="G1046" t="s">
        <v>1263</v>
      </c>
      <c r="H1046">
        <v>509</v>
      </c>
    </row>
    <row r="1047" spans="1:8">
      <c r="A1047" t="s">
        <v>1131</v>
      </c>
      <c r="B1047" t="s">
        <v>1261</v>
      </c>
      <c r="C1047" t="s">
        <v>1133</v>
      </c>
      <c r="F1047" t="s">
        <v>1262</v>
      </c>
      <c r="G1047" t="s">
        <v>1263</v>
      </c>
      <c r="H1047">
        <v>510</v>
      </c>
    </row>
    <row r="1048" spans="1:8">
      <c r="A1048" t="s">
        <v>1131</v>
      </c>
      <c r="B1048" t="s">
        <v>1261</v>
      </c>
      <c r="C1048" t="s">
        <v>1133</v>
      </c>
      <c r="F1048" t="s">
        <v>1262</v>
      </c>
      <c r="G1048" t="s">
        <v>1263</v>
      </c>
      <c r="H1048">
        <v>511</v>
      </c>
    </row>
    <row r="1049" spans="1:8">
      <c r="A1049" t="s">
        <v>1131</v>
      </c>
      <c r="B1049" t="s">
        <v>1261</v>
      </c>
      <c r="C1049" t="s">
        <v>1133</v>
      </c>
      <c r="F1049" t="s">
        <v>1262</v>
      </c>
      <c r="G1049" t="s">
        <v>1263</v>
      </c>
      <c r="H1049">
        <v>512</v>
      </c>
    </row>
    <row r="1050" spans="1:8">
      <c r="A1050" t="s">
        <v>1131</v>
      </c>
      <c r="B1050" t="s">
        <v>1261</v>
      </c>
      <c r="C1050" t="s">
        <v>1133</v>
      </c>
      <c r="F1050" t="s">
        <v>1262</v>
      </c>
      <c r="G1050" t="s">
        <v>1263</v>
      </c>
      <c r="H1050">
        <v>513</v>
      </c>
    </row>
    <row r="1051" spans="1:8">
      <c r="A1051" t="s">
        <v>1131</v>
      </c>
      <c r="B1051" t="s">
        <v>1261</v>
      </c>
      <c r="C1051" t="s">
        <v>1133</v>
      </c>
      <c r="F1051" t="s">
        <v>1262</v>
      </c>
      <c r="G1051" t="s">
        <v>1263</v>
      </c>
      <c r="H1051">
        <v>514</v>
      </c>
    </row>
    <row r="1052" spans="1:8">
      <c r="A1052" t="s">
        <v>1131</v>
      </c>
      <c r="B1052" t="s">
        <v>1261</v>
      </c>
      <c r="C1052" t="s">
        <v>1133</v>
      </c>
      <c r="F1052" t="s">
        <v>1262</v>
      </c>
      <c r="G1052" t="s">
        <v>1263</v>
      </c>
      <c r="H1052">
        <v>515</v>
      </c>
    </row>
    <row r="1053" spans="1:8">
      <c r="A1053" t="s">
        <v>1131</v>
      </c>
      <c r="B1053" t="s">
        <v>1261</v>
      </c>
      <c r="C1053" t="s">
        <v>1133</v>
      </c>
      <c r="F1053" t="s">
        <v>1262</v>
      </c>
      <c r="G1053" t="s">
        <v>1263</v>
      </c>
      <c r="H1053">
        <v>516</v>
      </c>
    </row>
    <row r="1054" spans="1:8">
      <c r="A1054" t="s">
        <v>1131</v>
      </c>
      <c r="B1054" t="s">
        <v>1261</v>
      </c>
      <c r="C1054" t="s">
        <v>1133</v>
      </c>
      <c r="F1054" t="s">
        <v>1262</v>
      </c>
      <c r="G1054" t="s">
        <v>1263</v>
      </c>
      <c r="H1054">
        <v>517</v>
      </c>
    </row>
    <row r="1055" spans="1:8">
      <c r="A1055" t="s">
        <v>1131</v>
      </c>
      <c r="B1055" t="s">
        <v>1261</v>
      </c>
      <c r="C1055" t="s">
        <v>1133</v>
      </c>
      <c r="F1055" t="s">
        <v>1262</v>
      </c>
      <c r="G1055" t="s">
        <v>1263</v>
      </c>
      <c r="H1055">
        <v>518</v>
      </c>
    </row>
    <row r="1056" spans="1:8">
      <c r="A1056" t="s">
        <v>1131</v>
      </c>
      <c r="B1056" t="s">
        <v>1261</v>
      </c>
      <c r="C1056" t="s">
        <v>1133</v>
      </c>
      <c r="F1056" t="s">
        <v>1262</v>
      </c>
      <c r="G1056" t="s">
        <v>1263</v>
      </c>
      <c r="H1056">
        <v>519</v>
      </c>
    </row>
    <row r="1057" spans="1:8">
      <c r="A1057" t="s">
        <v>1131</v>
      </c>
      <c r="B1057" t="s">
        <v>1261</v>
      </c>
      <c r="C1057" t="s">
        <v>1133</v>
      </c>
      <c r="F1057" t="s">
        <v>1262</v>
      </c>
      <c r="G1057" t="s">
        <v>1263</v>
      </c>
      <c r="H1057">
        <v>520</v>
      </c>
    </row>
    <row r="1058" spans="1:8">
      <c r="A1058" t="s">
        <v>1131</v>
      </c>
      <c r="B1058" t="s">
        <v>1261</v>
      </c>
      <c r="C1058" t="s">
        <v>1133</v>
      </c>
      <c r="F1058" t="s">
        <v>1262</v>
      </c>
      <c r="G1058" t="s">
        <v>1263</v>
      </c>
      <c r="H1058">
        <v>521</v>
      </c>
    </row>
    <row r="1059" spans="1:8">
      <c r="A1059" t="s">
        <v>1131</v>
      </c>
      <c r="B1059" t="s">
        <v>1261</v>
      </c>
      <c r="C1059" t="s">
        <v>1133</v>
      </c>
      <c r="F1059" t="s">
        <v>1262</v>
      </c>
      <c r="G1059" t="s">
        <v>1263</v>
      </c>
      <c r="H1059">
        <v>522</v>
      </c>
    </row>
    <row r="1060" spans="1:8">
      <c r="A1060" t="s">
        <v>1131</v>
      </c>
      <c r="B1060" t="s">
        <v>1261</v>
      </c>
      <c r="C1060" t="s">
        <v>1133</v>
      </c>
      <c r="F1060" t="s">
        <v>1262</v>
      </c>
      <c r="G1060" t="s">
        <v>1263</v>
      </c>
      <c r="H1060">
        <v>523</v>
      </c>
    </row>
    <row r="1061" spans="1:8">
      <c r="A1061" t="s">
        <v>1131</v>
      </c>
      <c r="B1061" t="s">
        <v>1261</v>
      </c>
      <c r="C1061" t="s">
        <v>1133</v>
      </c>
      <c r="F1061" t="s">
        <v>1262</v>
      </c>
      <c r="G1061" t="s">
        <v>1263</v>
      </c>
      <c r="H1061">
        <v>524</v>
      </c>
    </row>
    <row r="1062" spans="1:8">
      <c r="A1062" t="s">
        <v>1131</v>
      </c>
      <c r="B1062" t="s">
        <v>1261</v>
      </c>
      <c r="C1062" t="s">
        <v>1133</v>
      </c>
      <c r="F1062" t="s">
        <v>1262</v>
      </c>
      <c r="G1062" t="s">
        <v>1263</v>
      </c>
      <c r="H1062">
        <v>525</v>
      </c>
    </row>
    <row r="1063" spans="1:8">
      <c r="A1063" t="s">
        <v>1131</v>
      </c>
      <c r="B1063" t="s">
        <v>1261</v>
      </c>
      <c r="C1063" t="s">
        <v>1133</v>
      </c>
      <c r="F1063" t="s">
        <v>1262</v>
      </c>
      <c r="G1063" t="s">
        <v>1263</v>
      </c>
      <c r="H1063">
        <v>526</v>
      </c>
    </row>
    <row r="1064" spans="1:8">
      <c r="A1064" t="s">
        <v>1131</v>
      </c>
      <c r="B1064" t="s">
        <v>1261</v>
      </c>
      <c r="C1064" t="s">
        <v>1133</v>
      </c>
      <c r="F1064" t="s">
        <v>1262</v>
      </c>
      <c r="G1064" t="s">
        <v>1263</v>
      </c>
      <c r="H1064">
        <v>527</v>
      </c>
    </row>
    <row r="1065" spans="1:8">
      <c r="A1065" t="s">
        <v>1131</v>
      </c>
      <c r="B1065" t="s">
        <v>1261</v>
      </c>
      <c r="C1065" t="s">
        <v>1133</v>
      </c>
      <c r="F1065" t="s">
        <v>1262</v>
      </c>
      <c r="G1065" t="s">
        <v>1263</v>
      </c>
      <c r="H1065">
        <v>528</v>
      </c>
    </row>
    <row r="1066" spans="1:8">
      <c r="A1066" t="s">
        <v>1131</v>
      </c>
      <c r="B1066" t="s">
        <v>1261</v>
      </c>
      <c r="C1066" t="s">
        <v>1133</v>
      </c>
      <c r="F1066" t="s">
        <v>1262</v>
      </c>
      <c r="G1066" t="s">
        <v>1263</v>
      </c>
      <c r="H1066">
        <v>529</v>
      </c>
    </row>
    <row r="1067" spans="1:8">
      <c r="A1067" t="s">
        <v>1131</v>
      </c>
      <c r="B1067" t="s">
        <v>1261</v>
      </c>
      <c r="C1067" t="s">
        <v>1133</v>
      </c>
      <c r="F1067" t="s">
        <v>1262</v>
      </c>
      <c r="G1067" t="s">
        <v>1263</v>
      </c>
      <c r="H1067">
        <v>530</v>
      </c>
    </row>
    <row r="1068" spans="1:8">
      <c r="A1068" t="s">
        <v>1131</v>
      </c>
      <c r="B1068" t="s">
        <v>1261</v>
      </c>
      <c r="C1068" t="s">
        <v>1133</v>
      </c>
      <c r="F1068" t="s">
        <v>1262</v>
      </c>
      <c r="G1068" t="s">
        <v>1263</v>
      </c>
      <c r="H1068">
        <v>531</v>
      </c>
    </row>
    <row r="1069" spans="1:8">
      <c r="A1069" t="s">
        <v>1131</v>
      </c>
      <c r="B1069" t="s">
        <v>1261</v>
      </c>
      <c r="C1069" t="s">
        <v>1133</v>
      </c>
      <c r="F1069" t="s">
        <v>1262</v>
      </c>
      <c r="G1069" t="s">
        <v>1263</v>
      </c>
      <c r="H1069">
        <v>532</v>
      </c>
    </row>
    <row r="1070" spans="1:8">
      <c r="A1070" t="s">
        <v>1131</v>
      </c>
      <c r="B1070" t="s">
        <v>1261</v>
      </c>
      <c r="C1070" t="s">
        <v>1133</v>
      </c>
      <c r="F1070" t="s">
        <v>1262</v>
      </c>
      <c r="G1070" t="s">
        <v>1263</v>
      </c>
      <c r="H1070">
        <v>533</v>
      </c>
    </row>
    <row r="1071" spans="1:8">
      <c r="A1071" t="s">
        <v>1131</v>
      </c>
      <c r="B1071" t="s">
        <v>1261</v>
      </c>
      <c r="C1071" t="s">
        <v>1133</v>
      </c>
      <c r="F1071" t="s">
        <v>1262</v>
      </c>
      <c r="G1071" t="s">
        <v>1263</v>
      </c>
      <c r="H1071">
        <v>534</v>
      </c>
    </row>
    <row r="1072" spans="1:8">
      <c r="A1072" t="s">
        <v>1131</v>
      </c>
      <c r="B1072" t="s">
        <v>1261</v>
      </c>
      <c r="C1072" t="s">
        <v>1133</v>
      </c>
      <c r="F1072" t="s">
        <v>1262</v>
      </c>
      <c r="G1072" t="s">
        <v>1263</v>
      </c>
      <c r="H1072">
        <v>535</v>
      </c>
    </row>
    <row r="1073" spans="1:8">
      <c r="A1073" t="s">
        <v>1131</v>
      </c>
      <c r="B1073" t="s">
        <v>1261</v>
      </c>
      <c r="C1073" t="s">
        <v>1133</v>
      </c>
      <c r="F1073" t="s">
        <v>1262</v>
      </c>
      <c r="G1073" t="s">
        <v>1263</v>
      </c>
      <c r="H1073">
        <v>536</v>
      </c>
    </row>
    <row r="1074" spans="1:8">
      <c r="A1074" t="s">
        <v>1131</v>
      </c>
      <c r="B1074" t="s">
        <v>1261</v>
      </c>
      <c r="C1074" t="s">
        <v>1133</v>
      </c>
      <c r="F1074" t="s">
        <v>1262</v>
      </c>
      <c r="G1074" t="s">
        <v>1263</v>
      </c>
      <c r="H1074">
        <v>537</v>
      </c>
    </row>
    <row r="1075" spans="1:8">
      <c r="A1075" t="s">
        <v>1131</v>
      </c>
      <c r="B1075" t="s">
        <v>1261</v>
      </c>
      <c r="C1075" t="s">
        <v>1133</v>
      </c>
      <c r="F1075" t="s">
        <v>1262</v>
      </c>
      <c r="G1075" t="s">
        <v>1263</v>
      </c>
      <c r="H1075">
        <v>538</v>
      </c>
    </row>
    <row r="1076" spans="1:8">
      <c r="A1076" t="s">
        <v>1131</v>
      </c>
      <c r="B1076" t="s">
        <v>1261</v>
      </c>
      <c r="C1076" t="s">
        <v>1133</v>
      </c>
      <c r="F1076" t="s">
        <v>1262</v>
      </c>
      <c r="G1076" t="s">
        <v>1263</v>
      </c>
      <c r="H1076">
        <v>539</v>
      </c>
    </row>
    <row r="1077" spans="1:8">
      <c r="A1077" t="s">
        <v>1131</v>
      </c>
      <c r="B1077" t="s">
        <v>1261</v>
      </c>
      <c r="C1077" t="s">
        <v>1133</v>
      </c>
      <c r="F1077" t="s">
        <v>1262</v>
      </c>
      <c r="G1077" t="s">
        <v>1263</v>
      </c>
      <c r="H1077">
        <v>540</v>
      </c>
    </row>
    <row r="1078" spans="1:8">
      <c r="A1078" t="s">
        <v>1131</v>
      </c>
      <c r="B1078" t="s">
        <v>1261</v>
      </c>
      <c r="C1078" t="s">
        <v>1133</v>
      </c>
      <c r="F1078" t="s">
        <v>1262</v>
      </c>
      <c r="G1078" t="s">
        <v>1263</v>
      </c>
      <c r="H1078">
        <v>541</v>
      </c>
    </row>
    <row r="1079" spans="1:8">
      <c r="A1079" t="s">
        <v>1131</v>
      </c>
      <c r="B1079" t="s">
        <v>1261</v>
      </c>
      <c r="C1079" t="s">
        <v>1133</v>
      </c>
      <c r="F1079" t="s">
        <v>1262</v>
      </c>
      <c r="G1079" t="s">
        <v>1263</v>
      </c>
      <c r="H1079">
        <v>542</v>
      </c>
    </row>
    <row r="1080" spans="1:8">
      <c r="A1080" t="s">
        <v>1131</v>
      </c>
      <c r="B1080" t="s">
        <v>1261</v>
      </c>
      <c r="C1080" t="s">
        <v>1133</v>
      </c>
      <c r="F1080" t="s">
        <v>1262</v>
      </c>
      <c r="G1080" t="s">
        <v>1263</v>
      </c>
      <c r="H1080">
        <v>543</v>
      </c>
    </row>
    <row r="1081" spans="1:8">
      <c r="A1081" t="s">
        <v>1131</v>
      </c>
      <c r="B1081" t="s">
        <v>1261</v>
      </c>
      <c r="C1081" t="s">
        <v>1133</v>
      </c>
      <c r="F1081" t="s">
        <v>1262</v>
      </c>
      <c r="G1081" t="s">
        <v>1263</v>
      </c>
      <c r="H1081">
        <v>544</v>
      </c>
    </row>
    <row r="1082" spans="1:8">
      <c r="A1082" t="s">
        <v>1131</v>
      </c>
      <c r="B1082" t="s">
        <v>1261</v>
      </c>
      <c r="C1082" t="s">
        <v>1133</v>
      </c>
      <c r="F1082" t="s">
        <v>1262</v>
      </c>
      <c r="G1082" t="s">
        <v>1263</v>
      </c>
      <c r="H1082">
        <v>545</v>
      </c>
    </row>
    <row r="1083" spans="1:8">
      <c r="A1083" t="s">
        <v>1131</v>
      </c>
      <c r="B1083" t="s">
        <v>1261</v>
      </c>
      <c r="C1083" t="s">
        <v>1133</v>
      </c>
      <c r="F1083" t="s">
        <v>1262</v>
      </c>
      <c r="G1083" t="s">
        <v>1263</v>
      </c>
      <c r="H1083">
        <v>546</v>
      </c>
    </row>
    <row r="1084" spans="1:8">
      <c r="A1084" t="s">
        <v>1131</v>
      </c>
      <c r="B1084" t="s">
        <v>1261</v>
      </c>
      <c r="C1084" t="s">
        <v>1133</v>
      </c>
      <c r="F1084" t="s">
        <v>1262</v>
      </c>
      <c r="G1084" t="s">
        <v>1263</v>
      </c>
      <c r="H1084">
        <v>547</v>
      </c>
    </row>
    <row r="1085" spans="1:8">
      <c r="A1085" t="s">
        <v>1131</v>
      </c>
      <c r="B1085" t="s">
        <v>1261</v>
      </c>
      <c r="C1085" t="s">
        <v>1133</v>
      </c>
      <c r="F1085" t="s">
        <v>1262</v>
      </c>
      <c r="G1085" t="s">
        <v>1263</v>
      </c>
      <c r="H1085">
        <v>548</v>
      </c>
    </row>
    <row r="1086" spans="1:8">
      <c r="A1086" t="s">
        <v>1131</v>
      </c>
      <c r="B1086" t="s">
        <v>1261</v>
      </c>
      <c r="C1086" t="s">
        <v>1133</v>
      </c>
      <c r="F1086" t="s">
        <v>1262</v>
      </c>
      <c r="G1086" t="s">
        <v>1263</v>
      </c>
      <c r="H1086">
        <v>549</v>
      </c>
    </row>
    <row r="1087" spans="1:8">
      <c r="A1087" t="s">
        <v>1131</v>
      </c>
      <c r="B1087" t="s">
        <v>1261</v>
      </c>
      <c r="C1087" t="s">
        <v>1133</v>
      </c>
      <c r="F1087" t="s">
        <v>1262</v>
      </c>
      <c r="G1087" t="s">
        <v>1263</v>
      </c>
      <c r="H1087">
        <v>550</v>
      </c>
    </row>
    <row r="1088" spans="1:8">
      <c r="A1088" t="s">
        <v>1131</v>
      </c>
      <c r="B1088" t="s">
        <v>1261</v>
      </c>
      <c r="C1088" t="s">
        <v>1133</v>
      </c>
      <c r="F1088" t="s">
        <v>1262</v>
      </c>
      <c r="G1088" t="s">
        <v>1263</v>
      </c>
      <c r="H1088">
        <v>551</v>
      </c>
    </row>
    <row r="1089" spans="1:8">
      <c r="A1089" t="s">
        <v>1131</v>
      </c>
      <c r="B1089" t="s">
        <v>1261</v>
      </c>
      <c r="C1089" t="s">
        <v>1133</v>
      </c>
      <c r="F1089" t="s">
        <v>1262</v>
      </c>
      <c r="G1089" t="s">
        <v>1263</v>
      </c>
      <c r="H1089">
        <v>552</v>
      </c>
    </row>
    <row r="1090" spans="1:8">
      <c r="A1090" t="s">
        <v>1131</v>
      </c>
      <c r="B1090" t="s">
        <v>1261</v>
      </c>
      <c r="C1090" t="s">
        <v>1133</v>
      </c>
      <c r="F1090" t="s">
        <v>1262</v>
      </c>
      <c r="G1090" t="s">
        <v>1263</v>
      </c>
      <c r="H1090">
        <v>553</v>
      </c>
    </row>
    <row r="1091" spans="1:8">
      <c r="A1091" t="s">
        <v>1131</v>
      </c>
      <c r="B1091" t="s">
        <v>1261</v>
      </c>
      <c r="C1091" t="s">
        <v>1133</v>
      </c>
      <c r="F1091" t="s">
        <v>1262</v>
      </c>
      <c r="G1091" t="s">
        <v>1263</v>
      </c>
      <c r="H1091">
        <v>554</v>
      </c>
    </row>
    <row r="1092" spans="1:8">
      <c r="A1092" t="s">
        <v>1131</v>
      </c>
      <c r="B1092" t="s">
        <v>1261</v>
      </c>
      <c r="C1092" t="s">
        <v>1133</v>
      </c>
      <c r="F1092" t="s">
        <v>1262</v>
      </c>
      <c r="G1092" t="s">
        <v>1263</v>
      </c>
      <c r="H1092">
        <v>555</v>
      </c>
    </row>
    <row r="1093" spans="1:8">
      <c r="A1093" t="s">
        <v>1131</v>
      </c>
      <c r="B1093" t="s">
        <v>1261</v>
      </c>
      <c r="C1093" t="s">
        <v>1133</v>
      </c>
      <c r="F1093" t="s">
        <v>1262</v>
      </c>
      <c r="G1093" t="s">
        <v>1263</v>
      </c>
      <c r="H1093">
        <v>556</v>
      </c>
    </row>
    <row r="1094" spans="1:8">
      <c r="A1094" t="s">
        <v>1131</v>
      </c>
      <c r="B1094" t="s">
        <v>1261</v>
      </c>
      <c r="C1094" t="s">
        <v>1133</v>
      </c>
      <c r="F1094" t="s">
        <v>1262</v>
      </c>
      <c r="G1094" t="s">
        <v>1263</v>
      </c>
      <c r="H1094">
        <v>557</v>
      </c>
    </row>
    <row r="1095" spans="1:8">
      <c r="A1095" t="s">
        <v>1131</v>
      </c>
      <c r="B1095" t="s">
        <v>1261</v>
      </c>
      <c r="C1095" t="s">
        <v>1133</v>
      </c>
      <c r="F1095" t="s">
        <v>1262</v>
      </c>
      <c r="G1095" t="s">
        <v>1263</v>
      </c>
      <c r="H1095">
        <v>558</v>
      </c>
    </row>
    <row r="1096" spans="1:8">
      <c r="A1096" t="s">
        <v>1131</v>
      </c>
      <c r="B1096" t="s">
        <v>1261</v>
      </c>
      <c r="C1096" t="s">
        <v>1133</v>
      </c>
      <c r="F1096" t="s">
        <v>1262</v>
      </c>
      <c r="G1096" t="s">
        <v>1263</v>
      </c>
      <c r="H1096">
        <v>559</v>
      </c>
    </row>
    <row r="1097" spans="1:8">
      <c r="A1097" t="s">
        <v>1131</v>
      </c>
      <c r="B1097" t="s">
        <v>1261</v>
      </c>
      <c r="C1097" t="s">
        <v>1133</v>
      </c>
      <c r="F1097" t="s">
        <v>1262</v>
      </c>
      <c r="G1097" t="s">
        <v>1263</v>
      </c>
      <c r="H1097">
        <v>560</v>
      </c>
    </row>
    <row r="1098" spans="1:8">
      <c r="A1098" t="s">
        <v>1131</v>
      </c>
      <c r="B1098" t="s">
        <v>1261</v>
      </c>
      <c r="C1098" t="s">
        <v>1133</v>
      </c>
      <c r="F1098" t="s">
        <v>1262</v>
      </c>
      <c r="G1098" t="s">
        <v>1263</v>
      </c>
      <c r="H1098">
        <v>561</v>
      </c>
    </row>
    <row r="1099" spans="1:8">
      <c r="A1099" t="s">
        <v>1131</v>
      </c>
      <c r="B1099" t="s">
        <v>1261</v>
      </c>
      <c r="C1099" t="s">
        <v>1133</v>
      </c>
      <c r="F1099" t="s">
        <v>1262</v>
      </c>
      <c r="G1099" t="s">
        <v>1263</v>
      </c>
      <c r="H1099">
        <v>562</v>
      </c>
    </row>
    <row r="1100" spans="1:8">
      <c r="A1100" t="s">
        <v>1131</v>
      </c>
      <c r="B1100" t="s">
        <v>1261</v>
      </c>
      <c r="C1100" t="s">
        <v>1133</v>
      </c>
      <c r="F1100" t="s">
        <v>1262</v>
      </c>
      <c r="G1100" t="s">
        <v>1263</v>
      </c>
      <c r="H1100">
        <v>563</v>
      </c>
    </row>
    <row r="1101" spans="1:8">
      <c r="A1101" t="s">
        <v>1131</v>
      </c>
      <c r="B1101" t="s">
        <v>1261</v>
      </c>
      <c r="C1101" t="s">
        <v>1133</v>
      </c>
      <c r="F1101" t="s">
        <v>1262</v>
      </c>
      <c r="G1101" t="s">
        <v>1263</v>
      </c>
      <c r="H1101">
        <v>564</v>
      </c>
    </row>
    <row r="1102" spans="1:8">
      <c r="A1102" t="s">
        <v>1131</v>
      </c>
      <c r="B1102" t="s">
        <v>1261</v>
      </c>
      <c r="C1102" t="s">
        <v>1133</v>
      </c>
      <c r="F1102" t="s">
        <v>1262</v>
      </c>
      <c r="G1102" t="s">
        <v>1263</v>
      </c>
      <c r="H1102">
        <v>565</v>
      </c>
    </row>
    <row r="1103" spans="1:8">
      <c r="A1103" t="s">
        <v>1131</v>
      </c>
      <c r="B1103" t="s">
        <v>1261</v>
      </c>
      <c r="C1103" t="s">
        <v>1133</v>
      </c>
      <c r="F1103" t="s">
        <v>1262</v>
      </c>
      <c r="G1103" t="s">
        <v>1263</v>
      </c>
      <c r="H1103">
        <v>566</v>
      </c>
    </row>
    <row r="1104" spans="1:8">
      <c r="A1104" t="s">
        <v>1131</v>
      </c>
      <c r="B1104" t="s">
        <v>1261</v>
      </c>
      <c r="C1104" t="s">
        <v>1133</v>
      </c>
      <c r="F1104" t="s">
        <v>1262</v>
      </c>
      <c r="G1104" t="s">
        <v>1263</v>
      </c>
      <c r="H1104">
        <v>567</v>
      </c>
    </row>
    <row r="1105" spans="1:8">
      <c r="A1105" t="s">
        <v>1131</v>
      </c>
      <c r="B1105" t="s">
        <v>1261</v>
      </c>
      <c r="C1105" t="s">
        <v>1133</v>
      </c>
      <c r="F1105" t="s">
        <v>1262</v>
      </c>
      <c r="G1105" t="s">
        <v>1263</v>
      </c>
      <c r="H1105">
        <v>568</v>
      </c>
    </row>
    <row r="1106" spans="1:8">
      <c r="A1106" t="s">
        <v>1131</v>
      </c>
      <c r="B1106" t="s">
        <v>1261</v>
      </c>
      <c r="C1106" t="s">
        <v>1133</v>
      </c>
      <c r="F1106" t="s">
        <v>1262</v>
      </c>
      <c r="G1106" t="s">
        <v>1263</v>
      </c>
      <c r="H1106">
        <v>569</v>
      </c>
    </row>
    <row r="1107" spans="1:8">
      <c r="A1107" t="s">
        <v>1131</v>
      </c>
      <c r="B1107" t="s">
        <v>1261</v>
      </c>
      <c r="C1107" t="s">
        <v>1133</v>
      </c>
      <c r="F1107" t="s">
        <v>1262</v>
      </c>
      <c r="G1107" t="s">
        <v>1263</v>
      </c>
      <c r="H1107">
        <v>570</v>
      </c>
    </row>
    <row r="1108" spans="1:8">
      <c r="A1108" t="s">
        <v>1131</v>
      </c>
      <c r="B1108" t="s">
        <v>1261</v>
      </c>
      <c r="C1108" t="s">
        <v>1133</v>
      </c>
      <c r="F1108" t="s">
        <v>1262</v>
      </c>
      <c r="G1108" t="s">
        <v>1263</v>
      </c>
      <c r="H1108">
        <v>571</v>
      </c>
    </row>
    <row r="1109" spans="1:8">
      <c r="A1109" t="s">
        <v>1131</v>
      </c>
      <c r="B1109" t="s">
        <v>1261</v>
      </c>
      <c r="C1109" t="s">
        <v>1133</v>
      </c>
      <c r="F1109" t="s">
        <v>1262</v>
      </c>
      <c r="G1109" t="s">
        <v>1263</v>
      </c>
      <c r="H1109">
        <v>572</v>
      </c>
    </row>
    <row r="1110" spans="1:8">
      <c r="A1110" t="s">
        <v>1131</v>
      </c>
      <c r="B1110" t="s">
        <v>1261</v>
      </c>
      <c r="C1110" t="s">
        <v>1133</v>
      </c>
      <c r="F1110" t="s">
        <v>1262</v>
      </c>
      <c r="G1110" t="s">
        <v>1263</v>
      </c>
      <c r="H1110">
        <v>573</v>
      </c>
    </row>
    <row r="1111" spans="1:8">
      <c r="A1111" t="s">
        <v>1131</v>
      </c>
      <c r="B1111" t="s">
        <v>1261</v>
      </c>
      <c r="C1111" t="s">
        <v>1133</v>
      </c>
      <c r="F1111" t="s">
        <v>1262</v>
      </c>
      <c r="G1111" t="s">
        <v>1263</v>
      </c>
      <c r="H1111">
        <v>574</v>
      </c>
    </row>
    <row r="1112" spans="1:8">
      <c r="A1112" t="s">
        <v>1131</v>
      </c>
      <c r="B1112" t="s">
        <v>1261</v>
      </c>
      <c r="C1112" t="s">
        <v>1133</v>
      </c>
      <c r="F1112" t="s">
        <v>1262</v>
      </c>
      <c r="G1112" t="s">
        <v>1263</v>
      </c>
      <c r="H1112">
        <v>575</v>
      </c>
    </row>
    <row r="1113" spans="1:8">
      <c r="A1113" t="s">
        <v>1131</v>
      </c>
      <c r="B1113" t="s">
        <v>1261</v>
      </c>
      <c r="C1113" t="s">
        <v>1133</v>
      </c>
      <c r="F1113" t="s">
        <v>1262</v>
      </c>
      <c r="G1113" t="s">
        <v>1263</v>
      </c>
      <c r="H1113">
        <v>576</v>
      </c>
    </row>
    <row r="1114" spans="1:8">
      <c r="A1114" t="s">
        <v>1131</v>
      </c>
      <c r="B1114" t="s">
        <v>1261</v>
      </c>
      <c r="C1114" t="s">
        <v>1133</v>
      </c>
      <c r="F1114" t="s">
        <v>1262</v>
      </c>
      <c r="G1114" t="s">
        <v>1263</v>
      </c>
      <c r="H1114">
        <v>577</v>
      </c>
    </row>
    <row r="1115" spans="1:8">
      <c r="A1115" t="s">
        <v>1131</v>
      </c>
      <c r="B1115" t="s">
        <v>1261</v>
      </c>
      <c r="C1115" t="s">
        <v>1133</v>
      </c>
      <c r="F1115" t="s">
        <v>1262</v>
      </c>
      <c r="G1115" t="s">
        <v>1263</v>
      </c>
      <c r="H1115">
        <v>578</v>
      </c>
    </row>
    <row r="1116" spans="1:8">
      <c r="A1116" t="s">
        <v>1131</v>
      </c>
      <c r="B1116" t="s">
        <v>1261</v>
      </c>
      <c r="C1116" t="s">
        <v>1133</v>
      </c>
      <c r="F1116" t="s">
        <v>1262</v>
      </c>
      <c r="G1116" t="s">
        <v>1263</v>
      </c>
      <c r="H1116">
        <v>579</v>
      </c>
    </row>
    <row r="1117" spans="1:8">
      <c r="A1117" t="s">
        <v>1131</v>
      </c>
      <c r="B1117" t="s">
        <v>1261</v>
      </c>
      <c r="C1117" t="s">
        <v>1133</v>
      </c>
      <c r="F1117" t="s">
        <v>1262</v>
      </c>
      <c r="G1117" t="s">
        <v>1263</v>
      </c>
      <c r="H1117">
        <v>580</v>
      </c>
    </row>
    <row r="1118" spans="1:8">
      <c r="A1118" t="s">
        <v>1131</v>
      </c>
      <c r="B1118" t="s">
        <v>1261</v>
      </c>
      <c r="C1118" t="s">
        <v>1133</v>
      </c>
      <c r="F1118" t="s">
        <v>1262</v>
      </c>
      <c r="G1118" t="s">
        <v>1263</v>
      </c>
      <c r="H1118">
        <v>581</v>
      </c>
    </row>
    <row r="1119" spans="1:8">
      <c r="A1119" t="s">
        <v>1131</v>
      </c>
      <c r="B1119" t="s">
        <v>1261</v>
      </c>
      <c r="C1119" t="s">
        <v>1133</v>
      </c>
      <c r="F1119" t="s">
        <v>1262</v>
      </c>
      <c r="G1119" t="s">
        <v>1263</v>
      </c>
      <c r="H1119">
        <v>582</v>
      </c>
    </row>
    <row r="1120" spans="1:8">
      <c r="A1120" t="s">
        <v>1131</v>
      </c>
      <c r="B1120" t="s">
        <v>1261</v>
      </c>
      <c r="C1120" t="s">
        <v>1133</v>
      </c>
      <c r="F1120" t="s">
        <v>1262</v>
      </c>
      <c r="G1120" t="s">
        <v>1263</v>
      </c>
      <c r="H1120">
        <v>583</v>
      </c>
    </row>
    <row r="1121" spans="1:8">
      <c r="A1121" t="s">
        <v>1131</v>
      </c>
      <c r="B1121" t="s">
        <v>1261</v>
      </c>
      <c r="C1121" t="s">
        <v>1133</v>
      </c>
      <c r="F1121" t="s">
        <v>1262</v>
      </c>
      <c r="G1121" t="s">
        <v>1263</v>
      </c>
      <c r="H1121">
        <v>584</v>
      </c>
    </row>
    <row r="1122" spans="1:8">
      <c r="A1122" t="s">
        <v>1131</v>
      </c>
      <c r="B1122" t="s">
        <v>1261</v>
      </c>
      <c r="C1122" t="s">
        <v>1133</v>
      </c>
      <c r="F1122" t="s">
        <v>1262</v>
      </c>
      <c r="G1122" t="s">
        <v>1263</v>
      </c>
      <c r="H1122">
        <v>585</v>
      </c>
    </row>
    <row r="1123" spans="1:8">
      <c r="A1123" t="s">
        <v>1131</v>
      </c>
      <c r="B1123" t="s">
        <v>1261</v>
      </c>
      <c r="C1123" t="s">
        <v>1133</v>
      </c>
      <c r="F1123" t="s">
        <v>1262</v>
      </c>
      <c r="G1123" t="s">
        <v>1263</v>
      </c>
      <c r="H1123">
        <v>586</v>
      </c>
    </row>
    <row r="1124" spans="1:8">
      <c r="A1124" t="s">
        <v>1131</v>
      </c>
      <c r="B1124" t="s">
        <v>1261</v>
      </c>
      <c r="C1124" t="s">
        <v>1133</v>
      </c>
      <c r="F1124" t="s">
        <v>1262</v>
      </c>
      <c r="G1124" t="s">
        <v>1263</v>
      </c>
      <c r="H1124">
        <v>587</v>
      </c>
    </row>
    <row r="1125" spans="1:8">
      <c r="A1125" t="s">
        <v>1131</v>
      </c>
      <c r="B1125" t="s">
        <v>1261</v>
      </c>
      <c r="C1125" t="s">
        <v>1133</v>
      </c>
      <c r="F1125" t="s">
        <v>1262</v>
      </c>
      <c r="G1125" t="s">
        <v>1263</v>
      </c>
      <c r="H1125">
        <v>588</v>
      </c>
    </row>
    <row r="1126" spans="1:8">
      <c r="A1126" t="s">
        <v>1131</v>
      </c>
      <c r="B1126" t="s">
        <v>1261</v>
      </c>
      <c r="C1126" t="s">
        <v>1133</v>
      </c>
      <c r="F1126" t="s">
        <v>1262</v>
      </c>
      <c r="G1126" t="s">
        <v>1263</v>
      </c>
      <c r="H1126">
        <v>589</v>
      </c>
    </row>
    <row r="1127" spans="1:8">
      <c r="A1127" t="s">
        <v>1131</v>
      </c>
      <c r="B1127" t="s">
        <v>1261</v>
      </c>
      <c r="C1127" t="s">
        <v>1133</v>
      </c>
      <c r="F1127" t="s">
        <v>1262</v>
      </c>
      <c r="G1127" t="s">
        <v>1263</v>
      </c>
      <c r="H1127">
        <v>590</v>
      </c>
    </row>
    <row r="1128" spans="1:8">
      <c r="A1128" t="s">
        <v>1131</v>
      </c>
      <c r="B1128" t="s">
        <v>1261</v>
      </c>
      <c r="C1128" t="s">
        <v>1133</v>
      </c>
      <c r="F1128" t="s">
        <v>1262</v>
      </c>
      <c r="G1128" t="s">
        <v>1263</v>
      </c>
      <c r="H1128">
        <v>591</v>
      </c>
    </row>
    <row r="1129" spans="1:8">
      <c r="A1129" t="s">
        <v>1131</v>
      </c>
      <c r="B1129" t="s">
        <v>1261</v>
      </c>
      <c r="C1129" t="s">
        <v>1133</v>
      </c>
      <c r="F1129" t="s">
        <v>1262</v>
      </c>
      <c r="G1129" t="s">
        <v>1263</v>
      </c>
      <c r="H1129">
        <v>592</v>
      </c>
    </row>
    <row r="1130" spans="1:8">
      <c r="A1130" t="s">
        <v>1131</v>
      </c>
      <c r="B1130" t="s">
        <v>1261</v>
      </c>
      <c r="C1130" t="s">
        <v>1133</v>
      </c>
      <c r="F1130" t="s">
        <v>1262</v>
      </c>
      <c r="G1130" t="s">
        <v>1263</v>
      </c>
      <c r="H1130">
        <v>593</v>
      </c>
    </row>
    <row r="1131" spans="1:8">
      <c r="A1131" t="s">
        <v>1131</v>
      </c>
      <c r="B1131" t="s">
        <v>1261</v>
      </c>
      <c r="C1131" t="s">
        <v>1133</v>
      </c>
      <c r="F1131" t="s">
        <v>1262</v>
      </c>
      <c r="G1131" t="s">
        <v>1263</v>
      </c>
      <c r="H1131">
        <v>594</v>
      </c>
    </row>
    <row r="1132" spans="1:8">
      <c r="A1132" t="s">
        <v>1131</v>
      </c>
      <c r="B1132" t="s">
        <v>1261</v>
      </c>
      <c r="C1132" t="s">
        <v>1133</v>
      </c>
      <c r="F1132" t="s">
        <v>1262</v>
      </c>
      <c r="G1132" t="s">
        <v>1263</v>
      </c>
      <c r="H1132">
        <v>595</v>
      </c>
    </row>
    <row r="1133" spans="1:8">
      <c r="A1133" t="s">
        <v>1131</v>
      </c>
      <c r="B1133" t="s">
        <v>1261</v>
      </c>
      <c r="C1133" t="s">
        <v>1133</v>
      </c>
      <c r="F1133" t="s">
        <v>1262</v>
      </c>
      <c r="G1133" t="s">
        <v>1263</v>
      </c>
      <c r="H1133">
        <v>596</v>
      </c>
    </row>
    <row r="1134" spans="1:8">
      <c r="A1134" t="s">
        <v>1131</v>
      </c>
      <c r="B1134" t="s">
        <v>1261</v>
      </c>
      <c r="C1134" t="s">
        <v>1133</v>
      </c>
      <c r="F1134" t="s">
        <v>1262</v>
      </c>
      <c r="G1134" t="s">
        <v>1263</v>
      </c>
      <c r="H1134">
        <v>597</v>
      </c>
    </row>
    <row r="1135" spans="1:8">
      <c r="A1135" t="s">
        <v>1131</v>
      </c>
      <c r="B1135" t="s">
        <v>1261</v>
      </c>
      <c r="C1135" t="s">
        <v>1133</v>
      </c>
      <c r="F1135" t="s">
        <v>1262</v>
      </c>
      <c r="G1135" t="s">
        <v>1263</v>
      </c>
      <c r="H1135">
        <v>598</v>
      </c>
    </row>
    <row r="1136" spans="1:8">
      <c r="A1136" t="s">
        <v>1131</v>
      </c>
      <c r="B1136" t="s">
        <v>1261</v>
      </c>
      <c r="C1136" t="s">
        <v>1133</v>
      </c>
      <c r="F1136" t="s">
        <v>1262</v>
      </c>
      <c r="G1136" t="s">
        <v>1263</v>
      </c>
      <c r="H1136">
        <v>599</v>
      </c>
    </row>
    <row r="1137" spans="1:8">
      <c r="A1137" t="s">
        <v>1131</v>
      </c>
      <c r="B1137" t="s">
        <v>1261</v>
      </c>
      <c r="C1137" t="s">
        <v>1133</v>
      </c>
      <c r="F1137" t="s">
        <v>1262</v>
      </c>
      <c r="G1137" t="s">
        <v>1263</v>
      </c>
      <c r="H1137">
        <v>600</v>
      </c>
    </row>
    <row r="1138" spans="1:8">
      <c r="A1138" t="s">
        <v>1131</v>
      </c>
      <c r="B1138" t="s">
        <v>1261</v>
      </c>
      <c r="C1138" t="s">
        <v>1133</v>
      </c>
      <c r="F1138" t="s">
        <v>1262</v>
      </c>
      <c r="G1138" t="s">
        <v>1263</v>
      </c>
      <c r="H1138">
        <v>601</v>
      </c>
    </row>
    <row r="1139" spans="1:8">
      <c r="A1139" t="s">
        <v>1131</v>
      </c>
      <c r="B1139" t="s">
        <v>1261</v>
      </c>
      <c r="C1139" t="s">
        <v>1133</v>
      </c>
      <c r="F1139" t="s">
        <v>1262</v>
      </c>
      <c r="G1139" t="s">
        <v>1263</v>
      </c>
      <c r="H1139">
        <v>602</v>
      </c>
    </row>
    <row r="1140" spans="1:8">
      <c r="A1140" t="s">
        <v>1131</v>
      </c>
      <c r="B1140" t="s">
        <v>1261</v>
      </c>
      <c r="C1140" t="s">
        <v>1133</v>
      </c>
      <c r="F1140" t="s">
        <v>1262</v>
      </c>
      <c r="G1140" t="s">
        <v>1263</v>
      </c>
      <c r="H1140">
        <v>603</v>
      </c>
    </row>
    <row r="1141" spans="1:8">
      <c r="A1141" t="s">
        <v>1131</v>
      </c>
      <c r="B1141" t="s">
        <v>1261</v>
      </c>
      <c r="C1141" t="s">
        <v>1133</v>
      </c>
      <c r="F1141" t="s">
        <v>1262</v>
      </c>
      <c r="G1141" t="s">
        <v>1263</v>
      </c>
      <c r="H1141">
        <v>604</v>
      </c>
    </row>
    <row r="1142" spans="1:8">
      <c r="A1142" t="s">
        <v>1131</v>
      </c>
      <c r="B1142" t="s">
        <v>1261</v>
      </c>
      <c r="C1142" t="s">
        <v>1133</v>
      </c>
      <c r="F1142" t="s">
        <v>1262</v>
      </c>
      <c r="G1142" t="s">
        <v>1263</v>
      </c>
      <c r="H1142">
        <v>605</v>
      </c>
    </row>
    <row r="1143" spans="1:8">
      <c r="A1143" t="s">
        <v>1131</v>
      </c>
      <c r="B1143" t="s">
        <v>1261</v>
      </c>
      <c r="C1143" t="s">
        <v>1133</v>
      </c>
      <c r="F1143" t="s">
        <v>1262</v>
      </c>
      <c r="G1143" t="s">
        <v>1263</v>
      </c>
      <c r="H1143">
        <v>606</v>
      </c>
    </row>
    <row r="1144" spans="1:8">
      <c r="A1144" t="s">
        <v>1131</v>
      </c>
      <c r="B1144" t="s">
        <v>1261</v>
      </c>
      <c r="C1144" t="s">
        <v>1133</v>
      </c>
      <c r="F1144" t="s">
        <v>1262</v>
      </c>
      <c r="G1144" t="s">
        <v>1263</v>
      </c>
      <c r="H1144">
        <v>607</v>
      </c>
    </row>
    <row r="1145" spans="1:8">
      <c r="A1145" t="s">
        <v>1131</v>
      </c>
      <c r="B1145" t="s">
        <v>1261</v>
      </c>
      <c r="C1145" t="s">
        <v>1133</v>
      </c>
      <c r="F1145" t="s">
        <v>1262</v>
      </c>
      <c r="G1145" t="s">
        <v>1263</v>
      </c>
      <c r="H1145">
        <v>608</v>
      </c>
    </row>
    <row r="1146" spans="1:8">
      <c r="A1146" t="s">
        <v>1131</v>
      </c>
      <c r="B1146" t="s">
        <v>1261</v>
      </c>
      <c r="C1146" t="s">
        <v>1133</v>
      </c>
      <c r="F1146" t="s">
        <v>1262</v>
      </c>
      <c r="G1146" t="s">
        <v>1263</v>
      </c>
      <c r="H1146">
        <v>609</v>
      </c>
    </row>
    <row r="1147" spans="1:8">
      <c r="A1147" t="s">
        <v>1131</v>
      </c>
      <c r="B1147" t="s">
        <v>1261</v>
      </c>
      <c r="C1147" t="s">
        <v>1133</v>
      </c>
      <c r="F1147" t="s">
        <v>1262</v>
      </c>
      <c r="G1147" t="s">
        <v>1263</v>
      </c>
      <c r="H1147">
        <v>610</v>
      </c>
    </row>
    <row r="1148" spans="1:8">
      <c r="A1148" t="s">
        <v>1131</v>
      </c>
      <c r="B1148" t="s">
        <v>1261</v>
      </c>
      <c r="C1148" t="s">
        <v>1133</v>
      </c>
      <c r="F1148" t="s">
        <v>1262</v>
      </c>
      <c r="G1148" t="s">
        <v>1263</v>
      </c>
      <c r="H1148">
        <v>611</v>
      </c>
    </row>
    <row r="1149" spans="1:8">
      <c r="A1149" t="s">
        <v>1131</v>
      </c>
      <c r="B1149" t="s">
        <v>1261</v>
      </c>
      <c r="C1149" t="s">
        <v>1133</v>
      </c>
      <c r="F1149" t="s">
        <v>1262</v>
      </c>
      <c r="G1149" t="s">
        <v>1263</v>
      </c>
      <c r="H1149">
        <v>612</v>
      </c>
    </row>
    <row r="1150" spans="1:8">
      <c r="A1150" t="s">
        <v>1131</v>
      </c>
      <c r="B1150" t="s">
        <v>1261</v>
      </c>
      <c r="C1150" t="s">
        <v>1133</v>
      </c>
      <c r="F1150" t="s">
        <v>1262</v>
      </c>
      <c r="G1150" t="s">
        <v>1263</v>
      </c>
      <c r="H1150">
        <v>613</v>
      </c>
    </row>
    <row r="1151" spans="1:8">
      <c r="A1151" t="s">
        <v>1131</v>
      </c>
      <c r="B1151" t="s">
        <v>1261</v>
      </c>
      <c r="C1151" t="s">
        <v>1133</v>
      </c>
      <c r="F1151" t="s">
        <v>1262</v>
      </c>
      <c r="G1151" t="s">
        <v>1263</v>
      </c>
      <c r="H1151">
        <v>614</v>
      </c>
    </row>
    <row r="1152" spans="1:8">
      <c r="A1152" t="s">
        <v>1131</v>
      </c>
      <c r="B1152" t="s">
        <v>1261</v>
      </c>
      <c r="C1152" t="s">
        <v>1133</v>
      </c>
      <c r="F1152" t="s">
        <v>1262</v>
      </c>
      <c r="G1152" t="s">
        <v>1263</v>
      </c>
      <c r="H1152">
        <v>615</v>
      </c>
    </row>
    <row r="1153" spans="1:9">
      <c r="A1153" t="s">
        <v>1131</v>
      </c>
      <c r="B1153" t="s">
        <v>1261</v>
      </c>
      <c r="C1153" t="s">
        <v>1133</v>
      </c>
      <c r="F1153" t="s">
        <v>1262</v>
      </c>
      <c r="G1153" t="s">
        <v>1263</v>
      </c>
      <c r="H1153">
        <v>616</v>
      </c>
    </row>
    <row r="1154" spans="1:9">
      <c r="A1154" t="s">
        <v>1131</v>
      </c>
      <c r="B1154" t="s">
        <v>1261</v>
      </c>
      <c r="C1154" t="s">
        <v>1133</v>
      </c>
      <c r="F1154" t="s">
        <v>1262</v>
      </c>
      <c r="G1154" t="s">
        <v>1263</v>
      </c>
      <c r="H1154">
        <v>617</v>
      </c>
    </row>
    <row r="1155" spans="1:9">
      <c r="A1155" t="s">
        <v>1131</v>
      </c>
      <c r="B1155" t="s">
        <v>1261</v>
      </c>
      <c r="C1155" t="s">
        <v>1133</v>
      </c>
      <c r="F1155" t="s">
        <v>1262</v>
      </c>
      <c r="G1155" t="s">
        <v>1263</v>
      </c>
      <c r="H1155">
        <v>618</v>
      </c>
    </row>
    <row r="1156" spans="1:9">
      <c r="A1156" t="s">
        <v>1131</v>
      </c>
      <c r="B1156" t="s">
        <v>1261</v>
      </c>
      <c r="C1156" t="s">
        <v>1133</v>
      </c>
      <c r="F1156" t="s">
        <v>1262</v>
      </c>
      <c r="G1156" t="s">
        <v>1263</v>
      </c>
      <c r="H1156">
        <v>619</v>
      </c>
    </row>
    <row r="1157" spans="1:9">
      <c r="A1157" t="s">
        <v>1131</v>
      </c>
      <c r="B1157" t="s">
        <v>1261</v>
      </c>
      <c r="C1157" t="s">
        <v>1133</v>
      </c>
      <c r="F1157" t="s">
        <v>1262</v>
      </c>
      <c r="G1157" t="s">
        <v>1263</v>
      </c>
      <c r="H1157">
        <v>620</v>
      </c>
    </row>
    <row r="1158" spans="1:9">
      <c r="A1158" t="s">
        <v>1131</v>
      </c>
      <c r="B1158" t="s">
        <v>1261</v>
      </c>
      <c r="C1158" t="s">
        <v>1133</v>
      </c>
      <c r="F1158" t="s">
        <v>1262</v>
      </c>
      <c r="G1158" t="s">
        <v>1263</v>
      </c>
      <c r="H1158">
        <v>621</v>
      </c>
    </row>
    <row r="1159" spans="1:9">
      <c r="A1159" t="s">
        <v>1131</v>
      </c>
      <c r="B1159" t="s">
        <v>1261</v>
      </c>
      <c r="C1159" t="s">
        <v>1133</v>
      </c>
      <c r="F1159" t="s">
        <v>1262</v>
      </c>
      <c r="G1159" t="s">
        <v>1263</v>
      </c>
      <c r="H1159">
        <v>622</v>
      </c>
    </row>
    <row r="1160" spans="1:9">
      <c r="A1160" t="s">
        <v>1131</v>
      </c>
      <c r="B1160" t="s">
        <v>1261</v>
      </c>
      <c r="C1160" t="s">
        <v>1133</v>
      </c>
      <c r="F1160" t="s">
        <v>1262</v>
      </c>
      <c r="G1160" t="s">
        <v>1263</v>
      </c>
      <c r="H1160">
        <v>623</v>
      </c>
    </row>
    <row r="1161" spans="1:9">
      <c r="A1161" t="s">
        <v>1131</v>
      </c>
      <c r="B1161" t="s">
        <v>1261</v>
      </c>
      <c r="C1161" t="s">
        <v>1133</v>
      </c>
      <c r="F1161" t="s">
        <v>1262</v>
      </c>
      <c r="G1161" t="s">
        <v>1263</v>
      </c>
      <c r="H1161">
        <v>624</v>
      </c>
    </row>
    <row r="1162" spans="1:9">
      <c r="A1162" t="s">
        <v>1131</v>
      </c>
      <c r="B1162" t="s">
        <v>1261</v>
      </c>
      <c r="C1162" t="s">
        <v>1133</v>
      </c>
      <c r="F1162" t="s">
        <v>1262</v>
      </c>
      <c r="G1162" t="s">
        <v>1263</v>
      </c>
      <c r="H1162">
        <v>625</v>
      </c>
    </row>
    <row r="1163" spans="1:9">
      <c r="A1163" t="s">
        <v>1131</v>
      </c>
      <c r="B1163" t="s">
        <v>1261</v>
      </c>
      <c r="C1163" t="s">
        <v>1133</v>
      </c>
      <c r="F1163" t="s">
        <v>1262</v>
      </c>
      <c r="G1163" t="s">
        <v>1263</v>
      </c>
      <c r="H1163">
        <v>626</v>
      </c>
    </row>
    <row r="1164" spans="1:9">
      <c r="A1164" t="s">
        <v>1131</v>
      </c>
      <c r="B1164" t="s">
        <v>1261</v>
      </c>
      <c r="C1164" t="s">
        <v>1133</v>
      </c>
      <c r="F1164" t="s">
        <v>1262</v>
      </c>
      <c r="G1164" t="s">
        <v>1263</v>
      </c>
      <c r="H1164">
        <v>627</v>
      </c>
    </row>
    <row r="1165" spans="1:9">
      <c r="A1165" t="s">
        <v>1271</v>
      </c>
      <c r="B1165" t="s">
        <v>1272</v>
      </c>
      <c r="C1165" t="s">
        <v>1273</v>
      </c>
      <c r="D1165" t="s">
        <v>1274</v>
      </c>
      <c r="F1165" t="s">
        <v>1275</v>
      </c>
      <c r="G1165" t="s">
        <v>1276</v>
      </c>
      <c r="H1165">
        <v>2</v>
      </c>
      <c r="I1165" t="s">
        <v>1277</v>
      </c>
    </row>
    <row r="1166" spans="1:9">
      <c r="A1166" t="s">
        <v>1271</v>
      </c>
      <c r="B1166" t="s">
        <v>1272</v>
      </c>
      <c r="C1166" t="s">
        <v>1278</v>
      </c>
      <c r="D1166" t="s">
        <v>1279</v>
      </c>
      <c r="F1166" t="s">
        <v>1280</v>
      </c>
      <c r="G1166" t="s">
        <v>1276</v>
      </c>
      <c r="H1166">
        <v>3</v>
      </c>
      <c r="I1166" t="s">
        <v>1281</v>
      </c>
    </row>
    <row r="1167" spans="1:9">
      <c r="A1167" t="s">
        <v>1271</v>
      </c>
      <c r="B1167" t="s">
        <v>1272</v>
      </c>
      <c r="C1167" t="s">
        <v>1282</v>
      </c>
      <c r="D1167" t="s">
        <v>1283</v>
      </c>
      <c r="F1167" t="s">
        <v>1280</v>
      </c>
      <c r="G1167" t="s">
        <v>1276</v>
      </c>
      <c r="H1167">
        <v>4</v>
      </c>
      <c r="I1167" t="s">
        <v>1284</v>
      </c>
    </row>
    <row r="1168" spans="1:9">
      <c r="A1168" t="s">
        <v>1271</v>
      </c>
      <c r="B1168" t="s">
        <v>1272</v>
      </c>
      <c r="C1168" t="s">
        <v>1285</v>
      </c>
      <c r="D1168" t="s">
        <v>1286</v>
      </c>
      <c r="F1168" t="s">
        <v>1287</v>
      </c>
      <c r="G1168" t="s">
        <v>1276</v>
      </c>
      <c r="H1168">
        <v>5</v>
      </c>
      <c r="I1168" t="s">
        <v>1288</v>
      </c>
    </row>
    <row r="1169" spans="1:9">
      <c r="A1169" t="s">
        <v>1271</v>
      </c>
      <c r="B1169" t="s">
        <v>1289</v>
      </c>
      <c r="D1169" t="s">
        <v>1290</v>
      </c>
      <c r="E1169" t="s">
        <v>1291</v>
      </c>
      <c r="F1169" t="s">
        <v>1292</v>
      </c>
      <c r="G1169" t="s">
        <v>1293</v>
      </c>
      <c r="H1169">
        <v>2</v>
      </c>
      <c r="I1169" t="s">
        <v>1294</v>
      </c>
    </row>
    <row r="1170" spans="1:9">
      <c r="A1170" t="s">
        <v>1271</v>
      </c>
      <c r="B1170" t="s">
        <v>1289</v>
      </c>
      <c r="D1170" t="s">
        <v>1295</v>
      </c>
      <c r="E1170" t="s">
        <v>1296</v>
      </c>
      <c r="F1170" t="s">
        <v>1297</v>
      </c>
      <c r="G1170" t="s">
        <v>1293</v>
      </c>
      <c r="H1170">
        <v>3</v>
      </c>
      <c r="I1170" t="s">
        <v>1298</v>
      </c>
    </row>
    <row r="1171" spans="1:9">
      <c r="A1171" t="s">
        <v>1271</v>
      </c>
      <c r="B1171" t="s">
        <v>1289</v>
      </c>
      <c r="D1171" t="s">
        <v>1295</v>
      </c>
      <c r="E1171" t="s">
        <v>1291</v>
      </c>
      <c r="F1171" t="s">
        <v>1299</v>
      </c>
      <c r="G1171" t="s">
        <v>1293</v>
      </c>
      <c r="H1171">
        <v>4</v>
      </c>
      <c r="I1171" t="s">
        <v>1300</v>
      </c>
    </row>
    <row r="1172" spans="1:9">
      <c r="A1172" t="s">
        <v>1271</v>
      </c>
      <c r="B1172" t="s">
        <v>1289</v>
      </c>
      <c r="D1172" t="s">
        <v>1295</v>
      </c>
      <c r="E1172" t="s">
        <v>1301</v>
      </c>
      <c r="F1172" t="s">
        <v>1299</v>
      </c>
      <c r="G1172" t="s">
        <v>1293</v>
      </c>
      <c r="H1172">
        <v>5</v>
      </c>
      <c r="I1172" t="s">
        <v>1302</v>
      </c>
    </row>
    <row r="1173" spans="1:9">
      <c r="A1173" t="s">
        <v>1271</v>
      </c>
      <c r="B1173" t="s">
        <v>1289</v>
      </c>
      <c r="D1173" t="s">
        <v>1303</v>
      </c>
      <c r="E1173" t="s">
        <v>1304</v>
      </c>
      <c r="F1173" t="s">
        <v>1292</v>
      </c>
      <c r="G1173" t="s">
        <v>1293</v>
      </c>
      <c r="H1173">
        <v>6</v>
      </c>
      <c r="I1173" t="s">
        <v>1305</v>
      </c>
    </row>
    <row r="1174" spans="1:9">
      <c r="A1174" t="s">
        <v>1271</v>
      </c>
      <c r="B1174" t="s">
        <v>1289</v>
      </c>
      <c r="D1174" t="s">
        <v>1306</v>
      </c>
      <c r="E1174" t="s">
        <v>1304</v>
      </c>
      <c r="F1174" t="s">
        <v>1299</v>
      </c>
      <c r="G1174" t="s">
        <v>1293</v>
      </c>
      <c r="H1174">
        <v>7</v>
      </c>
      <c r="I1174" t="s">
        <v>1307</v>
      </c>
    </row>
    <row r="1175" spans="1:9">
      <c r="A1175" t="s">
        <v>1271</v>
      </c>
      <c r="B1175" t="s">
        <v>1289</v>
      </c>
      <c r="D1175" t="s">
        <v>1308</v>
      </c>
      <c r="E1175" t="s">
        <v>1304</v>
      </c>
      <c r="F1175" t="s">
        <v>1299</v>
      </c>
      <c r="G1175" t="s">
        <v>1293</v>
      </c>
      <c r="H1175">
        <v>8</v>
      </c>
      <c r="I1175" t="s">
        <v>1309</v>
      </c>
    </row>
    <row r="1176" spans="1:9">
      <c r="A1176" t="s">
        <v>1271</v>
      </c>
      <c r="B1176" t="s">
        <v>1289</v>
      </c>
      <c r="D1176" t="s">
        <v>1310</v>
      </c>
      <c r="E1176" t="s">
        <v>1291</v>
      </c>
      <c r="F1176" t="s">
        <v>1311</v>
      </c>
      <c r="G1176" t="s">
        <v>1293</v>
      </c>
      <c r="H1176">
        <v>9</v>
      </c>
      <c r="I1176" t="s">
        <v>1312</v>
      </c>
    </row>
    <row r="1177" spans="1:9">
      <c r="A1177" t="s">
        <v>1271</v>
      </c>
      <c r="B1177" t="s">
        <v>1313</v>
      </c>
      <c r="D1177" t="s">
        <v>1314</v>
      </c>
      <c r="E1177" t="s">
        <v>1315</v>
      </c>
      <c r="F1177" t="s">
        <v>1297</v>
      </c>
      <c r="G1177" t="s">
        <v>1316</v>
      </c>
      <c r="H1177">
        <v>2</v>
      </c>
      <c r="I1177" t="s">
        <v>1317</v>
      </c>
    </row>
    <row r="1178" spans="1:9">
      <c r="A1178" t="s">
        <v>1271</v>
      </c>
      <c r="B1178" t="s">
        <v>1313</v>
      </c>
      <c r="D1178" t="s">
        <v>1318</v>
      </c>
      <c r="E1178" t="s">
        <v>1315</v>
      </c>
      <c r="F1178" t="s">
        <v>1297</v>
      </c>
      <c r="G1178" t="s">
        <v>1316</v>
      </c>
      <c r="H1178">
        <v>3</v>
      </c>
      <c r="I1178" t="s">
        <v>1317</v>
      </c>
    </row>
    <row r="1179" spans="1:9">
      <c r="A1179" t="s">
        <v>1271</v>
      </c>
      <c r="B1179" t="s">
        <v>1313</v>
      </c>
      <c r="D1179" t="s">
        <v>1319</v>
      </c>
      <c r="E1179" t="s">
        <v>1315</v>
      </c>
      <c r="F1179" t="s">
        <v>1297</v>
      </c>
      <c r="G1179" t="s">
        <v>1316</v>
      </c>
      <c r="H1179">
        <v>4</v>
      </c>
      <c r="I1179" t="s">
        <v>1317</v>
      </c>
    </row>
    <row r="1180" spans="1:9">
      <c r="A1180" t="s">
        <v>1271</v>
      </c>
      <c r="B1180" t="s">
        <v>1313</v>
      </c>
      <c r="D1180" t="s">
        <v>1320</v>
      </c>
      <c r="E1180" t="s">
        <v>1321</v>
      </c>
      <c r="F1180" t="s">
        <v>1297</v>
      </c>
      <c r="G1180" t="s">
        <v>1316</v>
      </c>
      <c r="H1180">
        <v>5</v>
      </c>
      <c r="I1180" t="s">
        <v>1317</v>
      </c>
    </row>
    <row r="1181" spans="1:9">
      <c r="A1181" t="s">
        <v>1271</v>
      </c>
      <c r="B1181" t="s">
        <v>1313</v>
      </c>
      <c r="D1181" t="s">
        <v>1322</v>
      </c>
      <c r="E1181" t="s">
        <v>1321</v>
      </c>
      <c r="F1181" t="s">
        <v>1297</v>
      </c>
      <c r="G1181" t="s">
        <v>1316</v>
      </c>
      <c r="H1181">
        <v>6</v>
      </c>
      <c r="I1181" t="s">
        <v>1317</v>
      </c>
    </row>
    <row r="1182" spans="1:9">
      <c r="A1182" t="s">
        <v>1271</v>
      </c>
      <c r="B1182" t="s">
        <v>1313</v>
      </c>
      <c r="D1182" t="s">
        <v>1323</v>
      </c>
      <c r="E1182" t="s">
        <v>1324</v>
      </c>
      <c r="F1182" t="s">
        <v>1297</v>
      </c>
      <c r="G1182" t="s">
        <v>1316</v>
      </c>
      <c r="H1182">
        <v>7</v>
      </c>
      <c r="I1182" t="s">
        <v>1325</v>
      </c>
    </row>
    <row r="1183" spans="1:9">
      <c r="A1183" t="s">
        <v>1271</v>
      </c>
      <c r="B1183" t="s">
        <v>1326</v>
      </c>
      <c r="D1183" t="s">
        <v>1327</v>
      </c>
      <c r="E1183" t="s">
        <v>1328</v>
      </c>
      <c r="F1183" t="s">
        <v>1297</v>
      </c>
      <c r="G1183" t="s">
        <v>1329</v>
      </c>
      <c r="H1183">
        <v>2</v>
      </c>
      <c r="I1183" t="s">
        <v>1330</v>
      </c>
    </row>
    <row r="1184" spans="1:9">
      <c r="A1184" t="s">
        <v>1271</v>
      </c>
      <c r="B1184" t="s">
        <v>1326</v>
      </c>
      <c r="D1184" t="s">
        <v>1331</v>
      </c>
      <c r="E1184" t="s">
        <v>1328</v>
      </c>
      <c r="F1184" t="s">
        <v>1297</v>
      </c>
      <c r="G1184" t="s">
        <v>1329</v>
      </c>
      <c r="H1184">
        <v>3</v>
      </c>
      <c r="I1184" t="s">
        <v>1317</v>
      </c>
    </row>
    <row r="1185" spans="1:9">
      <c r="A1185" t="s">
        <v>1271</v>
      </c>
      <c r="B1185" t="s">
        <v>1326</v>
      </c>
      <c r="D1185" t="s">
        <v>1332</v>
      </c>
      <c r="E1185" t="s">
        <v>1328</v>
      </c>
      <c r="F1185" t="s">
        <v>1297</v>
      </c>
      <c r="G1185" t="s">
        <v>1329</v>
      </c>
      <c r="H1185">
        <v>4</v>
      </c>
      <c r="I1185" t="s">
        <v>1317</v>
      </c>
    </row>
    <row r="1186" spans="1:9">
      <c r="A1186" t="s">
        <v>1271</v>
      </c>
      <c r="B1186" t="s">
        <v>1326</v>
      </c>
      <c r="D1186" t="s">
        <v>1333</v>
      </c>
      <c r="E1186" t="s">
        <v>1328</v>
      </c>
      <c r="F1186" t="s">
        <v>1297</v>
      </c>
      <c r="G1186" t="s">
        <v>1329</v>
      </c>
      <c r="H1186">
        <v>5</v>
      </c>
      <c r="I1186" t="s">
        <v>1317</v>
      </c>
    </row>
    <row r="1187" spans="1:9">
      <c r="A1187" t="s">
        <v>1271</v>
      </c>
      <c r="B1187" t="s">
        <v>1334</v>
      </c>
      <c r="D1187" t="s">
        <v>1335</v>
      </c>
      <c r="E1187" t="s">
        <v>761</v>
      </c>
      <c r="F1187" t="s">
        <v>1297</v>
      </c>
      <c r="G1187" t="s">
        <v>1336</v>
      </c>
      <c r="H1187">
        <v>2</v>
      </c>
      <c r="I1187" t="s">
        <v>1317</v>
      </c>
    </row>
    <row r="1188" spans="1:9">
      <c r="A1188" t="s">
        <v>1271</v>
      </c>
      <c r="B1188" t="s">
        <v>1334</v>
      </c>
      <c r="D1188" t="s">
        <v>1337</v>
      </c>
      <c r="E1188" t="s">
        <v>761</v>
      </c>
      <c r="F1188" t="s">
        <v>1297</v>
      </c>
      <c r="G1188" t="s">
        <v>1336</v>
      </c>
      <c r="H1188">
        <v>3</v>
      </c>
      <c r="I1188" t="s">
        <v>1317</v>
      </c>
    </row>
    <row r="1189" spans="1:9">
      <c r="A1189" t="s">
        <v>1271</v>
      </c>
      <c r="B1189" t="s">
        <v>1334</v>
      </c>
      <c r="D1189" t="s">
        <v>1338</v>
      </c>
      <c r="E1189" t="s">
        <v>761</v>
      </c>
      <c r="F1189" t="s">
        <v>1297</v>
      </c>
      <c r="G1189" t="s">
        <v>1336</v>
      </c>
      <c r="H1189">
        <v>4</v>
      </c>
      <c r="I1189" t="s">
        <v>1317</v>
      </c>
    </row>
    <row r="1190" spans="1:9">
      <c r="A1190" t="s">
        <v>1271</v>
      </c>
      <c r="B1190" t="s">
        <v>1334</v>
      </c>
      <c r="D1190" t="s">
        <v>1339</v>
      </c>
      <c r="E1190" t="s">
        <v>761</v>
      </c>
      <c r="F1190" t="s">
        <v>1297</v>
      </c>
      <c r="G1190" t="s">
        <v>1336</v>
      </c>
      <c r="H1190">
        <v>5</v>
      </c>
      <c r="I1190" t="s">
        <v>1317</v>
      </c>
    </row>
    <row r="1191" spans="1:9">
      <c r="A1191" t="s">
        <v>1271</v>
      </c>
      <c r="B1191" t="s">
        <v>1334</v>
      </c>
      <c r="D1191" t="s">
        <v>1340</v>
      </c>
      <c r="E1191" t="s">
        <v>761</v>
      </c>
      <c r="F1191" t="s">
        <v>1292</v>
      </c>
      <c r="G1191" t="s">
        <v>1336</v>
      </c>
      <c r="H1191">
        <v>6</v>
      </c>
      <c r="I1191" t="s">
        <v>1341</v>
      </c>
    </row>
    <row r="1192" spans="1:9">
      <c r="A1192" t="s">
        <v>1271</v>
      </c>
      <c r="B1192" t="s">
        <v>1342</v>
      </c>
      <c r="D1192" t="s">
        <v>1332</v>
      </c>
      <c r="E1192" t="s">
        <v>1343</v>
      </c>
      <c r="F1192" t="s">
        <v>1297</v>
      </c>
      <c r="G1192" t="s">
        <v>1344</v>
      </c>
      <c r="H1192">
        <v>2</v>
      </c>
      <c r="I1192" t="s">
        <v>1345</v>
      </c>
    </row>
    <row r="1193" spans="1:9">
      <c r="A1193" t="s">
        <v>1271</v>
      </c>
      <c r="B1193" t="s">
        <v>1342</v>
      </c>
      <c r="D1193" t="s">
        <v>1333</v>
      </c>
      <c r="E1193" t="s">
        <v>1343</v>
      </c>
      <c r="F1193" t="s">
        <v>1297</v>
      </c>
      <c r="G1193" t="s">
        <v>1344</v>
      </c>
      <c r="H1193">
        <v>3</v>
      </c>
      <c r="I1193" t="s">
        <v>1317</v>
      </c>
    </row>
    <row r="1194" spans="1:9">
      <c r="A1194" t="s">
        <v>1271</v>
      </c>
      <c r="B1194" t="s">
        <v>1342</v>
      </c>
      <c r="D1194" t="s">
        <v>1346</v>
      </c>
      <c r="E1194" t="s">
        <v>1343</v>
      </c>
      <c r="F1194" t="s">
        <v>1297</v>
      </c>
      <c r="G1194" t="s">
        <v>1344</v>
      </c>
      <c r="H1194">
        <v>4</v>
      </c>
      <c r="I1194" t="s">
        <v>1317</v>
      </c>
    </row>
    <row r="1195" spans="1:9">
      <c r="A1195" t="s">
        <v>1271</v>
      </c>
      <c r="B1195" t="s">
        <v>1342</v>
      </c>
      <c r="D1195" t="s">
        <v>1347</v>
      </c>
      <c r="E1195" t="s">
        <v>1343</v>
      </c>
      <c r="F1195" t="s">
        <v>1297</v>
      </c>
      <c r="G1195" t="s">
        <v>1344</v>
      </c>
      <c r="H1195">
        <v>5</v>
      </c>
      <c r="I1195" t="s">
        <v>1317</v>
      </c>
    </row>
    <row r="1196" spans="1:9">
      <c r="A1196" t="s">
        <v>1271</v>
      </c>
      <c r="B1196" t="s">
        <v>1342</v>
      </c>
      <c r="D1196" t="s">
        <v>1348</v>
      </c>
      <c r="E1196" t="s">
        <v>1343</v>
      </c>
      <c r="F1196" t="s">
        <v>1297</v>
      </c>
      <c r="G1196" t="s">
        <v>1344</v>
      </c>
      <c r="H1196">
        <v>6</v>
      </c>
      <c r="I1196" t="s">
        <v>1317</v>
      </c>
    </row>
    <row r="1197" spans="1:9">
      <c r="A1197" t="s">
        <v>1271</v>
      </c>
      <c r="B1197" t="s">
        <v>1342</v>
      </c>
      <c r="D1197" t="s">
        <v>1349</v>
      </c>
      <c r="E1197" t="s">
        <v>1343</v>
      </c>
      <c r="F1197" t="s">
        <v>1297</v>
      </c>
      <c r="G1197" t="s">
        <v>1344</v>
      </c>
      <c r="H1197">
        <v>7</v>
      </c>
      <c r="I1197" t="s">
        <v>1350</v>
      </c>
    </row>
    <row r="1198" spans="1:9">
      <c r="A1198" t="s">
        <v>1351</v>
      </c>
      <c r="B1198" t="s">
        <v>1352</v>
      </c>
      <c r="C1198" t="s">
        <v>1353</v>
      </c>
      <c r="F1198" t="s">
        <v>1354</v>
      </c>
      <c r="G1198" t="s">
        <v>1355</v>
      </c>
      <c r="H1198">
        <v>2</v>
      </c>
    </row>
    <row r="1199" spans="1:9">
      <c r="A1199" t="s">
        <v>1351</v>
      </c>
      <c r="B1199" t="s">
        <v>1352</v>
      </c>
      <c r="C1199" t="s">
        <v>1353</v>
      </c>
      <c r="F1199" t="s">
        <v>1354</v>
      </c>
      <c r="G1199" t="s">
        <v>1355</v>
      </c>
      <c r="H1199">
        <v>3</v>
      </c>
    </row>
    <row r="1200" spans="1:9">
      <c r="A1200" t="s">
        <v>1351</v>
      </c>
      <c r="B1200" t="s">
        <v>1352</v>
      </c>
      <c r="C1200" t="s">
        <v>1356</v>
      </c>
      <c r="F1200" t="s">
        <v>1354</v>
      </c>
      <c r="G1200" t="s">
        <v>1355</v>
      </c>
      <c r="H1200">
        <v>4</v>
      </c>
    </row>
    <row r="1201" spans="1:9">
      <c r="A1201" t="s">
        <v>1351</v>
      </c>
      <c r="B1201" t="s">
        <v>1352</v>
      </c>
      <c r="C1201" t="s">
        <v>1357</v>
      </c>
      <c r="F1201" t="s">
        <v>1354</v>
      </c>
      <c r="G1201" t="s">
        <v>1355</v>
      </c>
      <c r="H1201">
        <v>5</v>
      </c>
    </row>
    <row r="1202" spans="1:9">
      <c r="A1202" t="s">
        <v>1351</v>
      </c>
      <c r="B1202" t="s">
        <v>1352</v>
      </c>
      <c r="C1202" t="s">
        <v>1358</v>
      </c>
      <c r="F1202" t="s">
        <v>1354</v>
      </c>
      <c r="G1202" t="s">
        <v>1355</v>
      </c>
      <c r="H1202">
        <v>6</v>
      </c>
    </row>
    <row r="1203" spans="1:9">
      <c r="A1203" t="s">
        <v>1351</v>
      </c>
      <c r="B1203" t="s">
        <v>1352</v>
      </c>
      <c r="C1203" t="s">
        <v>1353</v>
      </c>
      <c r="F1203" t="s">
        <v>1354</v>
      </c>
      <c r="G1203" t="s">
        <v>1355</v>
      </c>
      <c r="H1203">
        <v>7</v>
      </c>
    </row>
    <row r="1204" spans="1:9">
      <c r="A1204" t="s">
        <v>1351</v>
      </c>
      <c r="B1204" t="s">
        <v>1352</v>
      </c>
      <c r="C1204" t="s">
        <v>1353</v>
      </c>
      <c r="F1204" t="s">
        <v>1354</v>
      </c>
      <c r="G1204" t="s">
        <v>1355</v>
      </c>
      <c r="H1204">
        <v>8</v>
      </c>
    </row>
    <row r="1205" spans="1:9">
      <c r="A1205" t="s">
        <v>1351</v>
      </c>
      <c r="B1205" t="s">
        <v>1352</v>
      </c>
      <c r="C1205" t="s">
        <v>1359</v>
      </c>
      <c r="F1205" t="s">
        <v>1354</v>
      </c>
      <c r="G1205" t="s">
        <v>1355</v>
      </c>
      <c r="H1205">
        <v>9</v>
      </c>
    </row>
    <row r="1206" spans="1:9">
      <c r="A1206" t="s">
        <v>1351</v>
      </c>
      <c r="B1206" t="s">
        <v>1360</v>
      </c>
      <c r="C1206" t="s">
        <v>1356</v>
      </c>
      <c r="D1206" t="s">
        <v>1361</v>
      </c>
      <c r="E1206" t="s">
        <v>1362</v>
      </c>
      <c r="F1206" t="s">
        <v>1363</v>
      </c>
      <c r="G1206" t="s">
        <v>1364</v>
      </c>
      <c r="H1206">
        <v>2</v>
      </c>
      <c r="I1206" t="s">
        <v>1365</v>
      </c>
    </row>
    <row r="1207" spans="1:9">
      <c r="A1207" t="s">
        <v>1351</v>
      </c>
      <c r="B1207" t="s">
        <v>1360</v>
      </c>
      <c r="C1207" t="s">
        <v>1356</v>
      </c>
      <c r="D1207" t="s">
        <v>1366</v>
      </c>
      <c r="E1207" t="s">
        <v>1362</v>
      </c>
      <c r="F1207" t="s">
        <v>1363</v>
      </c>
      <c r="G1207" t="s">
        <v>1364</v>
      </c>
      <c r="H1207">
        <v>3</v>
      </c>
      <c r="I1207" t="s">
        <v>1365</v>
      </c>
    </row>
    <row r="1208" spans="1:9">
      <c r="A1208" t="s">
        <v>1351</v>
      </c>
      <c r="B1208" t="s">
        <v>1360</v>
      </c>
      <c r="C1208" t="s">
        <v>1356</v>
      </c>
      <c r="D1208" t="s">
        <v>1367</v>
      </c>
      <c r="E1208" t="s">
        <v>1362</v>
      </c>
      <c r="F1208" t="s">
        <v>1363</v>
      </c>
      <c r="G1208" t="s">
        <v>1364</v>
      </c>
      <c r="H1208">
        <v>4</v>
      </c>
      <c r="I1208" t="s">
        <v>1365</v>
      </c>
    </row>
    <row r="1209" spans="1:9">
      <c r="A1209" t="s">
        <v>1351</v>
      </c>
      <c r="B1209" t="s">
        <v>1360</v>
      </c>
      <c r="C1209" t="s">
        <v>1356</v>
      </c>
      <c r="D1209" t="s">
        <v>1368</v>
      </c>
      <c r="E1209" t="s">
        <v>1362</v>
      </c>
      <c r="F1209" t="s">
        <v>1311</v>
      </c>
      <c r="G1209" t="s">
        <v>1364</v>
      </c>
      <c r="H1209">
        <v>5</v>
      </c>
      <c r="I1209" t="s">
        <v>1369</v>
      </c>
    </row>
    <row r="1210" spans="1:9">
      <c r="A1210" t="s">
        <v>1351</v>
      </c>
      <c r="B1210" t="s">
        <v>1360</v>
      </c>
      <c r="C1210" t="s">
        <v>1356</v>
      </c>
      <c r="D1210" t="s">
        <v>1370</v>
      </c>
      <c r="E1210" t="s">
        <v>1362</v>
      </c>
      <c r="F1210" t="s">
        <v>1311</v>
      </c>
      <c r="G1210" t="s">
        <v>1364</v>
      </c>
      <c r="H1210">
        <v>6</v>
      </c>
      <c r="I1210" t="s">
        <v>1369</v>
      </c>
    </row>
    <row r="1211" spans="1:9">
      <c r="A1211" t="s">
        <v>1351</v>
      </c>
      <c r="B1211" t="s">
        <v>1360</v>
      </c>
      <c r="C1211" t="s">
        <v>1356</v>
      </c>
      <c r="D1211" t="s">
        <v>1371</v>
      </c>
      <c r="E1211" t="s">
        <v>1362</v>
      </c>
      <c r="F1211" t="s">
        <v>1311</v>
      </c>
      <c r="G1211" t="s">
        <v>1364</v>
      </c>
      <c r="H1211">
        <v>7</v>
      </c>
      <c r="I1211" t="s">
        <v>1369</v>
      </c>
    </row>
    <row r="1212" spans="1:9">
      <c r="A1212" t="s">
        <v>1351</v>
      </c>
      <c r="B1212" t="s">
        <v>1360</v>
      </c>
      <c r="C1212" t="s">
        <v>1356</v>
      </c>
      <c r="D1212" t="s">
        <v>1372</v>
      </c>
      <c r="E1212" t="s">
        <v>1362</v>
      </c>
      <c r="F1212" t="s">
        <v>1311</v>
      </c>
      <c r="G1212" t="s">
        <v>1364</v>
      </c>
      <c r="H1212">
        <v>8</v>
      </c>
      <c r="I1212" t="s">
        <v>1369</v>
      </c>
    </row>
    <row r="1213" spans="1:9">
      <c r="A1213" t="s">
        <v>1351</v>
      </c>
      <c r="B1213" t="s">
        <v>1360</v>
      </c>
      <c r="C1213" t="s">
        <v>1356</v>
      </c>
      <c r="D1213" t="s">
        <v>1373</v>
      </c>
      <c r="E1213" t="s">
        <v>1362</v>
      </c>
      <c r="F1213" t="s">
        <v>1311</v>
      </c>
      <c r="G1213" t="s">
        <v>1364</v>
      </c>
      <c r="H1213">
        <v>9</v>
      </c>
      <c r="I1213" t="s">
        <v>1369</v>
      </c>
    </row>
    <row r="1214" spans="1:9">
      <c r="A1214" t="s">
        <v>1351</v>
      </c>
      <c r="B1214" t="s">
        <v>1360</v>
      </c>
      <c r="C1214" t="s">
        <v>1374</v>
      </c>
      <c r="D1214" t="s">
        <v>1375</v>
      </c>
      <c r="E1214" t="s">
        <v>1376</v>
      </c>
      <c r="F1214" t="s">
        <v>1297</v>
      </c>
      <c r="G1214" t="s">
        <v>1364</v>
      </c>
      <c r="H1214">
        <v>10</v>
      </c>
      <c r="I1214" t="s">
        <v>1377</v>
      </c>
    </row>
    <row r="1215" spans="1:9">
      <c r="A1215" t="s">
        <v>1351</v>
      </c>
      <c r="B1215" t="s">
        <v>1360</v>
      </c>
      <c r="C1215" t="s">
        <v>1356</v>
      </c>
      <c r="D1215" t="s">
        <v>1378</v>
      </c>
      <c r="E1215" t="s">
        <v>1379</v>
      </c>
      <c r="F1215" t="s">
        <v>1297</v>
      </c>
      <c r="G1215" t="s">
        <v>1364</v>
      </c>
      <c r="H1215">
        <v>11</v>
      </c>
      <c r="I1215" t="s">
        <v>1380</v>
      </c>
    </row>
    <row r="1216" spans="1:9">
      <c r="A1216" t="s">
        <v>1351</v>
      </c>
      <c r="B1216" t="s">
        <v>1360</v>
      </c>
      <c r="C1216" t="s">
        <v>1381</v>
      </c>
      <c r="D1216" t="s">
        <v>1382</v>
      </c>
      <c r="E1216" t="s">
        <v>1383</v>
      </c>
      <c r="F1216" t="s">
        <v>1299</v>
      </c>
      <c r="G1216" t="s">
        <v>1364</v>
      </c>
      <c r="H1216">
        <v>12</v>
      </c>
      <c r="I1216" t="s">
        <v>1384</v>
      </c>
    </row>
    <row r="1217" spans="1:9">
      <c r="A1217" t="s">
        <v>1351</v>
      </c>
      <c r="B1217" t="s">
        <v>1360</v>
      </c>
      <c r="C1217" t="s">
        <v>1381</v>
      </c>
      <c r="D1217" t="s">
        <v>1385</v>
      </c>
      <c r="E1217" t="s">
        <v>1383</v>
      </c>
      <c r="F1217" t="s">
        <v>1299</v>
      </c>
      <c r="G1217" t="s">
        <v>1364</v>
      </c>
      <c r="H1217">
        <v>13</v>
      </c>
      <c r="I1217" t="s">
        <v>1384</v>
      </c>
    </row>
    <row r="1218" spans="1:9">
      <c r="A1218" t="s">
        <v>1351</v>
      </c>
      <c r="B1218" t="s">
        <v>1360</v>
      </c>
      <c r="C1218" t="s">
        <v>1381</v>
      </c>
      <c r="D1218" t="s">
        <v>1386</v>
      </c>
      <c r="E1218" t="s">
        <v>1383</v>
      </c>
      <c r="F1218" t="s">
        <v>1299</v>
      </c>
      <c r="G1218" t="s">
        <v>1364</v>
      </c>
      <c r="H1218">
        <v>14</v>
      </c>
      <c r="I1218" t="s">
        <v>1384</v>
      </c>
    </row>
    <row r="1219" spans="1:9">
      <c r="A1219" t="s">
        <v>1351</v>
      </c>
      <c r="B1219" t="s">
        <v>1360</v>
      </c>
      <c r="C1219" t="s">
        <v>1381</v>
      </c>
      <c r="D1219" t="s">
        <v>1387</v>
      </c>
      <c r="E1219" t="s">
        <v>1383</v>
      </c>
      <c r="F1219" t="s">
        <v>1299</v>
      </c>
      <c r="G1219" t="s">
        <v>1364</v>
      </c>
      <c r="H1219">
        <v>15</v>
      </c>
      <c r="I1219" t="s">
        <v>1384</v>
      </c>
    </row>
    <row r="1220" spans="1:9">
      <c r="A1220" t="s">
        <v>1351</v>
      </c>
      <c r="B1220" t="s">
        <v>1360</v>
      </c>
      <c r="C1220" t="s">
        <v>1381</v>
      </c>
      <c r="D1220" t="s">
        <v>1388</v>
      </c>
      <c r="E1220" t="s">
        <v>1383</v>
      </c>
      <c r="F1220" t="s">
        <v>1299</v>
      </c>
      <c r="G1220" t="s">
        <v>1364</v>
      </c>
      <c r="H1220">
        <v>16</v>
      </c>
      <c r="I1220" t="s">
        <v>1384</v>
      </c>
    </row>
    <row r="1221" spans="1:9">
      <c r="A1221" t="s">
        <v>1351</v>
      </c>
      <c r="B1221" t="s">
        <v>1389</v>
      </c>
      <c r="C1221" t="s">
        <v>1357</v>
      </c>
      <c r="D1221" t="s">
        <v>1390</v>
      </c>
      <c r="E1221" t="s">
        <v>1391</v>
      </c>
      <c r="F1221" t="s">
        <v>1299</v>
      </c>
      <c r="G1221" t="s">
        <v>1392</v>
      </c>
      <c r="H1221">
        <v>2</v>
      </c>
      <c r="I1221" t="s">
        <v>1393</v>
      </c>
    </row>
    <row r="1222" spans="1:9">
      <c r="A1222" t="s">
        <v>1351</v>
      </c>
      <c r="B1222" t="s">
        <v>1389</v>
      </c>
      <c r="C1222" t="s">
        <v>1356</v>
      </c>
      <c r="D1222" t="s">
        <v>1394</v>
      </c>
      <c r="E1222" t="s">
        <v>1395</v>
      </c>
      <c r="F1222" t="s">
        <v>1299</v>
      </c>
      <c r="G1222" t="s">
        <v>1392</v>
      </c>
      <c r="H1222">
        <v>3</v>
      </c>
      <c r="I1222" t="s">
        <v>1393</v>
      </c>
    </row>
    <row r="1223" spans="1:9">
      <c r="A1223" t="s">
        <v>1351</v>
      </c>
      <c r="B1223" t="s">
        <v>1389</v>
      </c>
      <c r="C1223" t="s">
        <v>1357</v>
      </c>
      <c r="D1223" t="s">
        <v>1396</v>
      </c>
      <c r="E1223" t="s">
        <v>1397</v>
      </c>
      <c r="F1223" t="s">
        <v>1299</v>
      </c>
      <c r="G1223" t="s">
        <v>1392</v>
      </c>
      <c r="H1223">
        <v>4</v>
      </c>
      <c r="I1223" t="s">
        <v>1393</v>
      </c>
    </row>
    <row r="1224" spans="1:9">
      <c r="A1224" t="s">
        <v>1351</v>
      </c>
      <c r="B1224" t="s">
        <v>1389</v>
      </c>
      <c r="C1224" t="s">
        <v>1359</v>
      </c>
      <c r="D1224" t="s">
        <v>1398</v>
      </c>
      <c r="E1224" t="s">
        <v>1399</v>
      </c>
      <c r="F1224" t="s">
        <v>1299</v>
      </c>
      <c r="G1224" t="s">
        <v>1392</v>
      </c>
      <c r="H1224">
        <v>5</v>
      </c>
      <c r="I1224" t="s">
        <v>1393</v>
      </c>
    </row>
    <row r="1225" spans="1:9">
      <c r="A1225" t="s">
        <v>1351</v>
      </c>
      <c r="B1225" t="s">
        <v>1400</v>
      </c>
      <c r="C1225" t="s">
        <v>1356</v>
      </c>
      <c r="D1225" t="s">
        <v>1401</v>
      </c>
      <c r="E1225" t="s">
        <v>1402</v>
      </c>
      <c r="F1225" t="s">
        <v>1297</v>
      </c>
      <c r="G1225" t="s">
        <v>1403</v>
      </c>
      <c r="H1225">
        <v>2</v>
      </c>
      <c r="I1225" t="s">
        <v>1404</v>
      </c>
    </row>
    <row r="1226" spans="1:9">
      <c r="A1226" t="s">
        <v>1351</v>
      </c>
      <c r="B1226" t="s">
        <v>1400</v>
      </c>
      <c r="C1226" t="s">
        <v>1356</v>
      </c>
      <c r="D1226" t="s">
        <v>1405</v>
      </c>
      <c r="E1226" t="s">
        <v>1402</v>
      </c>
      <c r="F1226" t="s">
        <v>1297</v>
      </c>
      <c r="G1226" t="s">
        <v>1403</v>
      </c>
      <c r="H1226">
        <v>3</v>
      </c>
      <c r="I1226" t="s">
        <v>1404</v>
      </c>
    </row>
    <row r="1227" spans="1:9">
      <c r="A1227" t="s">
        <v>1351</v>
      </c>
      <c r="B1227" t="s">
        <v>1400</v>
      </c>
      <c r="C1227" t="s">
        <v>1356</v>
      </c>
      <c r="D1227" t="s">
        <v>1406</v>
      </c>
      <c r="E1227" t="s">
        <v>1402</v>
      </c>
      <c r="F1227" t="s">
        <v>1297</v>
      </c>
      <c r="G1227" t="s">
        <v>1403</v>
      </c>
      <c r="H1227">
        <v>4</v>
      </c>
      <c r="I1227" t="s">
        <v>1404</v>
      </c>
    </row>
    <row r="1228" spans="1:9">
      <c r="A1228" t="s">
        <v>1351</v>
      </c>
      <c r="B1228" t="s">
        <v>1400</v>
      </c>
      <c r="C1228" t="s">
        <v>1356</v>
      </c>
      <c r="D1228" t="s">
        <v>1407</v>
      </c>
      <c r="E1228" t="s">
        <v>1402</v>
      </c>
      <c r="F1228" t="s">
        <v>1297</v>
      </c>
      <c r="G1228" t="s">
        <v>1403</v>
      </c>
      <c r="H1228">
        <v>5</v>
      </c>
      <c r="I1228" t="s">
        <v>1404</v>
      </c>
    </row>
    <row r="1229" spans="1:9">
      <c r="A1229" t="s">
        <v>1351</v>
      </c>
      <c r="B1229" t="s">
        <v>1400</v>
      </c>
      <c r="C1229" t="s">
        <v>1356</v>
      </c>
      <c r="D1229" t="s">
        <v>1408</v>
      </c>
      <c r="E1229" t="s">
        <v>1402</v>
      </c>
      <c r="F1229" t="s">
        <v>1297</v>
      </c>
      <c r="G1229" t="s">
        <v>1403</v>
      </c>
      <c r="H1229">
        <v>6</v>
      </c>
      <c r="I1229" t="s">
        <v>1404</v>
      </c>
    </row>
    <row r="1230" spans="1:9">
      <c r="A1230" t="s">
        <v>1351</v>
      </c>
      <c r="B1230" t="s">
        <v>1400</v>
      </c>
      <c r="C1230" t="s">
        <v>1356</v>
      </c>
      <c r="D1230" t="s">
        <v>1409</v>
      </c>
      <c r="E1230" t="s">
        <v>1402</v>
      </c>
      <c r="F1230" t="s">
        <v>1297</v>
      </c>
      <c r="G1230" t="s">
        <v>1403</v>
      </c>
      <c r="H1230">
        <v>7</v>
      </c>
      <c r="I1230" t="s">
        <v>1404</v>
      </c>
    </row>
    <row r="1231" spans="1:9">
      <c r="A1231" t="s">
        <v>1351</v>
      </c>
      <c r="B1231" t="s">
        <v>1400</v>
      </c>
      <c r="C1231" t="s">
        <v>1356</v>
      </c>
      <c r="D1231" t="s">
        <v>1410</v>
      </c>
      <c r="E1231" t="s">
        <v>1402</v>
      </c>
      <c r="F1231" t="s">
        <v>1297</v>
      </c>
      <c r="G1231" t="s">
        <v>1403</v>
      </c>
      <c r="H1231">
        <v>8</v>
      </c>
      <c r="I1231" t="s">
        <v>1404</v>
      </c>
    </row>
    <row r="1232" spans="1:9">
      <c r="A1232" t="s">
        <v>1351</v>
      </c>
      <c r="B1232" t="s">
        <v>1400</v>
      </c>
      <c r="C1232" t="s">
        <v>1356</v>
      </c>
      <c r="D1232" t="s">
        <v>1411</v>
      </c>
      <c r="E1232" t="s">
        <v>1402</v>
      </c>
      <c r="F1232" t="s">
        <v>1297</v>
      </c>
      <c r="G1232" t="s">
        <v>1403</v>
      </c>
      <c r="H1232">
        <v>9</v>
      </c>
      <c r="I1232" t="s">
        <v>1404</v>
      </c>
    </row>
    <row r="1233" spans="1:9">
      <c r="A1233" t="s">
        <v>1351</v>
      </c>
      <c r="B1233" t="s">
        <v>1400</v>
      </c>
      <c r="C1233" t="s">
        <v>1356</v>
      </c>
      <c r="D1233" t="s">
        <v>1412</v>
      </c>
      <c r="E1233" t="s">
        <v>1402</v>
      </c>
      <c r="F1233" t="s">
        <v>1297</v>
      </c>
      <c r="G1233" t="s">
        <v>1403</v>
      </c>
      <c r="H1233">
        <v>10</v>
      </c>
      <c r="I1233" t="s">
        <v>1404</v>
      </c>
    </row>
    <row r="1234" spans="1:9">
      <c r="A1234" t="s">
        <v>1351</v>
      </c>
      <c r="B1234" t="s">
        <v>1400</v>
      </c>
      <c r="C1234" t="s">
        <v>1356</v>
      </c>
      <c r="D1234" t="s">
        <v>1413</v>
      </c>
      <c r="E1234" t="s">
        <v>1402</v>
      </c>
      <c r="F1234" t="s">
        <v>1297</v>
      </c>
      <c r="G1234" t="s">
        <v>1403</v>
      </c>
      <c r="H1234">
        <v>11</v>
      </c>
      <c r="I1234" t="s">
        <v>1404</v>
      </c>
    </row>
    <row r="1235" spans="1:9">
      <c r="A1235" t="s">
        <v>1351</v>
      </c>
      <c r="B1235" t="s">
        <v>1400</v>
      </c>
      <c r="C1235" t="s">
        <v>1356</v>
      </c>
      <c r="D1235" t="s">
        <v>1414</v>
      </c>
      <c r="E1235" t="s">
        <v>1415</v>
      </c>
      <c r="F1235" t="s">
        <v>1297</v>
      </c>
      <c r="G1235" t="s">
        <v>1403</v>
      </c>
      <c r="H1235">
        <v>12</v>
      </c>
      <c r="I1235" t="s">
        <v>1416</v>
      </c>
    </row>
    <row r="1236" spans="1:9">
      <c r="A1236" t="s">
        <v>1351</v>
      </c>
      <c r="B1236" t="s">
        <v>1400</v>
      </c>
      <c r="C1236" t="s">
        <v>1357</v>
      </c>
      <c r="D1236" t="s">
        <v>1417</v>
      </c>
      <c r="E1236" t="s">
        <v>1418</v>
      </c>
      <c r="F1236" t="s">
        <v>1419</v>
      </c>
      <c r="G1236" t="s">
        <v>1403</v>
      </c>
      <c r="H1236">
        <v>13</v>
      </c>
      <c r="I1236" t="s">
        <v>1420</v>
      </c>
    </row>
    <row r="1237" spans="1:9">
      <c r="A1237" t="s">
        <v>1351</v>
      </c>
      <c r="B1237" t="s">
        <v>1400</v>
      </c>
      <c r="C1237" t="s">
        <v>1421</v>
      </c>
      <c r="D1237" t="s">
        <v>1422</v>
      </c>
      <c r="E1237" t="s">
        <v>1423</v>
      </c>
      <c r="F1237" t="s">
        <v>1299</v>
      </c>
      <c r="G1237" t="s">
        <v>1403</v>
      </c>
      <c r="H1237">
        <v>14</v>
      </c>
      <c r="I1237" t="s">
        <v>1424</v>
      </c>
    </row>
    <row r="1238" spans="1:9">
      <c r="A1238" t="s">
        <v>1351</v>
      </c>
      <c r="B1238" t="s">
        <v>1400</v>
      </c>
      <c r="C1238" t="s">
        <v>1421</v>
      </c>
      <c r="D1238" t="s">
        <v>1425</v>
      </c>
      <c r="E1238" t="s">
        <v>1423</v>
      </c>
      <c r="F1238" t="s">
        <v>1299</v>
      </c>
      <c r="G1238" t="s">
        <v>1403</v>
      </c>
      <c r="H1238">
        <v>15</v>
      </c>
      <c r="I1238" t="s">
        <v>1424</v>
      </c>
    </row>
    <row r="1239" spans="1:9">
      <c r="A1239" t="s">
        <v>1351</v>
      </c>
      <c r="B1239" t="s">
        <v>1400</v>
      </c>
      <c r="C1239" t="s">
        <v>1421</v>
      </c>
      <c r="D1239" t="s">
        <v>1426</v>
      </c>
      <c r="E1239" t="s">
        <v>1423</v>
      </c>
      <c r="F1239" t="s">
        <v>1299</v>
      </c>
      <c r="G1239" t="s">
        <v>1403</v>
      </c>
      <c r="H1239">
        <v>16</v>
      </c>
      <c r="I1239" t="s">
        <v>1424</v>
      </c>
    </row>
    <row r="1240" spans="1:9">
      <c r="A1240" t="s">
        <v>1351</v>
      </c>
      <c r="B1240" t="s">
        <v>1400</v>
      </c>
      <c r="C1240" t="s">
        <v>1421</v>
      </c>
      <c r="D1240" t="s">
        <v>1427</v>
      </c>
      <c r="E1240" t="s">
        <v>1423</v>
      </c>
      <c r="F1240" t="s">
        <v>1299</v>
      </c>
      <c r="G1240" t="s">
        <v>1403</v>
      </c>
      <c r="H1240">
        <v>17</v>
      </c>
      <c r="I1240" t="s">
        <v>1424</v>
      </c>
    </row>
    <row r="1241" spans="1:9">
      <c r="A1241" t="s">
        <v>1351</v>
      </c>
      <c r="B1241" t="s">
        <v>1428</v>
      </c>
      <c r="C1241" t="s">
        <v>1356</v>
      </c>
      <c r="D1241" t="s">
        <v>1429</v>
      </c>
      <c r="E1241" t="s">
        <v>1430</v>
      </c>
      <c r="F1241" t="s">
        <v>1311</v>
      </c>
      <c r="G1241" t="s">
        <v>1431</v>
      </c>
      <c r="H1241">
        <v>2</v>
      </c>
      <c r="I1241" t="s">
        <v>1432</v>
      </c>
    </row>
    <row r="1242" spans="1:9">
      <c r="A1242" t="s">
        <v>1351</v>
      </c>
      <c r="B1242" t="s">
        <v>1428</v>
      </c>
      <c r="C1242" t="s">
        <v>1356</v>
      </c>
      <c r="D1242" t="s">
        <v>1433</v>
      </c>
      <c r="E1242" t="s">
        <v>1430</v>
      </c>
      <c r="F1242" t="s">
        <v>1311</v>
      </c>
      <c r="G1242" t="s">
        <v>1431</v>
      </c>
      <c r="H1242">
        <v>3</v>
      </c>
      <c r="I1242" t="s">
        <v>1432</v>
      </c>
    </row>
    <row r="1243" spans="1:9">
      <c r="A1243" t="s">
        <v>1351</v>
      </c>
      <c r="B1243" t="s">
        <v>1428</v>
      </c>
      <c r="C1243" t="s">
        <v>1356</v>
      </c>
      <c r="D1243" t="s">
        <v>1434</v>
      </c>
      <c r="E1243" t="s">
        <v>1430</v>
      </c>
      <c r="F1243" t="s">
        <v>1311</v>
      </c>
      <c r="G1243" t="s">
        <v>1431</v>
      </c>
      <c r="H1243">
        <v>4</v>
      </c>
      <c r="I1243" t="s">
        <v>1432</v>
      </c>
    </row>
    <row r="1244" spans="1:9">
      <c r="A1244" t="s">
        <v>1351</v>
      </c>
      <c r="B1244" t="s">
        <v>1428</v>
      </c>
      <c r="C1244" t="s">
        <v>1356</v>
      </c>
      <c r="D1244" t="s">
        <v>1435</v>
      </c>
      <c r="E1244" t="s">
        <v>1430</v>
      </c>
      <c r="F1244" t="s">
        <v>1311</v>
      </c>
      <c r="G1244" t="s">
        <v>1431</v>
      </c>
      <c r="H1244">
        <v>5</v>
      </c>
      <c r="I1244" t="s">
        <v>1432</v>
      </c>
    </row>
    <row r="1245" spans="1:9">
      <c r="A1245" t="s">
        <v>1351</v>
      </c>
      <c r="B1245" t="s">
        <v>1428</v>
      </c>
      <c r="C1245" t="s">
        <v>1356</v>
      </c>
      <c r="D1245" t="s">
        <v>1436</v>
      </c>
      <c r="E1245" t="s">
        <v>1430</v>
      </c>
      <c r="F1245" t="s">
        <v>1311</v>
      </c>
      <c r="G1245" t="s">
        <v>1431</v>
      </c>
      <c r="H1245">
        <v>6</v>
      </c>
      <c r="I1245" t="s">
        <v>1432</v>
      </c>
    </row>
    <row r="1246" spans="1:9">
      <c r="A1246" t="s">
        <v>1351</v>
      </c>
      <c r="B1246" t="s">
        <v>1428</v>
      </c>
      <c r="C1246" t="s">
        <v>1437</v>
      </c>
      <c r="D1246" t="s">
        <v>1438</v>
      </c>
      <c r="E1246" t="s">
        <v>1383</v>
      </c>
      <c r="F1246" t="s">
        <v>1299</v>
      </c>
      <c r="G1246" t="s">
        <v>1431</v>
      </c>
      <c r="H1246">
        <v>7</v>
      </c>
      <c r="I1246" t="s">
        <v>1439</v>
      </c>
    </row>
    <row r="1247" spans="1:9">
      <c r="A1247" t="s">
        <v>1351</v>
      </c>
      <c r="B1247" t="s">
        <v>1428</v>
      </c>
      <c r="C1247" t="s">
        <v>1437</v>
      </c>
      <c r="D1247" t="s">
        <v>1440</v>
      </c>
      <c r="E1247" t="s">
        <v>1383</v>
      </c>
      <c r="F1247" t="s">
        <v>1299</v>
      </c>
      <c r="G1247" t="s">
        <v>1431</v>
      </c>
      <c r="H1247">
        <v>8</v>
      </c>
      <c r="I1247" t="s">
        <v>1439</v>
      </c>
    </row>
    <row r="1248" spans="1:9">
      <c r="A1248" t="s">
        <v>1351</v>
      </c>
      <c r="B1248" t="s">
        <v>1428</v>
      </c>
      <c r="C1248" t="s">
        <v>1437</v>
      </c>
      <c r="D1248" t="s">
        <v>1441</v>
      </c>
      <c r="E1248" t="s">
        <v>1383</v>
      </c>
      <c r="F1248" t="s">
        <v>1299</v>
      </c>
      <c r="G1248" t="s">
        <v>1431</v>
      </c>
      <c r="H1248">
        <v>9</v>
      </c>
      <c r="I1248" t="s">
        <v>1439</v>
      </c>
    </row>
    <row r="1249" spans="1:9">
      <c r="A1249" t="s">
        <v>1351</v>
      </c>
      <c r="B1249" t="s">
        <v>1428</v>
      </c>
      <c r="C1249" t="s">
        <v>1437</v>
      </c>
      <c r="D1249" t="s">
        <v>1442</v>
      </c>
      <c r="E1249" t="s">
        <v>1383</v>
      </c>
      <c r="F1249" t="s">
        <v>1299</v>
      </c>
      <c r="G1249" t="s">
        <v>1431</v>
      </c>
      <c r="H1249">
        <v>10</v>
      </c>
      <c r="I1249" t="s">
        <v>1439</v>
      </c>
    </row>
    <row r="1250" spans="1:9">
      <c r="A1250" t="s">
        <v>1351</v>
      </c>
      <c r="B1250" t="s">
        <v>1428</v>
      </c>
      <c r="C1250" t="s">
        <v>1437</v>
      </c>
      <c r="D1250" t="s">
        <v>1443</v>
      </c>
      <c r="E1250" t="s">
        <v>1383</v>
      </c>
      <c r="F1250" t="s">
        <v>1299</v>
      </c>
      <c r="G1250" t="s">
        <v>1431</v>
      </c>
      <c r="H1250">
        <v>11</v>
      </c>
      <c r="I1250" t="s">
        <v>1439</v>
      </c>
    </row>
    <row r="1251" spans="1:9">
      <c r="A1251" t="s">
        <v>1351</v>
      </c>
      <c r="B1251" t="s">
        <v>1428</v>
      </c>
      <c r="C1251" t="s">
        <v>1437</v>
      </c>
      <c r="D1251" t="s">
        <v>1444</v>
      </c>
      <c r="E1251" t="s">
        <v>1383</v>
      </c>
      <c r="F1251" t="s">
        <v>1299</v>
      </c>
      <c r="G1251" t="s">
        <v>1431</v>
      </c>
      <c r="H1251">
        <v>12</v>
      </c>
      <c r="I1251" t="s">
        <v>1439</v>
      </c>
    </row>
    <row r="1252" spans="1:9">
      <c r="A1252" t="s">
        <v>1351</v>
      </c>
      <c r="B1252" t="s">
        <v>1428</v>
      </c>
      <c r="C1252" t="s">
        <v>1437</v>
      </c>
      <c r="D1252" t="s">
        <v>1445</v>
      </c>
      <c r="E1252" t="s">
        <v>1383</v>
      </c>
      <c r="F1252" t="s">
        <v>1299</v>
      </c>
      <c r="G1252" t="s">
        <v>1431</v>
      </c>
      <c r="H1252">
        <v>13</v>
      </c>
      <c r="I1252" t="s">
        <v>1439</v>
      </c>
    </row>
    <row r="1253" spans="1:9">
      <c r="A1253" t="s">
        <v>1351</v>
      </c>
      <c r="B1253" t="s">
        <v>1428</v>
      </c>
      <c r="C1253" t="s">
        <v>1437</v>
      </c>
      <c r="D1253" t="s">
        <v>1446</v>
      </c>
      <c r="E1253" t="s">
        <v>1383</v>
      </c>
      <c r="F1253" t="s">
        <v>1299</v>
      </c>
      <c r="G1253" t="s">
        <v>1431</v>
      </c>
      <c r="H1253">
        <v>14</v>
      </c>
      <c r="I1253" t="s">
        <v>1439</v>
      </c>
    </row>
    <row r="1254" spans="1:9">
      <c r="A1254" t="s">
        <v>1351</v>
      </c>
      <c r="B1254" t="s">
        <v>1428</v>
      </c>
      <c r="C1254" t="s">
        <v>1437</v>
      </c>
      <c r="D1254" t="s">
        <v>1447</v>
      </c>
      <c r="E1254" t="s">
        <v>1383</v>
      </c>
      <c r="F1254" t="s">
        <v>1299</v>
      </c>
      <c r="G1254" t="s">
        <v>1431</v>
      </c>
      <c r="H1254">
        <v>15</v>
      </c>
      <c r="I1254" t="s">
        <v>1439</v>
      </c>
    </row>
    <row r="1255" spans="1:9">
      <c r="A1255" t="s">
        <v>1351</v>
      </c>
      <c r="B1255" t="s">
        <v>1428</v>
      </c>
      <c r="C1255" t="s">
        <v>1437</v>
      </c>
      <c r="D1255" t="s">
        <v>1448</v>
      </c>
      <c r="E1255" t="s">
        <v>1383</v>
      </c>
      <c r="F1255" t="s">
        <v>1299</v>
      </c>
      <c r="G1255" t="s">
        <v>1431</v>
      </c>
      <c r="H1255">
        <v>16</v>
      </c>
      <c r="I1255" t="s">
        <v>1439</v>
      </c>
    </row>
    <row r="1256" spans="1:9">
      <c r="A1256" t="s">
        <v>1351</v>
      </c>
      <c r="B1256" t="s">
        <v>1449</v>
      </c>
      <c r="C1256" t="s">
        <v>1450</v>
      </c>
      <c r="D1256" t="s">
        <v>1451</v>
      </c>
      <c r="E1256" t="s">
        <v>1452</v>
      </c>
      <c r="F1256" t="s">
        <v>1311</v>
      </c>
      <c r="G1256" t="s">
        <v>1453</v>
      </c>
      <c r="H1256">
        <v>2</v>
      </c>
      <c r="I1256" t="s">
        <v>1454</v>
      </c>
    </row>
    <row r="1257" spans="1:9">
      <c r="A1257" t="s">
        <v>1351</v>
      </c>
      <c r="B1257" t="s">
        <v>1449</v>
      </c>
      <c r="C1257" t="s">
        <v>1450</v>
      </c>
      <c r="D1257" t="s">
        <v>1455</v>
      </c>
      <c r="E1257" t="s">
        <v>1452</v>
      </c>
      <c r="F1257" t="s">
        <v>1311</v>
      </c>
      <c r="G1257" t="s">
        <v>1453</v>
      </c>
      <c r="H1257">
        <v>3</v>
      </c>
      <c r="I1257" t="s">
        <v>1454</v>
      </c>
    </row>
    <row r="1258" spans="1:9">
      <c r="A1258" t="s">
        <v>1351</v>
      </c>
      <c r="B1258" t="s">
        <v>1449</v>
      </c>
      <c r="C1258" t="s">
        <v>1450</v>
      </c>
      <c r="D1258" t="s">
        <v>1456</v>
      </c>
      <c r="E1258" t="s">
        <v>1452</v>
      </c>
      <c r="F1258" t="s">
        <v>1311</v>
      </c>
      <c r="G1258" t="s">
        <v>1453</v>
      </c>
      <c r="H1258">
        <v>4</v>
      </c>
      <c r="I1258" t="s">
        <v>1454</v>
      </c>
    </row>
    <row r="1259" spans="1:9">
      <c r="A1259" t="s">
        <v>1351</v>
      </c>
      <c r="B1259" t="s">
        <v>1449</v>
      </c>
      <c r="C1259" t="s">
        <v>1356</v>
      </c>
      <c r="D1259" t="s">
        <v>1457</v>
      </c>
      <c r="E1259" t="s">
        <v>1458</v>
      </c>
      <c r="F1259" t="s">
        <v>1419</v>
      </c>
      <c r="G1259" t="s">
        <v>1453</v>
      </c>
      <c r="H1259">
        <v>5</v>
      </c>
      <c r="I1259" t="s">
        <v>1459</v>
      </c>
    </row>
    <row r="1260" spans="1:9">
      <c r="A1260" t="s">
        <v>1351</v>
      </c>
      <c r="B1260" t="s">
        <v>1449</v>
      </c>
      <c r="C1260" t="s">
        <v>1356</v>
      </c>
      <c r="D1260" t="s">
        <v>1460</v>
      </c>
      <c r="E1260" t="s">
        <v>1458</v>
      </c>
      <c r="F1260" t="s">
        <v>1419</v>
      </c>
      <c r="G1260" t="s">
        <v>1453</v>
      </c>
      <c r="H1260">
        <v>6</v>
      </c>
      <c r="I1260" t="s">
        <v>1459</v>
      </c>
    </row>
    <row r="1261" spans="1:9">
      <c r="A1261" t="s">
        <v>1351</v>
      </c>
      <c r="B1261" t="s">
        <v>1449</v>
      </c>
      <c r="C1261" t="s">
        <v>1357</v>
      </c>
      <c r="D1261" t="s">
        <v>1461</v>
      </c>
      <c r="E1261" t="s">
        <v>1458</v>
      </c>
      <c r="F1261" t="s">
        <v>1419</v>
      </c>
      <c r="G1261" t="s">
        <v>1453</v>
      </c>
      <c r="H1261">
        <v>7</v>
      </c>
      <c r="I1261" t="s">
        <v>1459</v>
      </c>
    </row>
    <row r="1262" spans="1:9">
      <c r="A1262" t="s">
        <v>1351</v>
      </c>
      <c r="B1262" t="s">
        <v>1449</v>
      </c>
      <c r="C1262" t="s">
        <v>1357</v>
      </c>
      <c r="D1262" t="s">
        <v>1462</v>
      </c>
      <c r="E1262" t="s">
        <v>1458</v>
      </c>
      <c r="F1262" t="s">
        <v>1419</v>
      </c>
      <c r="G1262" t="s">
        <v>1453</v>
      </c>
      <c r="H1262">
        <v>8</v>
      </c>
      <c r="I1262" t="s">
        <v>1459</v>
      </c>
    </row>
    <row r="1263" spans="1:9">
      <c r="A1263" t="s">
        <v>1351</v>
      </c>
      <c r="B1263" t="s">
        <v>1449</v>
      </c>
      <c r="C1263" t="s">
        <v>1357</v>
      </c>
      <c r="D1263" t="s">
        <v>1463</v>
      </c>
      <c r="E1263" t="s">
        <v>1458</v>
      </c>
      <c r="F1263" t="s">
        <v>1419</v>
      </c>
      <c r="G1263" t="s">
        <v>1453</v>
      </c>
      <c r="H1263">
        <v>9</v>
      </c>
      <c r="I1263" t="s">
        <v>1459</v>
      </c>
    </row>
    <row r="1264" spans="1:9">
      <c r="A1264" t="s">
        <v>1351</v>
      </c>
      <c r="B1264" t="s">
        <v>1449</v>
      </c>
      <c r="C1264" t="s">
        <v>1353</v>
      </c>
      <c r="D1264" t="s">
        <v>1464</v>
      </c>
      <c r="E1264" t="s">
        <v>1423</v>
      </c>
      <c r="F1264" t="s">
        <v>1299</v>
      </c>
      <c r="G1264" t="s">
        <v>1453</v>
      </c>
      <c r="H1264">
        <v>10</v>
      </c>
      <c r="I1264" t="s">
        <v>1465</v>
      </c>
    </row>
    <row r="1265" spans="1:9">
      <c r="A1265" t="s">
        <v>1351</v>
      </c>
      <c r="B1265" t="s">
        <v>1449</v>
      </c>
      <c r="C1265" t="s">
        <v>1353</v>
      </c>
      <c r="D1265" t="s">
        <v>1466</v>
      </c>
      <c r="E1265" t="s">
        <v>1423</v>
      </c>
      <c r="F1265" t="s">
        <v>1299</v>
      </c>
      <c r="G1265" t="s">
        <v>1453</v>
      </c>
      <c r="H1265">
        <v>11</v>
      </c>
      <c r="I1265" t="s">
        <v>1465</v>
      </c>
    </row>
    <row r="1266" spans="1:9">
      <c r="A1266" t="s">
        <v>1351</v>
      </c>
      <c r="B1266" t="s">
        <v>1449</v>
      </c>
      <c r="C1266" t="s">
        <v>1353</v>
      </c>
      <c r="D1266" t="s">
        <v>1467</v>
      </c>
      <c r="E1266" t="s">
        <v>1423</v>
      </c>
      <c r="F1266" t="s">
        <v>1299</v>
      </c>
      <c r="G1266" t="s">
        <v>1453</v>
      </c>
      <c r="H1266">
        <v>12</v>
      </c>
      <c r="I1266" t="s">
        <v>1465</v>
      </c>
    </row>
    <row r="1267" spans="1:9">
      <c r="A1267" t="s">
        <v>1351</v>
      </c>
      <c r="B1267" t="s">
        <v>1449</v>
      </c>
      <c r="C1267" t="s">
        <v>1353</v>
      </c>
      <c r="D1267" t="s">
        <v>1468</v>
      </c>
      <c r="E1267" t="s">
        <v>1423</v>
      </c>
      <c r="F1267" t="s">
        <v>1299</v>
      </c>
      <c r="G1267" t="s">
        <v>1453</v>
      </c>
      <c r="H1267">
        <v>13</v>
      </c>
      <c r="I1267" t="s">
        <v>1465</v>
      </c>
    </row>
    <row r="1268" spans="1:9">
      <c r="A1268" t="s">
        <v>1351</v>
      </c>
      <c r="B1268" t="s">
        <v>1449</v>
      </c>
      <c r="C1268" t="s">
        <v>1353</v>
      </c>
      <c r="D1268" t="s">
        <v>1469</v>
      </c>
      <c r="E1268" t="s">
        <v>1423</v>
      </c>
      <c r="F1268" t="s">
        <v>1299</v>
      </c>
      <c r="G1268" t="s">
        <v>1453</v>
      </c>
      <c r="H1268">
        <v>14</v>
      </c>
      <c r="I1268" t="s">
        <v>1465</v>
      </c>
    </row>
    <row r="1269" spans="1:9">
      <c r="A1269" t="s">
        <v>1351</v>
      </c>
      <c r="B1269" t="s">
        <v>1449</v>
      </c>
      <c r="C1269" t="s">
        <v>1353</v>
      </c>
      <c r="D1269" t="s">
        <v>1470</v>
      </c>
      <c r="E1269" t="s">
        <v>1423</v>
      </c>
      <c r="F1269" t="s">
        <v>1299</v>
      </c>
      <c r="G1269" t="s">
        <v>1453</v>
      </c>
      <c r="H1269">
        <v>15</v>
      </c>
      <c r="I1269" t="s">
        <v>1465</v>
      </c>
    </row>
    <row r="1270" spans="1:9">
      <c r="A1270" t="s">
        <v>1351</v>
      </c>
      <c r="B1270" t="s">
        <v>1449</v>
      </c>
      <c r="C1270" t="s">
        <v>1353</v>
      </c>
      <c r="D1270" t="s">
        <v>1471</v>
      </c>
      <c r="E1270" t="s">
        <v>1423</v>
      </c>
      <c r="F1270" t="s">
        <v>1299</v>
      </c>
      <c r="G1270" t="s">
        <v>1453</v>
      </c>
      <c r="H1270">
        <v>16</v>
      </c>
      <c r="I1270" t="s">
        <v>1465</v>
      </c>
    </row>
    <row r="1271" spans="1:9">
      <c r="A1271" t="s">
        <v>1351</v>
      </c>
      <c r="B1271" t="s">
        <v>1449</v>
      </c>
      <c r="C1271" t="s">
        <v>1353</v>
      </c>
      <c r="D1271" t="s">
        <v>1472</v>
      </c>
      <c r="E1271" t="s">
        <v>1423</v>
      </c>
      <c r="F1271" t="s">
        <v>1299</v>
      </c>
      <c r="G1271" t="s">
        <v>1453</v>
      </c>
      <c r="H1271">
        <v>17</v>
      </c>
      <c r="I1271" t="s">
        <v>1465</v>
      </c>
    </row>
    <row r="1272" spans="1:9">
      <c r="A1272" t="s">
        <v>1351</v>
      </c>
      <c r="B1272" t="s">
        <v>1449</v>
      </c>
      <c r="C1272" t="s">
        <v>1353</v>
      </c>
      <c r="D1272" t="s">
        <v>1473</v>
      </c>
      <c r="E1272" t="s">
        <v>1423</v>
      </c>
      <c r="F1272" t="s">
        <v>1299</v>
      </c>
      <c r="G1272" t="s">
        <v>1453</v>
      </c>
      <c r="H1272">
        <v>18</v>
      </c>
      <c r="I1272" t="s">
        <v>1465</v>
      </c>
    </row>
    <row r="1273" spans="1:9">
      <c r="A1273" t="s">
        <v>1351</v>
      </c>
      <c r="B1273" t="s">
        <v>1449</v>
      </c>
      <c r="C1273" t="s">
        <v>1353</v>
      </c>
      <c r="D1273" t="s">
        <v>1474</v>
      </c>
      <c r="E1273" t="s">
        <v>1423</v>
      </c>
      <c r="F1273" t="s">
        <v>1299</v>
      </c>
      <c r="G1273" t="s">
        <v>1453</v>
      </c>
      <c r="H1273">
        <v>19</v>
      </c>
      <c r="I1273" t="s">
        <v>1465</v>
      </c>
    </row>
    <row r="1274" spans="1:9">
      <c r="A1274" t="s">
        <v>1351</v>
      </c>
      <c r="B1274" t="s">
        <v>1475</v>
      </c>
      <c r="C1274" t="s">
        <v>1476</v>
      </c>
      <c r="D1274" t="s">
        <v>1477</v>
      </c>
      <c r="E1274" t="s">
        <v>1478</v>
      </c>
      <c r="F1274" t="s">
        <v>1479</v>
      </c>
      <c r="G1274" t="s">
        <v>1480</v>
      </c>
      <c r="H1274">
        <v>2</v>
      </c>
      <c r="I1274" t="s">
        <v>1481</v>
      </c>
    </row>
    <row r="1275" spans="1:9">
      <c r="A1275" t="s">
        <v>1351</v>
      </c>
      <c r="B1275" t="s">
        <v>1475</v>
      </c>
      <c r="C1275" t="s">
        <v>1450</v>
      </c>
      <c r="D1275" t="s">
        <v>1482</v>
      </c>
      <c r="E1275" t="s">
        <v>1483</v>
      </c>
      <c r="F1275" t="s">
        <v>1484</v>
      </c>
      <c r="G1275" t="s">
        <v>1480</v>
      </c>
      <c r="H1275">
        <v>3</v>
      </c>
      <c r="I1275" t="s">
        <v>1485</v>
      </c>
    </row>
    <row r="1276" spans="1:9">
      <c r="A1276" t="s">
        <v>1351</v>
      </c>
      <c r="B1276" t="s">
        <v>1475</v>
      </c>
      <c r="C1276" t="s">
        <v>1356</v>
      </c>
      <c r="D1276" t="s">
        <v>1486</v>
      </c>
      <c r="E1276" t="s">
        <v>1487</v>
      </c>
      <c r="F1276" t="s">
        <v>1488</v>
      </c>
      <c r="G1276" t="s">
        <v>1480</v>
      </c>
      <c r="H1276">
        <v>4</v>
      </c>
      <c r="I1276" t="s">
        <v>1489</v>
      </c>
    </row>
    <row r="1277" spans="1:9">
      <c r="A1277" t="s">
        <v>1351</v>
      </c>
      <c r="B1277" t="s">
        <v>1475</v>
      </c>
      <c r="C1277" t="s">
        <v>1357</v>
      </c>
      <c r="D1277" t="s">
        <v>1490</v>
      </c>
      <c r="E1277" t="s">
        <v>1418</v>
      </c>
      <c r="F1277" t="s">
        <v>1488</v>
      </c>
      <c r="G1277" t="s">
        <v>1480</v>
      </c>
      <c r="H1277">
        <v>5</v>
      </c>
      <c r="I1277" t="s">
        <v>1491</v>
      </c>
    </row>
    <row r="1278" spans="1:9">
      <c r="A1278" t="s">
        <v>1351</v>
      </c>
      <c r="B1278" t="s">
        <v>1475</v>
      </c>
      <c r="C1278" t="s">
        <v>1374</v>
      </c>
      <c r="D1278" t="s">
        <v>1492</v>
      </c>
      <c r="E1278" t="s">
        <v>1493</v>
      </c>
      <c r="F1278" t="s">
        <v>1494</v>
      </c>
      <c r="G1278" t="s">
        <v>1480</v>
      </c>
      <c r="H1278">
        <v>6</v>
      </c>
      <c r="I1278" t="s">
        <v>1495</v>
      </c>
    </row>
    <row r="1279" spans="1:9">
      <c r="A1279" t="s">
        <v>1351</v>
      </c>
      <c r="B1279" t="s">
        <v>1475</v>
      </c>
      <c r="C1279" t="s">
        <v>1359</v>
      </c>
      <c r="D1279" t="s">
        <v>1496</v>
      </c>
      <c r="E1279" t="s">
        <v>1497</v>
      </c>
      <c r="F1279" t="s">
        <v>1498</v>
      </c>
      <c r="G1279" t="s">
        <v>1480</v>
      </c>
      <c r="H1279">
        <v>7</v>
      </c>
      <c r="I1279" t="s">
        <v>1499</v>
      </c>
    </row>
    <row r="1280" spans="1:9">
      <c r="A1280" t="s">
        <v>1500</v>
      </c>
      <c r="B1280" t="s">
        <v>1501</v>
      </c>
      <c r="C1280" t="s">
        <v>1502</v>
      </c>
      <c r="F1280" t="s">
        <v>1354</v>
      </c>
      <c r="G1280" t="s">
        <v>1503</v>
      </c>
      <c r="H1280">
        <v>2</v>
      </c>
    </row>
    <row r="1281" spans="1:8">
      <c r="A1281" t="s">
        <v>1500</v>
      </c>
      <c r="B1281" t="s">
        <v>1501</v>
      </c>
      <c r="C1281" t="s">
        <v>1502</v>
      </c>
      <c r="F1281" t="s">
        <v>1354</v>
      </c>
      <c r="G1281" t="s">
        <v>1503</v>
      </c>
      <c r="H1281">
        <v>3</v>
      </c>
    </row>
    <row r="1282" spans="1:8">
      <c r="A1282" t="s">
        <v>1500</v>
      </c>
      <c r="B1282" t="s">
        <v>1501</v>
      </c>
      <c r="C1282" t="s">
        <v>1502</v>
      </c>
      <c r="F1282" t="s">
        <v>1354</v>
      </c>
      <c r="G1282" t="s">
        <v>1503</v>
      </c>
      <c r="H1282">
        <v>4</v>
      </c>
    </row>
    <row r="1283" spans="1:8">
      <c r="A1283" t="s">
        <v>1500</v>
      </c>
      <c r="B1283" t="s">
        <v>1501</v>
      </c>
      <c r="C1283" t="s">
        <v>1502</v>
      </c>
      <c r="F1283" t="s">
        <v>1354</v>
      </c>
      <c r="G1283" t="s">
        <v>1503</v>
      </c>
      <c r="H1283">
        <v>5</v>
      </c>
    </row>
    <row r="1284" spans="1:8">
      <c r="A1284" t="s">
        <v>1500</v>
      </c>
      <c r="B1284" t="s">
        <v>1501</v>
      </c>
      <c r="C1284" t="s">
        <v>1502</v>
      </c>
      <c r="F1284" t="s">
        <v>1354</v>
      </c>
      <c r="G1284" t="s">
        <v>1503</v>
      </c>
      <c r="H1284">
        <v>6</v>
      </c>
    </row>
    <row r="1285" spans="1:8">
      <c r="A1285" t="s">
        <v>1500</v>
      </c>
      <c r="B1285" t="s">
        <v>1501</v>
      </c>
      <c r="C1285" t="s">
        <v>1502</v>
      </c>
      <c r="F1285" t="s">
        <v>1354</v>
      </c>
      <c r="G1285" t="s">
        <v>1503</v>
      </c>
      <c r="H1285">
        <v>7</v>
      </c>
    </row>
    <row r="1286" spans="1:8">
      <c r="A1286" t="s">
        <v>1500</v>
      </c>
      <c r="B1286" t="s">
        <v>1501</v>
      </c>
      <c r="C1286" t="s">
        <v>1502</v>
      </c>
      <c r="F1286" t="s">
        <v>1354</v>
      </c>
      <c r="G1286" t="s">
        <v>1503</v>
      </c>
      <c r="H1286">
        <v>8</v>
      </c>
    </row>
    <row r="1287" spans="1:8">
      <c r="A1287" t="s">
        <v>1500</v>
      </c>
      <c r="B1287" t="s">
        <v>1501</v>
      </c>
      <c r="C1287" t="s">
        <v>1502</v>
      </c>
      <c r="F1287" t="s">
        <v>1354</v>
      </c>
      <c r="G1287" t="s">
        <v>1503</v>
      </c>
      <c r="H1287">
        <v>9</v>
      </c>
    </row>
    <row r="1288" spans="1:8">
      <c r="A1288" t="s">
        <v>1500</v>
      </c>
      <c r="B1288" t="s">
        <v>1501</v>
      </c>
      <c r="C1288" t="s">
        <v>1504</v>
      </c>
      <c r="F1288" t="s">
        <v>1354</v>
      </c>
      <c r="G1288" t="s">
        <v>1503</v>
      </c>
      <c r="H1288">
        <v>10</v>
      </c>
    </row>
    <row r="1289" spans="1:8">
      <c r="A1289" t="s">
        <v>1500</v>
      </c>
      <c r="B1289" t="s">
        <v>1501</v>
      </c>
      <c r="C1289" t="s">
        <v>1504</v>
      </c>
      <c r="F1289" t="s">
        <v>1354</v>
      </c>
      <c r="G1289" t="s">
        <v>1503</v>
      </c>
      <c r="H1289">
        <v>11</v>
      </c>
    </row>
    <row r="1290" spans="1:8">
      <c r="A1290" t="s">
        <v>1500</v>
      </c>
      <c r="B1290" t="s">
        <v>1501</v>
      </c>
      <c r="C1290" t="s">
        <v>1504</v>
      </c>
      <c r="F1290" t="s">
        <v>1354</v>
      </c>
      <c r="G1290" t="s">
        <v>1503</v>
      </c>
      <c r="H1290">
        <v>12</v>
      </c>
    </row>
    <row r="1291" spans="1:8">
      <c r="A1291" t="s">
        <v>1500</v>
      </c>
      <c r="B1291" t="s">
        <v>1501</v>
      </c>
      <c r="C1291" t="s">
        <v>1504</v>
      </c>
      <c r="F1291" t="s">
        <v>1354</v>
      </c>
      <c r="G1291" t="s">
        <v>1503</v>
      </c>
      <c r="H1291">
        <v>13</v>
      </c>
    </row>
    <row r="1292" spans="1:8">
      <c r="A1292" t="s">
        <v>1500</v>
      </c>
      <c r="B1292" t="s">
        <v>1501</v>
      </c>
      <c r="C1292" t="s">
        <v>1504</v>
      </c>
      <c r="F1292" t="s">
        <v>1354</v>
      </c>
      <c r="G1292" t="s">
        <v>1503</v>
      </c>
      <c r="H1292">
        <v>14</v>
      </c>
    </row>
    <row r="1293" spans="1:8">
      <c r="A1293" t="s">
        <v>1500</v>
      </c>
      <c r="B1293" t="s">
        <v>1501</v>
      </c>
      <c r="C1293" t="s">
        <v>1504</v>
      </c>
      <c r="F1293" t="s">
        <v>1354</v>
      </c>
      <c r="G1293" t="s">
        <v>1503</v>
      </c>
      <c r="H1293">
        <v>15</v>
      </c>
    </row>
    <row r="1294" spans="1:8">
      <c r="A1294" t="s">
        <v>1500</v>
      </c>
      <c r="B1294" t="s">
        <v>1501</v>
      </c>
      <c r="C1294" t="s">
        <v>1504</v>
      </c>
      <c r="F1294" t="s">
        <v>1354</v>
      </c>
      <c r="G1294" t="s">
        <v>1503</v>
      </c>
      <c r="H1294">
        <v>16</v>
      </c>
    </row>
    <row r="1295" spans="1:8">
      <c r="A1295" t="s">
        <v>1500</v>
      </c>
      <c r="B1295" t="s">
        <v>1501</v>
      </c>
      <c r="C1295" t="s">
        <v>1504</v>
      </c>
      <c r="F1295" t="s">
        <v>1354</v>
      </c>
      <c r="G1295" t="s">
        <v>1503</v>
      </c>
      <c r="H1295">
        <v>17</v>
      </c>
    </row>
    <row r="1296" spans="1:8">
      <c r="A1296" t="s">
        <v>1500</v>
      </c>
      <c r="B1296" t="s">
        <v>1501</v>
      </c>
      <c r="C1296" t="s">
        <v>1505</v>
      </c>
      <c r="F1296" t="s">
        <v>1354</v>
      </c>
      <c r="G1296" t="s">
        <v>1503</v>
      </c>
      <c r="H1296">
        <v>18</v>
      </c>
    </row>
    <row r="1297" spans="1:9">
      <c r="A1297" t="s">
        <v>1500</v>
      </c>
      <c r="B1297" t="s">
        <v>1501</v>
      </c>
      <c r="C1297" t="s">
        <v>1505</v>
      </c>
      <c r="F1297" t="s">
        <v>1354</v>
      </c>
      <c r="G1297" t="s">
        <v>1503</v>
      </c>
      <c r="H1297">
        <v>19</v>
      </c>
    </row>
    <row r="1298" spans="1:9">
      <c r="A1298" t="s">
        <v>1500</v>
      </c>
      <c r="B1298" t="s">
        <v>1501</v>
      </c>
      <c r="C1298" t="s">
        <v>1505</v>
      </c>
      <c r="F1298" t="s">
        <v>1354</v>
      </c>
      <c r="G1298" t="s">
        <v>1503</v>
      </c>
      <c r="H1298">
        <v>20</v>
      </c>
    </row>
    <row r="1299" spans="1:9">
      <c r="A1299" t="s">
        <v>1500</v>
      </c>
      <c r="B1299" t="s">
        <v>1501</v>
      </c>
      <c r="C1299" t="s">
        <v>1505</v>
      </c>
      <c r="F1299" t="s">
        <v>1354</v>
      </c>
      <c r="G1299" t="s">
        <v>1503</v>
      </c>
      <c r="H1299">
        <v>21</v>
      </c>
    </row>
    <row r="1300" spans="1:9">
      <c r="A1300" t="s">
        <v>1500</v>
      </c>
      <c r="B1300" t="s">
        <v>1501</v>
      </c>
      <c r="C1300" t="s">
        <v>1505</v>
      </c>
      <c r="F1300" t="s">
        <v>1354</v>
      </c>
      <c r="G1300" t="s">
        <v>1503</v>
      </c>
      <c r="H1300">
        <v>22</v>
      </c>
    </row>
    <row r="1301" spans="1:9">
      <c r="A1301" t="s">
        <v>1500</v>
      </c>
      <c r="B1301" t="s">
        <v>1501</v>
      </c>
      <c r="C1301" t="s">
        <v>1505</v>
      </c>
      <c r="F1301" t="s">
        <v>1354</v>
      </c>
      <c r="G1301" t="s">
        <v>1503</v>
      </c>
      <c r="H1301">
        <v>23</v>
      </c>
    </row>
    <row r="1302" spans="1:9">
      <c r="A1302" t="s">
        <v>1500</v>
      </c>
      <c r="B1302" t="s">
        <v>1501</v>
      </c>
      <c r="C1302" t="s">
        <v>1505</v>
      </c>
      <c r="F1302" t="s">
        <v>1354</v>
      </c>
      <c r="G1302" t="s">
        <v>1503</v>
      </c>
      <c r="H1302">
        <v>24</v>
      </c>
    </row>
    <row r="1303" spans="1:9">
      <c r="A1303" t="s">
        <v>1500</v>
      </c>
      <c r="B1303" t="s">
        <v>1501</v>
      </c>
      <c r="C1303" t="s">
        <v>1505</v>
      </c>
      <c r="F1303" t="s">
        <v>1354</v>
      </c>
      <c r="G1303" t="s">
        <v>1503</v>
      </c>
      <c r="H1303">
        <v>25</v>
      </c>
    </row>
    <row r="1304" spans="1:9">
      <c r="A1304" t="s">
        <v>1500</v>
      </c>
      <c r="B1304" t="s">
        <v>1501</v>
      </c>
      <c r="C1304" t="s">
        <v>1506</v>
      </c>
      <c r="F1304" t="s">
        <v>1354</v>
      </c>
      <c r="G1304" t="s">
        <v>1503</v>
      </c>
      <c r="H1304">
        <v>26</v>
      </c>
    </row>
    <row r="1305" spans="1:9">
      <c r="A1305" t="s">
        <v>1500</v>
      </c>
      <c r="B1305" t="s">
        <v>1501</v>
      </c>
      <c r="C1305" t="s">
        <v>1506</v>
      </c>
      <c r="F1305" t="s">
        <v>1354</v>
      </c>
      <c r="G1305" t="s">
        <v>1503</v>
      </c>
      <c r="H1305">
        <v>27</v>
      </c>
    </row>
    <row r="1306" spans="1:9">
      <c r="A1306" t="s">
        <v>1500</v>
      </c>
      <c r="B1306" t="s">
        <v>1501</v>
      </c>
      <c r="C1306" t="s">
        <v>1506</v>
      </c>
      <c r="F1306" t="s">
        <v>1354</v>
      </c>
      <c r="G1306" t="s">
        <v>1503</v>
      </c>
      <c r="H1306">
        <v>28</v>
      </c>
    </row>
    <row r="1307" spans="1:9">
      <c r="A1307" t="s">
        <v>1500</v>
      </c>
      <c r="B1307" t="s">
        <v>1501</v>
      </c>
      <c r="C1307" t="s">
        <v>1506</v>
      </c>
      <c r="F1307" t="s">
        <v>1354</v>
      </c>
      <c r="G1307" t="s">
        <v>1503</v>
      </c>
      <c r="H1307">
        <v>29</v>
      </c>
    </row>
    <row r="1308" spans="1:9">
      <c r="A1308" t="s">
        <v>1500</v>
      </c>
      <c r="B1308" t="s">
        <v>1501</v>
      </c>
      <c r="C1308" t="s">
        <v>1506</v>
      </c>
      <c r="F1308" t="s">
        <v>1354</v>
      </c>
      <c r="G1308" t="s">
        <v>1503</v>
      </c>
      <c r="H1308">
        <v>30</v>
      </c>
    </row>
    <row r="1309" spans="1:9">
      <c r="A1309" t="s">
        <v>1500</v>
      </c>
      <c r="B1309" t="s">
        <v>1501</v>
      </c>
      <c r="C1309" t="s">
        <v>1506</v>
      </c>
      <c r="F1309" t="s">
        <v>1354</v>
      </c>
      <c r="G1309" t="s">
        <v>1503</v>
      </c>
      <c r="H1309">
        <v>31</v>
      </c>
    </row>
    <row r="1310" spans="1:9">
      <c r="A1310" t="s">
        <v>1500</v>
      </c>
      <c r="B1310" t="s">
        <v>1501</v>
      </c>
      <c r="C1310" t="s">
        <v>1506</v>
      </c>
      <c r="F1310" t="s">
        <v>1354</v>
      </c>
      <c r="G1310" t="s">
        <v>1503</v>
      </c>
      <c r="H1310">
        <v>32</v>
      </c>
    </row>
    <row r="1311" spans="1:9">
      <c r="A1311" t="s">
        <v>1500</v>
      </c>
      <c r="B1311" t="s">
        <v>1501</v>
      </c>
      <c r="C1311" t="s">
        <v>1506</v>
      </c>
      <c r="F1311" t="s">
        <v>1354</v>
      </c>
      <c r="G1311" t="s">
        <v>1503</v>
      </c>
      <c r="H1311">
        <v>33</v>
      </c>
    </row>
    <row r="1312" spans="1:9">
      <c r="A1312" t="s">
        <v>1500</v>
      </c>
      <c r="B1312" t="s">
        <v>1501</v>
      </c>
      <c r="C1312" t="s">
        <v>1507</v>
      </c>
      <c r="D1312" t="s">
        <v>1508</v>
      </c>
      <c r="E1312" t="s">
        <v>1509</v>
      </c>
      <c r="F1312" t="s">
        <v>1297</v>
      </c>
      <c r="G1312" t="s">
        <v>1510</v>
      </c>
      <c r="H1312">
        <v>2</v>
      </c>
      <c r="I1312" t="s">
        <v>1511</v>
      </c>
    </row>
    <row r="1313" spans="1:9">
      <c r="A1313" t="s">
        <v>1500</v>
      </c>
      <c r="B1313" t="s">
        <v>1501</v>
      </c>
      <c r="C1313" t="s">
        <v>1507</v>
      </c>
      <c r="D1313" t="s">
        <v>1512</v>
      </c>
      <c r="E1313" t="s">
        <v>1509</v>
      </c>
      <c r="F1313" t="s">
        <v>1297</v>
      </c>
      <c r="G1313" t="s">
        <v>1510</v>
      </c>
      <c r="H1313">
        <v>3</v>
      </c>
      <c r="I1313" t="s">
        <v>1513</v>
      </c>
    </row>
    <row r="1314" spans="1:9">
      <c r="A1314" t="s">
        <v>1500</v>
      </c>
      <c r="B1314" t="s">
        <v>1501</v>
      </c>
      <c r="C1314" t="s">
        <v>1507</v>
      </c>
      <c r="D1314" t="s">
        <v>1514</v>
      </c>
      <c r="E1314" t="s">
        <v>1509</v>
      </c>
      <c r="F1314" t="s">
        <v>1297</v>
      </c>
      <c r="G1314" t="s">
        <v>1510</v>
      </c>
      <c r="H1314">
        <v>4</v>
      </c>
      <c r="I1314" t="s">
        <v>1515</v>
      </c>
    </row>
    <row r="1315" spans="1:9">
      <c r="A1315" t="s">
        <v>1500</v>
      </c>
      <c r="B1315" t="s">
        <v>1501</v>
      </c>
      <c r="C1315" t="s">
        <v>1516</v>
      </c>
      <c r="D1315" t="s">
        <v>1517</v>
      </c>
      <c r="E1315" t="s">
        <v>1509</v>
      </c>
      <c r="F1315" t="s">
        <v>1363</v>
      </c>
      <c r="G1315" t="s">
        <v>1510</v>
      </c>
      <c r="H1315">
        <v>5</v>
      </c>
      <c r="I1315" t="s">
        <v>1518</v>
      </c>
    </row>
    <row r="1316" spans="1:9">
      <c r="A1316" t="s">
        <v>1500</v>
      </c>
      <c r="B1316" t="s">
        <v>1501</v>
      </c>
      <c r="C1316" t="s">
        <v>1516</v>
      </c>
      <c r="D1316" t="s">
        <v>1519</v>
      </c>
      <c r="E1316" t="s">
        <v>1509</v>
      </c>
      <c r="F1316" t="s">
        <v>1363</v>
      </c>
      <c r="G1316" t="s">
        <v>1510</v>
      </c>
      <c r="H1316">
        <v>6</v>
      </c>
      <c r="I1316" t="s">
        <v>1520</v>
      </c>
    </row>
    <row r="1317" spans="1:9">
      <c r="A1317" t="s">
        <v>1500</v>
      </c>
      <c r="B1317" t="s">
        <v>1501</v>
      </c>
      <c r="C1317" t="s">
        <v>1516</v>
      </c>
      <c r="D1317" t="s">
        <v>1521</v>
      </c>
      <c r="E1317" t="s">
        <v>1509</v>
      </c>
      <c r="F1317" t="s">
        <v>1363</v>
      </c>
      <c r="G1317" t="s">
        <v>1510</v>
      </c>
      <c r="H1317">
        <v>7</v>
      </c>
      <c r="I1317" t="s">
        <v>1522</v>
      </c>
    </row>
    <row r="1318" spans="1:9">
      <c r="A1318" t="s">
        <v>1500</v>
      </c>
      <c r="B1318" t="s">
        <v>1501</v>
      </c>
      <c r="C1318" t="s">
        <v>1516</v>
      </c>
      <c r="D1318" t="s">
        <v>1523</v>
      </c>
      <c r="E1318" t="s">
        <v>1509</v>
      </c>
      <c r="F1318" t="s">
        <v>1292</v>
      </c>
      <c r="G1318" t="s">
        <v>1510</v>
      </c>
      <c r="H1318">
        <v>8</v>
      </c>
      <c r="I1318" t="s">
        <v>1524</v>
      </c>
    </row>
    <row r="1319" spans="1:9">
      <c r="A1319" t="s">
        <v>1500</v>
      </c>
      <c r="B1319" t="s">
        <v>1501</v>
      </c>
      <c r="C1319" t="s">
        <v>1502</v>
      </c>
      <c r="D1319" t="s">
        <v>1525</v>
      </c>
      <c r="E1319" t="s">
        <v>1526</v>
      </c>
      <c r="F1319" t="s">
        <v>1297</v>
      </c>
      <c r="G1319" t="s">
        <v>1527</v>
      </c>
      <c r="H1319">
        <v>2</v>
      </c>
      <c r="I1319" t="s">
        <v>1528</v>
      </c>
    </row>
    <row r="1320" spans="1:9">
      <c r="A1320" t="s">
        <v>1500</v>
      </c>
      <c r="B1320" t="s">
        <v>1501</v>
      </c>
      <c r="C1320" t="s">
        <v>1502</v>
      </c>
      <c r="D1320" t="s">
        <v>1525</v>
      </c>
      <c r="E1320" t="s">
        <v>1526</v>
      </c>
      <c r="F1320" t="s">
        <v>1297</v>
      </c>
      <c r="G1320" t="s">
        <v>1527</v>
      </c>
      <c r="H1320">
        <v>3</v>
      </c>
      <c r="I1320" t="s">
        <v>1529</v>
      </c>
    </row>
    <row r="1321" spans="1:9">
      <c r="A1321" t="s">
        <v>1500</v>
      </c>
      <c r="B1321" t="s">
        <v>1501</v>
      </c>
      <c r="C1321" t="s">
        <v>1504</v>
      </c>
      <c r="D1321" t="s">
        <v>1530</v>
      </c>
      <c r="E1321" t="s">
        <v>1531</v>
      </c>
      <c r="F1321" t="s">
        <v>1297</v>
      </c>
      <c r="G1321" t="s">
        <v>1527</v>
      </c>
      <c r="H1321">
        <v>4</v>
      </c>
      <c r="I1321" t="s">
        <v>1532</v>
      </c>
    </row>
    <row r="1322" spans="1:9">
      <c r="A1322" t="s">
        <v>1500</v>
      </c>
      <c r="B1322" t="s">
        <v>1501</v>
      </c>
      <c r="C1322" t="s">
        <v>1505</v>
      </c>
      <c r="D1322" t="s">
        <v>1533</v>
      </c>
      <c r="E1322" t="s">
        <v>1534</v>
      </c>
      <c r="F1322" t="s">
        <v>1297</v>
      </c>
      <c r="G1322" t="s">
        <v>1527</v>
      </c>
      <c r="H1322">
        <v>5</v>
      </c>
      <c r="I1322" t="s">
        <v>1535</v>
      </c>
    </row>
    <row r="1323" spans="1:9">
      <c r="A1323" t="s">
        <v>1500</v>
      </c>
      <c r="B1323" t="s">
        <v>1501</v>
      </c>
      <c r="C1323" t="s">
        <v>1505</v>
      </c>
      <c r="D1323" t="s">
        <v>1533</v>
      </c>
      <c r="E1323" t="s">
        <v>1536</v>
      </c>
      <c r="F1323" t="s">
        <v>1297</v>
      </c>
      <c r="G1323" t="s">
        <v>1527</v>
      </c>
      <c r="H1323">
        <v>6</v>
      </c>
      <c r="I1323" t="s">
        <v>1535</v>
      </c>
    </row>
    <row r="1324" spans="1:9">
      <c r="A1324" t="s">
        <v>1500</v>
      </c>
      <c r="B1324" t="s">
        <v>1501</v>
      </c>
      <c r="C1324" t="s">
        <v>1506</v>
      </c>
      <c r="D1324" t="s">
        <v>1537</v>
      </c>
      <c r="E1324" t="s">
        <v>1538</v>
      </c>
      <c r="F1324" t="s">
        <v>1419</v>
      </c>
      <c r="G1324" t="s">
        <v>1527</v>
      </c>
      <c r="H1324">
        <v>7</v>
      </c>
      <c r="I1324" t="s">
        <v>1539</v>
      </c>
    </row>
    <row r="1325" spans="1:9">
      <c r="A1325" t="s">
        <v>1500</v>
      </c>
      <c r="B1325" t="s">
        <v>1501</v>
      </c>
      <c r="C1325" t="s">
        <v>1506</v>
      </c>
      <c r="D1325" t="s">
        <v>1540</v>
      </c>
      <c r="E1325" t="s">
        <v>1541</v>
      </c>
      <c r="F1325" t="s">
        <v>1419</v>
      </c>
      <c r="G1325" t="s">
        <v>1527</v>
      </c>
      <c r="H1325">
        <v>8</v>
      </c>
      <c r="I1325" t="s">
        <v>1542</v>
      </c>
    </row>
    <row r="1326" spans="1:9">
      <c r="A1326" t="s">
        <v>1500</v>
      </c>
      <c r="B1326" t="s">
        <v>1501</v>
      </c>
      <c r="C1326" t="s">
        <v>1506</v>
      </c>
      <c r="D1326" t="s">
        <v>1543</v>
      </c>
      <c r="E1326" t="s">
        <v>1541</v>
      </c>
      <c r="F1326" t="s">
        <v>1419</v>
      </c>
      <c r="G1326" t="s">
        <v>1527</v>
      </c>
      <c r="H1326">
        <v>9</v>
      </c>
      <c r="I1326" t="s">
        <v>1542</v>
      </c>
    </row>
    <row r="1327" spans="1:9">
      <c r="A1327" t="s">
        <v>1500</v>
      </c>
      <c r="B1327" t="s">
        <v>1501</v>
      </c>
      <c r="C1327" t="s">
        <v>1506</v>
      </c>
      <c r="D1327" t="s">
        <v>1544</v>
      </c>
      <c r="E1327" t="s">
        <v>1541</v>
      </c>
      <c r="F1327" t="s">
        <v>1419</v>
      </c>
      <c r="G1327" t="s">
        <v>1527</v>
      </c>
      <c r="H1327">
        <v>10</v>
      </c>
      <c r="I1327" t="s">
        <v>1542</v>
      </c>
    </row>
    <row r="1328" spans="1:9">
      <c r="A1328" t="s">
        <v>1500</v>
      </c>
      <c r="B1328" t="s">
        <v>1501</v>
      </c>
      <c r="C1328" t="s">
        <v>1505</v>
      </c>
      <c r="D1328" t="s">
        <v>1545</v>
      </c>
      <c r="E1328" t="s">
        <v>1546</v>
      </c>
      <c r="F1328" t="s">
        <v>1419</v>
      </c>
      <c r="G1328" t="s">
        <v>1527</v>
      </c>
      <c r="H1328">
        <v>11</v>
      </c>
      <c r="I1328" t="s">
        <v>1547</v>
      </c>
    </row>
    <row r="1329" spans="1:9">
      <c r="A1329" t="s">
        <v>1500</v>
      </c>
      <c r="B1329" t="s">
        <v>1501</v>
      </c>
      <c r="C1329" t="s">
        <v>1505</v>
      </c>
      <c r="D1329" t="s">
        <v>1548</v>
      </c>
      <c r="E1329" t="s">
        <v>1546</v>
      </c>
      <c r="F1329" t="s">
        <v>1419</v>
      </c>
      <c r="G1329" t="s">
        <v>1527</v>
      </c>
      <c r="H1329">
        <v>12</v>
      </c>
      <c r="I1329" t="s">
        <v>1547</v>
      </c>
    </row>
    <row r="1330" spans="1:9">
      <c r="A1330" t="s">
        <v>1500</v>
      </c>
      <c r="B1330" t="s">
        <v>1501</v>
      </c>
      <c r="C1330" t="s">
        <v>1505</v>
      </c>
      <c r="D1330" t="s">
        <v>1549</v>
      </c>
      <c r="E1330" t="s">
        <v>1546</v>
      </c>
      <c r="F1330" t="s">
        <v>1419</v>
      </c>
      <c r="G1330" t="s">
        <v>1527</v>
      </c>
      <c r="H1330">
        <v>13</v>
      </c>
      <c r="I1330" t="s">
        <v>1547</v>
      </c>
    </row>
    <row r="1331" spans="1:9">
      <c r="A1331" t="s">
        <v>1500</v>
      </c>
      <c r="B1331" t="s">
        <v>1501</v>
      </c>
      <c r="C1331" t="s">
        <v>1505</v>
      </c>
      <c r="D1331" t="s">
        <v>1550</v>
      </c>
      <c r="E1331" t="s">
        <v>1546</v>
      </c>
      <c r="F1331" t="s">
        <v>1419</v>
      </c>
      <c r="G1331" t="s">
        <v>1527</v>
      </c>
      <c r="H1331">
        <v>14</v>
      </c>
      <c r="I1331" t="s">
        <v>1547</v>
      </c>
    </row>
    <row r="1332" spans="1:9">
      <c r="A1332" t="s">
        <v>1500</v>
      </c>
      <c r="B1332" t="s">
        <v>1501</v>
      </c>
      <c r="C1332" t="s">
        <v>1505</v>
      </c>
      <c r="D1332" t="s">
        <v>1551</v>
      </c>
      <c r="E1332" t="s">
        <v>1546</v>
      </c>
      <c r="F1332" t="s">
        <v>1419</v>
      </c>
      <c r="G1332" t="s">
        <v>1527</v>
      </c>
      <c r="H1332">
        <v>15</v>
      </c>
      <c r="I1332" t="s">
        <v>1547</v>
      </c>
    </row>
    <row r="1333" spans="1:9">
      <c r="A1333" t="s">
        <v>1500</v>
      </c>
      <c r="B1333" t="s">
        <v>1501</v>
      </c>
      <c r="C1333" t="s">
        <v>1552</v>
      </c>
      <c r="D1333" t="s">
        <v>1553</v>
      </c>
      <c r="E1333" t="s">
        <v>1554</v>
      </c>
      <c r="F1333" t="s">
        <v>1419</v>
      </c>
      <c r="G1333" t="s">
        <v>1527</v>
      </c>
      <c r="H1333">
        <v>16</v>
      </c>
      <c r="I1333" t="s">
        <v>1555</v>
      </c>
    </row>
    <row r="1334" spans="1:9">
      <c r="A1334" t="s">
        <v>1500</v>
      </c>
      <c r="B1334" t="s">
        <v>1501</v>
      </c>
      <c r="C1334" t="s">
        <v>1552</v>
      </c>
      <c r="D1334" t="s">
        <v>1556</v>
      </c>
      <c r="E1334" t="s">
        <v>1554</v>
      </c>
      <c r="F1334" t="s">
        <v>1419</v>
      </c>
      <c r="G1334" t="s">
        <v>1527</v>
      </c>
      <c r="H1334">
        <v>17</v>
      </c>
      <c r="I1334" t="s">
        <v>1555</v>
      </c>
    </row>
    <row r="1335" spans="1:9">
      <c r="A1335" t="s">
        <v>1500</v>
      </c>
      <c r="B1335" t="s">
        <v>1501</v>
      </c>
      <c r="C1335" t="s">
        <v>1552</v>
      </c>
      <c r="D1335" t="s">
        <v>1557</v>
      </c>
      <c r="E1335" t="s">
        <v>1554</v>
      </c>
      <c r="F1335" t="s">
        <v>1419</v>
      </c>
      <c r="G1335" t="s">
        <v>1527</v>
      </c>
      <c r="H1335">
        <v>18</v>
      </c>
      <c r="I1335" t="s">
        <v>1555</v>
      </c>
    </row>
    <row r="1336" spans="1:9">
      <c r="A1336" t="s">
        <v>1500</v>
      </c>
      <c r="B1336" t="s">
        <v>1501</v>
      </c>
      <c r="C1336" t="s">
        <v>1552</v>
      </c>
      <c r="D1336" t="s">
        <v>1558</v>
      </c>
      <c r="E1336" t="s">
        <v>1554</v>
      </c>
      <c r="F1336" t="s">
        <v>1419</v>
      </c>
      <c r="G1336" t="s">
        <v>1527</v>
      </c>
      <c r="H1336">
        <v>19</v>
      </c>
      <c r="I1336" t="s">
        <v>1555</v>
      </c>
    </row>
    <row r="1337" spans="1:9">
      <c r="A1337" t="s">
        <v>1500</v>
      </c>
      <c r="B1337" t="s">
        <v>1501</v>
      </c>
      <c r="C1337" t="s">
        <v>1552</v>
      </c>
      <c r="D1337" t="s">
        <v>1559</v>
      </c>
      <c r="E1337" t="s">
        <v>1554</v>
      </c>
      <c r="F1337" t="s">
        <v>1419</v>
      </c>
      <c r="G1337" t="s">
        <v>1527</v>
      </c>
      <c r="H1337">
        <v>20</v>
      </c>
      <c r="I1337" t="s">
        <v>1555</v>
      </c>
    </row>
    <row r="1338" spans="1:9">
      <c r="A1338" t="s">
        <v>1500</v>
      </c>
      <c r="B1338" t="s">
        <v>1501</v>
      </c>
      <c r="C1338" t="s">
        <v>1552</v>
      </c>
      <c r="D1338" t="s">
        <v>1560</v>
      </c>
      <c r="E1338" t="s">
        <v>1554</v>
      </c>
      <c r="F1338" t="s">
        <v>1419</v>
      </c>
      <c r="G1338" t="s">
        <v>1527</v>
      </c>
      <c r="H1338">
        <v>21</v>
      </c>
      <c r="I1338" t="s">
        <v>1555</v>
      </c>
    </row>
    <row r="1339" spans="1:9">
      <c r="A1339" t="s">
        <v>1500</v>
      </c>
      <c r="B1339" t="s">
        <v>1501</v>
      </c>
      <c r="C1339" t="s">
        <v>1552</v>
      </c>
      <c r="D1339" t="s">
        <v>1561</v>
      </c>
      <c r="E1339" t="s">
        <v>1554</v>
      </c>
      <c r="F1339" t="s">
        <v>1419</v>
      </c>
      <c r="G1339" t="s">
        <v>1527</v>
      </c>
      <c r="H1339">
        <v>22</v>
      </c>
      <c r="I1339" t="s">
        <v>1555</v>
      </c>
    </row>
    <row r="1340" spans="1:9">
      <c r="A1340" t="s">
        <v>1500</v>
      </c>
      <c r="B1340" t="s">
        <v>1501</v>
      </c>
      <c r="C1340" t="s">
        <v>1552</v>
      </c>
      <c r="D1340" t="s">
        <v>1562</v>
      </c>
      <c r="E1340" t="s">
        <v>1554</v>
      </c>
      <c r="F1340" t="s">
        <v>1419</v>
      </c>
      <c r="G1340" t="s">
        <v>1527</v>
      </c>
      <c r="H1340">
        <v>23</v>
      </c>
      <c r="I1340" t="s">
        <v>1555</v>
      </c>
    </row>
    <row r="1341" spans="1:9">
      <c r="A1341" t="s">
        <v>1500</v>
      </c>
      <c r="B1341" t="s">
        <v>1501</v>
      </c>
      <c r="C1341" t="s">
        <v>1552</v>
      </c>
      <c r="D1341" t="s">
        <v>1563</v>
      </c>
      <c r="E1341" t="s">
        <v>1554</v>
      </c>
      <c r="F1341" t="s">
        <v>1419</v>
      </c>
      <c r="G1341" t="s">
        <v>1527</v>
      </c>
      <c r="H1341">
        <v>24</v>
      </c>
      <c r="I1341" t="s">
        <v>1555</v>
      </c>
    </row>
    <row r="1342" spans="1:9">
      <c r="A1342" t="s">
        <v>1500</v>
      </c>
      <c r="B1342" t="s">
        <v>1501</v>
      </c>
      <c r="C1342" t="s">
        <v>1552</v>
      </c>
      <c r="D1342" t="s">
        <v>1564</v>
      </c>
      <c r="E1342" t="s">
        <v>1554</v>
      </c>
      <c r="F1342" t="s">
        <v>1419</v>
      </c>
      <c r="G1342" t="s">
        <v>1527</v>
      </c>
      <c r="H1342">
        <v>25</v>
      </c>
      <c r="I1342" t="s">
        <v>1555</v>
      </c>
    </row>
    <row r="1343" spans="1:9">
      <c r="A1343" t="s">
        <v>1500</v>
      </c>
      <c r="B1343" t="s">
        <v>1501</v>
      </c>
      <c r="C1343" t="s">
        <v>1552</v>
      </c>
      <c r="D1343" t="s">
        <v>1565</v>
      </c>
      <c r="E1343" t="s">
        <v>1554</v>
      </c>
      <c r="F1343" t="s">
        <v>1419</v>
      </c>
      <c r="G1343" t="s">
        <v>1527</v>
      </c>
      <c r="H1343">
        <v>26</v>
      </c>
      <c r="I1343" t="s">
        <v>1555</v>
      </c>
    </row>
    <row r="1344" spans="1:9">
      <c r="A1344" t="s">
        <v>1500</v>
      </c>
      <c r="B1344" t="s">
        <v>1501</v>
      </c>
      <c r="C1344" t="s">
        <v>1552</v>
      </c>
      <c r="D1344" t="s">
        <v>1566</v>
      </c>
      <c r="E1344" t="s">
        <v>1554</v>
      </c>
      <c r="F1344" t="s">
        <v>1419</v>
      </c>
      <c r="G1344" t="s">
        <v>1527</v>
      </c>
      <c r="H1344">
        <v>27</v>
      </c>
      <c r="I1344" t="s">
        <v>1555</v>
      </c>
    </row>
    <row r="1345" spans="1:9">
      <c r="A1345" t="s">
        <v>1500</v>
      </c>
      <c r="B1345" t="s">
        <v>1501</v>
      </c>
      <c r="C1345" t="s">
        <v>1552</v>
      </c>
      <c r="D1345" t="s">
        <v>1567</v>
      </c>
      <c r="E1345" t="s">
        <v>1554</v>
      </c>
      <c r="F1345" t="s">
        <v>1419</v>
      </c>
      <c r="G1345" t="s">
        <v>1527</v>
      </c>
      <c r="H1345">
        <v>28</v>
      </c>
      <c r="I1345" t="s">
        <v>1555</v>
      </c>
    </row>
    <row r="1346" spans="1:9">
      <c r="A1346" t="s">
        <v>1500</v>
      </c>
      <c r="B1346" t="s">
        <v>1501</v>
      </c>
      <c r="C1346" t="s">
        <v>1552</v>
      </c>
      <c r="D1346" t="s">
        <v>1568</v>
      </c>
      <c r="E1346" t="s">
        <v>1554</v>
      </c>
      <c r="F1346" t="s">
        <v>1419</v>
      </c>
      <c r="G1346" t="s">
        <v>1527</v>
      </c>
      <c r="H1346">
        <v>29</v>
      </c>
      <c r="I1346" t="s">
        <v>1555</v>
      </c>
    </row>
    <row r="1347" spans="1:9">
      <c r="A1347" t="s">
        <v>1500</v>
      </c>
      <c r="B1347" t="s">
        <v>1501</v>
      </c>
      <c r="C1347" t="s">
        <v>1552</v>
      </c>
      <c r="D1347" t="s">
        <v>1569</v>
      </c>
      <c r="E1347" t="s">
        <v>1554</v>
      </c>
      <c r="F1347" t="s">
        <v>1419</v>
      </c>
      <c r="G1347" t="s">
        <v>1527</v>
      </c>
      <c r="H1347">
        <v>30</v>
      </c>
      <c r="I1347" t="s">
        <v>1555</v>
      </c>
    </row>
    <row r="1348" spans="1:9">
      <c r="A1348" t="s">
        <v>1500</v>
      </c>
      <c r="B1348" t="s">
        <v>1501</v>
      </c>
      <c r="C1348" t="s">
        <v>1552</v>
      </c>
      <c r="D1348" t="s">
        <v>1570</v>
      </c>
      <c r="E1348" t="s">
        <v>1554</v>
      </c>
      <c r="F1348" t="s">
        <v>1419</v>
      </c>
      <c r="G1348" t="s">
        <v>1527</v>
      </c>
      <c r="H1348">
        <v>31</v>
      </c>
      <c r="I1348" t="s">
        <v>1555</v>
      </c>
    </row>
    <row r="1349" spans="1:9">
      <c r="A1349" t="s">
        <v>1500</v>
      </c>
      <c r="B1349" t="s">
        <v>1501</v>
      </c>
      <c r="C1349" t="s">
        <v>1502</v>
      </c>
      <c r="D1349" t="s">
        <v>1571</v>
      </c>
      <c r="E1349" t="s">
        <v>1572</v>
      </c>
      <c r="F1349" t="s">
        <v>1299</v>
      </c>
      <c r="G1349" t="s">
        <v>1527</v>
      </c>
      <c r="H1349">
        <v>32</v>
      </c>
      <c r="I1349" t="s">
        <v>1573</v>
      </c>
    </row>
    <row r="1350" spans="1:9">
      <c r="A1350" t="s">
        <v>1500</v>
      </c>
      <c r="B1350" t="s">
        <v>1501</v>
      </c>
      <c r="C1350" t="s">
        <v>1502</v>
      </c>
      <c r="D1350" t="s">
        <v>1574</v>
      </c>
      <c r="E1350" t="s">
        <v>1572</v>
      </c>
      <c r="F1350" t="s">
        <v>1299</v>
      </c>
      <c r="G1350" t="s">
        <v>1527</v>
      </c>
      <c r="H1350">
        <v>33</v>
      </c>
      <c r="I1350" t="s">
        <v>1573</v>
      </c>
    </row>
    <row r="1351" spans="1:9">
      <c r="A1351" t="s">
        <v>1500</v>
      </c>
      <c r="B1351" t="s">
        <v>1501</v>
      </c>
      <c r="C1351" t="s">
        <v>1504</v>
      </c>
      <c r="D1351" t="s">
        <v>1575</v>
      </c>
      <c r="E1351" t="s">
        <v>1572</v>
      </c>
      <c r="F1351" t="s">
        <v>1299</v>
      </c>
      <c r="G1351" t="s">
        <v>1527</v>
      </c>
      <c r="H1351">
        <v>34</v>
      </c>
      <c r="I1351" t="s">
        <v>1573</v>
      </c>
    </row>
    <row r="1352" spans="1:9">
      <c r="A1352" t="s">
        <v>1500</v>
      </c>
      <c r="B1352" t="s">
        <v>1501</v>
      </c>
      <c r="C1352" t="s">
        <v>1504</v>
      </c>
      <c r="D1352" t="s">
        <v>1576</v>
      </c>
      <c r="E1352" t="s">
        <v>1572</v>
      </c>
      <c r="F1352" t="s">
        <v>1299</v>
      </c>
      <c r="G1352" t="s">
        <v>1527</v>
      </c>
      <c r="H1352">
        <v>35</v>
      </c>
      <c r="I1352" t="s">
        <v>1573</v>
      </c>
    </row>
    <row r="1353" spans="1:9">
      <c r="A1353" t="s">
        <v>1500</v>
      </c>
      <c r="B1353" t="s">
        <v>1501</v>
      </c>
      <c r="C1353" t="s">
        <v>1505</v>
      </c>
      <c r="D1353" t="s">
        <v>1577</v>
      </c>
      <c r="E1353" t="s">
        <v>1572</v>
      </c>
      <c r="F1353" t="s">
        <v>1299</v>
      </c>
      <c r="G1353" t="s">
        <v>1527</v>
      </c>
      <c r="H1353">
        <v>36</v>
      </c>
      <c r="I1353" t="s">
        <v>1573</v>
      </c>
    </row>
    <row r="1354" spans="1:9">
      <c r="A1354" t="s">
        <v>1500</v>
      </c>
      <c r="B1354" t="s">
        <v>1501</v>
      </c>
      <c r="C1354" t="s">
        <v>1505</v>
      </c>
      <c r="D1354" t="s">
        <v>1578</v>
      </c>
      <c r="E1354" t="s">
        <v>1572</v>
      </c>
      <c r="F1354" t="s">
        <v>1299</v>
      </c>
      <c r="G1354" t="s">
        <v>1527</v>
      </c>
      <c r="H1354">
        <v>37</v>
      </c>
      <c r="I1354" t="s">
        <v>1573</v>
      </c>
    </row>
    <row r="1355" spans="1:9">
      <c r="A1355" t="s">
        <v>1500</v>
      </c>
      <c r="B1355" t="s">
        <v>1501</v>
      </c>
      <c r="C1355" t="s">
        <v>1506</v>
      </c>
      <c r="D1355" t="s">
        <v>1579</v>
      </c>
      <c r="E1355" t="s">
        <v>1572</v>
      </c>
      <c r="F1355" t="s">
        <v>1299</v>
      </c>
      <c r="G1355" t="s">
        <v>1527</v>
      </c>
      <c r="H1355">
        <v>38</v>
      </c>
      <c r="I1355" t="s">
        <v>1573</v>
      </c>
    </row>
    <row r="1356" spans="1:9">
      <c r="A1356" t="s">
        <v>1500</v>
      </c>
      <c r="B1356" t="s">
        <v>1501</v>
      </c>
      <c r="C1356" t="s">
        <v>1506</v>
      </c>
      <c r="D1356" t="s">
        <v>1580</v>
      </c>
      <c r="E1356" t="s">
        <v>1572</v>
      </c>
      <c r="F1356" t="s">
        <v>1299</v>
      </c>
      <c r="G1356" t="s">
        <v>1527</v>
      </c>
      <c r="H1356">
        <v>39</v>
      </c>
      <c r="I1356" t="s">
        <v>1573</v>
      </c>
    </row>
    <row r="1357" spans="1:9">
      <c r="A1357" t="s">
        <v>1500</v>
      </c>
      <c r="B1357" t="s">
        <v>1501</v>
      </c>
      <c r="C1357" t="s">
        <v>1507</v>
      </c>
      <c r="D1357" t="s">
        <v>1581</v>
      </c>
      <c r="E1357" t="s">
        <v>1582</v>
      </c>
      <c r="F1357" t="s">
        <v>1363</v>
      </c>
      <c r="G1357" t="s">
        <v>1583</v>
      </c>
      <c r="H1357">
        <v>2</v>
      </c>
      <c r="I1357" t="s">
        <v>1584</v>
      </c>
    </row>
    <row r="1358" spans="1:9">
      <c r="A1358" t="s">
        <v>1500</v>
      </c>
      <c r="B1358" t="s">
        <v>1501</v>
      </c>
      <c r="C1358" t="s">
        <v>1507</v>
      </c>
      <c r="D1358" t="s">
        <v>1585</v>
      </c>
      <c r="E1358" t="s">
        <v>1582</v>
      </c>
      <c r="F1358" t="s">
        <v>1363</v>
      </c>
      <c r="G1358" t="s">
        <v>1583</v>
      </c>
      <c r="H1358">
        <v>3</v>
      </c>
      <c r="I1358" t="s">
        <v>1586</v>
      </c>
    </row>
    <row r="1359" spans="1:9">
      <c r="A1359" t="s">
        <v>1500</v>
      </c>
      <c r="B1359" t="s">
        <v>1501</v>
      </c>
      <c r="C1359" t="s">
        <v>1507</v>
      </c>
      <c r="D1359" t="s">
        <v>1587</v>
      </c>
      <c r="E1359" t="s">
        <v>1582</v>
      </c>
      <c r="F1359" t="s">
        <v>1363</v>
      </c>
      <c r="G1359" t="s">
        <v>1583</v>
      </c>
      <c r="H1359">
        <v>4</v>
      </c>
      <c r="I1359" t="s">
        <v>1588</v>
      </c>
    </row>
    <row r="1360" spans="1:9">
      <c r="A1360" t="s">
        <v>1500</v>
      </c>
      <c r="B1360" t="s">
        <v>1501</v>
      </c>
      <c r="C1360" t="s">
        <v>1507</v>
      </c>
      <c r="D1360" t="s">
        <v>1589</v>
      </c>
      <c r="E1360" t="s">
        <v>1582</v>
      </c>
      <c r="F1360" t="s">
        <v>1363</v>
      </c>
      <c r="G1360" t="s">
        <v>1583</v>
      </c>
      <c r="H1360">
        <v>5</v>
      </c>
      <c r="I1360" t="s">
        <v>1590</v>
      </c>
    </row>
    <row r="1361" spans="1:9">
      <c r="A1361" t="s">
        <v>1500</v>
      </c>
      <c r="B1361" t="s">
        <v>1501</v>
      </c>
      <c r="C1361" t="s">
        <v>1507</v>
      </c>
      <c r="D1361" t="s">
        <v>1591</v>
      </c>
      <c r="E1361" t="s">
        <v>1582</v>
      </c>
      <c r="F1361" t="s">
        <v>1363</v>
      </c>
      <c r="G1361" t="s">
        <v>1583</v>
      </c>
      <c r="H1361">
        <v>6</v>
      </c>
      <c r="I1361" t="s">
        <v>1592</v>
      </c>
    </row>
    <row r="1362" spans="1:9">
      <c r="A1362" t="s">
        <v>1500</v>
      </c>
      <c r="B1362" t="s">
        <v>1501</v>
      </c>
      <c r="C1362" t="s">
        <v>1507</v>
      </c>
      <c r="D1362" t="s">
        <v>1593</v>
      </c>
      <c r="E1362" t="s">
        <v>1582</v>
      </c>
      <c r="F1362" t="s">
        <v>1363</v>
      </c>
      <c r="G1362" t="s">
        <v>1583</v>
      </c>
      <c r="H1362">
        <v>7</v>
      </c>
      <c r="I1362" t="s">
        <v>1594</v>
      </c>
    </row>
    <row r="1363" spans="1:9">
      <c r="A1363" t="s">
        <v>1500</v>
      </c>
      <c r="B1363" t="s">
        <v>1501</v>
      </c>
      <c r="C1363" t="s">
        <v>1502</v>
      </c>
      <c r="D1363" t="s">
        <v>1595</v>
      </c>
      <c r="E1363" t="s">
        <v>1509</v>
      </c>
      <c r="F1363" t="s">
        <v>1299</v>
      </c>
      <c r="G1363" t="s">
        <v>1583</v>
      </c>
      <c r="H1363">
        <v>8</v>
      </c>
      <c r="I1363" t="s">
        <v>1596</v>
      </c>
    </row>
    <row r="1364" spans="1:9">
      <c r="A1364" t="s">
        <v>1500</v>
      </c>
      <c r="B1364" t="s">
        <v>1501</v>
      </c>
      <c r="C1364" t="s">
        <v>1502</v>
      </c>
      <c r="D1364" t="s">
        <v>1597</v>
      </c>
      <c r="E1364" t="s">
        <v>1509</v>
      </c>
      <c r="F1364" t="s">
        <v>1299</v>
      </c>
      <c r="G1364" t="s">
        <v>1583</v>
      </c>
      <c r="H1364">
        <v>9</v>
      </c>
      <c r="I1364" t="s">
        <v>1596</v>
      </c>
    </row>
    <row r="1365" spans="1:9">
      <c r="A1365" t="s">
        <v>1500</v>
      </c>
      <c r="B1365" t="s">
        <v>1501</v>
      </c>
      <c r="C1365" t="s">
        <v>1502</v>
      </c>
      <c r="D1365" t="s">
        <v>1598</v>
      </c>
      <c r="E1365" t="s">
        <v>1509</v>
      </c>
      <c r="F1365" t="s">
        <v>1299</v>
      </c>
      <c r="G1365" t="s">
        <v>1583</v>
      </c>
      <c r="H1365">
        <v>10</v>
      </c>
      <c r="I1365" t="s">
        <v>1596</v>
      </c>
    </row>
    <row r="1366" spans="1:9">
      <c r="A1366" t="s">
        <v>1500</v>
      </c>
      <c r="B1366" t="s">
        <v>1501</v>
      </c>
      <c r="C1366" t="s">
        <v>1502</v>
      </c>
      <c r="D1366" t="s">
        <v>1599</v>
      </c>
      <c r="E1366" t="s">
        <v>1509</v>
      </c>
      <c r="F1366" t="s">
        <v>1299</v>
      </c>
      <c r="G1366" t="s">
        <v>1583</v>
      </c>
      <c r="H1366">
        <v>11</v>
      </c>
      <c r="I1366" t="s">
        <v>1596</v>
      </c>
    </row>
    <row r="1367" spans="1:9">
      <c r="A1367" t="s">
        <v>1500</v>
      </c>
      <c r="B1367" t="s">
        <v>1501</v>
      </c>
      <c r="C1367" t="s">
        <v>1504</v>
      </c>
      <c r="D1367" t="s">
        <v>1600</v>
      </c>
      <c r="E1367" t="s">
        <v>1509</v>
      </c>
      <c r="F1367" t="s">
        <v>1299</v>
      </c>
      <c r="G1367" t="s">
        <v>1583</v>
      </c>
      <c r="H1367">
        <v>12</v>
      </c>
      <c r="I1367" t="s">
        <v>1596</v>
      </c>
    </row>
    <row r="1368" spans="1:9">
      <c r="A1368" t="s">
        <v>1500</v>
      </c>
      <c r="B1368" t="s">
        <v>1501</v>
      </c>
      <c r="C1368" t="s">
        <v>1504</v>
      </c>
      <c r="D1368" t="s">
        <v>1601</v>
      </c>
      <c r="E1368" t="s">
        <v>1509</v>
      </c>
      <c r="F1368" t="s">
        <v>1299</v>
      </c>
      <c r="G1368" t="s">
        <v>1583</v>
      </c>
      <c r="H1368">
        <v>13</v>
      </c>
      <c r="I1368" t="s">
        <v>1596</v>
      </c>
    </row>
    <row r="1369" spans="1:9">
      <c r="A1369" t="s">
        <v>1500</v>
      </c>
      <c r="B1369" t="s">
        <v>1501</v>
      </c>
      <c r="C1369" t="s">
        <v>1504</v>
      </c>
      <c r="D1369" t="s">
        <v>1602</v>
      </c>
      <c r="E1369" t="s">
        <v>1509</v>
      </c>
      <c r="F1369" t="s">
        <v>1299</v>
      </c>
      <c r="G1369" t="s">
        <v>1583</v>
      </c>
      <c r="H1369">
        <v>14</v>
      </c>
      <c r="I1369" t="s">
        <v>1596</v>
      </c>
    </row>
    <row r="1370" spans="1:9">
      <c r="A1370" t="s">
        <v>1500</v>
      </c>
      <c r="B1370" t="s">
        <v>1501</v>
      </c>
      <c r="C1370" t="s">
        <v>1504</v>
      </c>
      <c r="D1370" t="s">
        <v>1603</v>
      </c>
      <c r="E1370" t="s">
        <v>1509</v>
      </c>
      <c r="F1370" t="s">
        <v>1299</v>
      </c>
      <c r="G1370" t="s">
        <v>1583</v>
      </c>
      <c r="H1370">
        <v>15</v>
      </c>
      <c r="I1370" t="s">
        <v>1596</v>
      </c>
    </row>
    <row r="1371" spans="1:9">
      <c r="A1371" t="s">
        <v>1500</v>
      </c>
      <c r="B1371" t="s">
        <v>1501</v>
      </c>
      <c r="C1371" t="s">
        <v>1505</v>
      </c>
      <c r="D1371" t="s">
        <v>1604</v>
      </c>
      <c r="E1371" t="s">
        <v>1509</v>
      </c>
      <c r="F1371" t="s">
        <v>1299</v>
      </c>
      <c r="G1371" t="s">
        <v>1583</v>
      </c>
      <c r="H1371">
        <v>16</v>
      </c>
      <c r="I1371" t="s">
        <v>1596</v>
      </c>
    </row>
    <row r="1372" spans="1:9">
      <c r="A1372" t="s">
        <v>1500</v>
      </c>
      <c r="B1372" t="s">
        <v>1501</v>
      </c>
      <c r="C1372" t="s">
        <v>1505</v>
      </c>
      <c r="D1372" t="s">
        <v>1605</v>
      </c>
      <c r="E1372" t="s">
        <v>1509</v>
      </c>
      <c r="F1372" t="s">
        <v>1299</v>
      </c>
      <c r="G1372" t="s">
        <v>1583</v>
      </c>
      <c r="H1372">
        <v>17</v>
      </c>
      <c r="I1372" t="s">
        <v>1596</v>
      </c>
    </row>
    <row r="1373" spans="1:9">
      <c r="A1373" t="s">
        <v>1500</v>
      </c>
      <c r="B1373" t="s">
        <v>1501</v>
      </c>
      <c r="C1373" t="s">
        <v>1505</v>
      </c>
      <c r="D1373" t="s">
        <v>1606</v>
      </c>
      <c r="E1373" t="s">
        <v>1509</v>
      </c>
      <c r="F1373" t="s">
        <v>1299</v>
      </c>
      <c r="G1373" t="s">
        <v>1583</v>
      </c>
      <c r="H1373">
        <v>18</v>
      </c>
      <c r="I1373" t="s">
        <v>1596</v>
      </c>
    </row>
    <row r="1374" spans="1:9">
      <c r="A1374" t="s">
        <v>1500</v>
      </c>
      <c r="B1374" t="s">
        <v>1501</v>
      </c>
      <c r="C1374" t="s">
        <v>1505</v>
      </c>
      <c r="D1374" t="s">
        <v>1607</v>
      </c>
      <c r="E1374" t="s">
        <v>1509</v>
      </c>
      <c r="F1374" t="s">
        <v>1299</v>
      </c>
      <c r="G1374" t="s">
        <v>1583</v>
      </c>
      <c r="H1374">
        <v>19</v>
      </c>
      <c r="I1374" t="s">
        <v>1596</v>
      </c>
    </row>
    <row r="1375" spans="1:9">
      <c r="A1375" t="s">
        <v>1500</v>
      </c>
      <c r="B1375" t="s">
        <v>1501</v>
      </c>
      <c r="C1375" t="s">
        <v>1506</v>
      </c>
      <c r="D1375" t="s">
        <v>1608</v>
      </c>
      <c r="E1375" t="s">
        <v>1509</v>
      </c>
      <c r="F1375" t="s">
        <v>1299</v>
      </c>
      <c r="G1375" t="s">
        <v>1583</v>
      </c>
      <c r="H1375">
        <v>20</v>
      </c>
      <c r="I1375" t="s">
        <v>1596</v>
      </c>
    </row>
    <row r="1376" spans="1:9">
      <c r="A1376" t="s">
        <v>1500</v>
      </c>
      <c r="B1376" t="s">
        <v>1501</v>
      </c>
      <c r="C1376" t="s">
        <v>1506</v>
      </c>
      <c r="D1376" t="s">
        <v>1609</v>
      </c>
      <c r="E1376" t="s">
        <v>1509</v>
      </c>
      <c r="F1376" t="s">
        <v>1299</v>
      </c>
      <c r="G1376" t="s">
        <v>1583</v>
      </c>
      <c r="H1376">
        <v>21</v>
      </c>
      <c r="I1376" t="s">
        <v>1596</v>
      </c>
    </row>
    <row r="1377" spans="1:9">
      <c r="A1377" t="s">
        <v>1500</v>
      </c>
      <c r="B1377" t="s">
        <v>1501</v>
      </c>
      <c r="C1377" t="s">
        <v>1506</v>
      </c>
      <c r="D1377" t="s">
        <v>1610</v>
      </c>
      <c r="E1377" t="s">
        <v>1509</v>
      </c>
      <c r="F1377" t="s">
        <v>1299</v>
      </c>
      <c r="G1377" t="s">
        <v>1583</v>
      </c>
      <c r="H1377">
        <v>22</v>
      </c>
      <c r="I1377" t="s">
        <v>1596</v>
      </c>
    </row>
    <row r="1378" spans="1:9">
      <c r="A1378" t="s">
        <v>1500</v>
      </c>
      <c r="B1378" t="s">
        <v>1501</v>
      </c>
      <c r="C1378" t="s">
        <v>1506</v>
      </c>
      <c r="D1378" t="s">
        <v>1611</v>
      </c>
      <c r="E1378" t="s">
        <v>1509</v>
      </c>
      <c r="F1378" t="s">
        <v>1299</v>
      </c>
      <c r="G1378" t="s">
        <v>1583</v>
      </c>
      <c r="H1378">
        <v>23</v>
      </c>
      <c r="I1378" t="s">
        <v>1596</v>
      </c>
    </row>
    <row r="1379" spans="1:9">
      <c r="A1379" t="s">
        <v>1500</v>
      </c>
      <c r="B1379" t="s">
        <v>1501</v>
      </c>
      <c r="C1379" t="s">
        <v>1502</v>
      </c>
      <c r="D1379" t="s">
        <v>1612</v>
      </c>
      <c r="E1379" t="s">
        <v>1613</v>
      </c>
      <c r="F1379" t="s">
        <v>1311</v>
      </c>
      <c r="G1379" t="s">
        <v>1614</v>
      </c>
      <c r="H1379">
        <v>2</v>
      </c>
      <c r="I1379" t="s">
        <v>1615</v>
      </c>
    </row>
    <row r="1380" spans="1:9">
      <c r="A1380" t="s">
        <v>1500</v>
      </c>
      <c r="B1380" t="s">
        <v>1501</v>
      </c>
      <c r="C1380" t="s">
        <v>1502</v>
      </c>
      <c r="D1380" t="s">
        <v>1616</v>
      </c>
      <c r="E1380" t="s">
        <v>1613</v>
      </c>
      <c r="F1380" t="s">
        <v>1311</v>
      </c>
      <c r="G1380" t="s">
        <v>1614</v>
      </c>
      <c r="H1380">
        <v>3</v>
      </c>
      <c r="I1380" t="s">
        <v>1615</v>
      </c>
    </row>
    <row r="1381" spans="1:9">
      <c r="A1381" t="s">
        <v>1500</v>
      </c>
      <c r="B1381" t="s">
        <v>1501</v>
      </c>
      <c r="C1381" t="s">
        <v>1502</v>
      </c>
      <c r="D1381" t="s">
        <v>1617</v>
      </c>
      <c r="E1381" t="s">
        <v>1613</v>
      </c>
      <c r="F1381" t="s">
        <v>1311</v>
      </c>
      <c r="G1381" t="s">
        <v>1614</v>
      </c>
      <c r="H1381">
        <v>4</v>
      </c>
      <c r="I1381" t="s">
        <v>1615</v>
      </c>
    </row>
    <row r="1382" spans="1:9">
      <c r="A1382" t="s">
        <v>1500</v>
      </c>
      <c r="B1382" t="s">
        <v>1501</v>
      </c>
      <c r="C1382" t="s">
        <v>1502</v>
      </c>
      <c r="D1382" t="s">
        <v>1618</v>
      </c>
      <c r="E1382" t="s">
        <v>1613</v>
      </c>
      <c r="F1382" t="s">
        <v>1311</v>
      </c>
      <c r="G1382" t="s">
        <v>1614</v>
      </c>
      <c r="H1382">
        <v>5</v>
      </c>
      <c r="I1382" t="s">
        <v>1615</v>
      </c>
    </row>
    <row r="1383" spans="1:9">
      <c r="A1383" t="s">
        <v>1500</v>
      </c>
      <c r="B1383" t="s">
        <v>1501</v>
      </c>
      <c r="C1383" t="s">
        <v>1502</v>
      </c>
      <c r="D1383" t="s">
        <v>1619</v>
      </c>
      <c r="E1383" t="s">
        <v>1613</v>
      </c>
      <c r="F1383" t="s">
        <v>1311</v>
      </c>
      <c r="G1383" t="s">
        <v>1614</v>
      </c>
      <c r="H1383">
        <v>6</v>
      </c>
      <c r="I1383" t="s">
        <v>1615</v>
      </c>
    </row>
    <row r="1384" spans="1:9">
      <c r="A1384" t="s">
        <v>1500</v>
      </c>
      <c r="B1384" t="s">
        <v>1501</v>
      </c>
      <c r="C1384" t="s">
        <v>1502</v>
      </c>
      <c r="D1384" t="s">
        <v>1620</v>
      </c>
      <c r="E1384" t="s">
        <v>1613</v>
      </c>
      <c r="F1384" t="s">
        <v>1311</v>
      </c>
      <c r="G1384" t="s">
        <v>1614</v>
      </c>
      <c r="H1384">
        <v>7</v>
      </c>
      <c r="I1384" t="s">
        <v>1615</v>
      </c>
    </row>
    <row r="1385" spans="1:9">
      <c r="A1385" t="s">
        <v>1500</v>
      </c>
      <c r="B1385" t="s">
        <v>1501</v>
      </c>
      <c r="C1385" t="s">
        <v>1502</v>
      </c>
      <c r="D1385" t="s">
        <v>1621</v>
      </c>
      <c r="E1385" t="s">
        <v>1613</v>
      </c>
      <c r="F1385" t="s">
        <v>1311</v>
      </c>
      <c r="G1385" t="s">
        <v>1614</v>
      </c>
      <c r="H1385">
        <v>8</v>
      </c>
      <c r="I1385" t="s">
        <v>1615</v>
      </c>
    </row>
    <row r="1386" spans="1:9">
      <c r="A1386" t="s">
        <v>1500</v>
      </c>
      <c r="B1386" t="s">
        <v>1501</v>
      </c>
      <c r="C1386" t="s">
        <v>1502</v>
      </c>
      <c r="D1386" t="s">
        <v>1622</v>
      </c>
      <c r="E1386" t="s">
        <v>1613</v>
      </c>
      <c r="F1386" t="s">
        <v>1311</v>
      </c>
      <c r="G1386" t="s">
        <v>1614</v>
      </c>
      <c r="H1386">
        <v>9</v>
      </c>
      <c r="I1386" t="s">
        <v>1615</v>
      </c>
    </row>
    <row r="1387" spans="1:9">
      <c r="A1387" t="s">
        <v>1500</v>
      </c>
      <c r="B1387" t="s">
        <v>1501</v>
      </c>
      <c r="C1387" t="s">
        <v>1502</v>
      </c>
      <c r="D1387" t="s">
        <v>1623</v>
      </c>
      <c r="E1387" t="s">
        <v>1613</v>
      </c>
      <c r="F1387" t="s">
        <v>1311</v>
      </c>
      <c r="G1387" t="s">
        <v>1614</v>
      </c>
      <c r="H1387">
        <v>10</v>
      </c>
      <c r="I1387" t="s">
        <v>1615</v>
      </c>
    </row>
    <row r="1388" spans="1:9">
      <c r="A1388" t="s">
        <v>1500</v>
      </c>
      <c r="B1388" t="s">
        <v>1501</v>
      </c>
      <c r="C1388" t="s">
        <v>1502</v>
      </c>
      <c r="D1388" t="s">
        <v>1624</v>
      </c>
      <c r="E1388" t="s">
        <v>1613</v>
      </c>
      <c r="F1388" t="s">
        <v>1311</v>
      </c>
      <c r="G1388" t="s">
        <v>1614</v>
      </c>
      <c r="H1388">
        <v>11</v>
      </c>
      <c r="I1388" t="s">
        <v>1615</v>
      </c>
    </row>
    <row r="1389" spans="1:9">
      <c r="A1389" t="s">
        <v>1500</v>
      </c>
      <c r="B1389" t="s">
        <v>1501</v>
      </c>
      <c r="C1389" t="s">
        <v>1502</v>
      </c>
      <c r="D1389" t="s">
        <v>1625</v>
      </c>
      <c r="E1389" t="s">
        <v>1613</v>
      </c>
      <c r="F1389" t="s">
        <v>1311</v>
      </c>
      <c r="G1389" t="s">
        <v>1614</v>
      </c>
      <c r="H1389">
        <v>12</v>
      </c>
      <c r="I1389" t="s">
        <v>1615</v>
      </c>
    </row>
    <row r="1390" spans="1:9">
      <c r="A1390" t="s">
        <v>1500</v>
      </c>
      <c r="B1390" t="s">
        <v>1501</v>
      </c>
      <c r="C1390" t="s">
        <v>1502</v>
      </c>
      <c r="D1390" t="s">
        <v>1626</v>
      </c>
      <c r="E1390" t="s">
        <v>1613</v>
      </c>
      <c r="F1390" t="s">
        <v>1311</v>
      </c>
      <c r="G1390" t="s">
        <v>1614</v>
      </c>
      <c r="H1390">
        <v>13</v>
      </c>
      <c r="I1390" t="s">
        <v>1615</v>
      </c>
    </row>
    <row r="1391" spans="1:9">
      <c r="A1391" t="s">
        <v>1500</v>
      </c>
      <c r="B1391" t="s">
        <v>1501</v>
      </c>
      <c r="C1391" t="s">
        <v>1505</v>
      </c>
      <c r="D1391" t="s">
        <v>1627</v>
      </c>
      <c r="E1391" t="s">
        <v>1613</v>
      </c>
      <c r="F1391" t="s">
        <v>1311</v>
      </c>
      <c r="G1391" t="s">
        <v>1614</v>
      </c>
      <c r="H1391">
        <v>14</v>
      </c>
      <c r="I1391" t="s">
        <v>1615</v>
      </c>
    </row>
    <row r="1392" spans="1:9">
      <c r="A1392" t="s">
        <v>1500</v>
      </c>
      <c r="B1392" t="s">
        <v>1501</v>
      </c>
      <c r="C1392" t="s">
        <v>1505</v>
      </c>
      <c r="D1392" t="s">
        <v>1628</v>
      </c>
      <c r="E1392" t="s">
        <v>1613</v>
      </c>
      <c r="F1392" t="s">
        <v>1311</v>
      </c>
      <c r="G1392" t="s">
        <v>1614</v>
      </c>
      <c r="H1392">
        <v>15</v>
      </c>
      <c r="I1392" t="s">
        <v>1615</v>
      </c>
    </row>
    <row r="1393" spans="1:9">
      <c r="A1393" t="s">
        <v>1500</v>
      </c>
      <c r="B1393" t="s">
        <v>1501</v>
      </c>
      <c r="C1393" t="s">
        <v>1505</v>
      </c>
      <c r="D1393" t="s">
        <v>1629</v>
      </c>
      <c r="E1393" t="s">
        <v>1613</v>
      </c>
      <c r="F1393" t="s">
        <v>1311</v>
      </c>
      <c r="G1393" t="s">
        <v>1614</v>
      </c>
      <c r="H1393">
        <v>16</v>
      </c>
      <c r="I1393" t="s">
        <v>1615</v>
      </c>
    </row>
    <row r="1394" spans="1:9">
      <c r="A1394" t="s">
        <v>1500</v>
      </c>
      <c r="B1394" t="s">
        <v>1501</v>
      </c>
      <c r="C1394" t="s">
        <v>1505</v>
      </c>
      <c r="D1394" t="s">
        <v>1630</v>
      </c>
      <c r="E1394" t="s">
        <v>1613</v>
      </c>
      <c r="F1394" t="s">
        <v>1311</v>
      </c>
      <c r="G1394" t="s">
        <v>1614</v>
      </c>
      <c r="H1394">
        <v>17</v>
      </c>
      <c r="I1394" t="s">
        <v>1615</v>
      </c>
    </row>
    <row r="1395" spans="1:9">
      <c r="A1395" t="s">
        <v>1500</v>
      </c>
      <c r="B1395" t="s">
        <v>1501</v>
      </c>
      <c r="C1395" t="s">
        <v>1505</v>
      </c>
      <c r="D1395" t="s">
        <v>1631</v>
      </c>
      <c r="E1395" t="s">
        <v>1613</v>
      </c>
      <c r="F1395" t="s">
        <v>1311</v>
      </c>
      <c r="G1395" t="s">
        <v>1614</v>
      </c>
      <c r="H1395">
        <v>18</v>
      </c>
      <c r="I1395" t="s">
        <v>1615</v>
      </c>
    </row>
    <row r="1396" spans="1:9">
      <c r="A1396" t="s">
        <v>1500</v>
      </c>
      <c r="B1396" t="s">
        <v>1501</v>
      </c>
      <c r="C1396" t="s">
        <v>1505</v>
      </c>
      <c r="D1396" t="s">
        <v>1632</v>
      </c>
      <c r="E1396" t="s">
        <v>1613</v>
      </c>
      <c r="F1396" t="s">
        <v>1311</v>
      </c>
      <c r="G1396" t="s">
        <v>1614</v>
      </c>
      <c r="H1396">
        <v>19</v>
      </c>
      <c r="I1396" t="s">
        <v>1615</v>
      </c>
    </row>
    <row r="1397" spans="1:9">
      <c r="A1397" t="s">
        <v>1500</v>
      </c>
      <c r="B1397" t="s">
        <v>1501</v>
      </c>
      <c r="C1397" t="s">
        <v>1505</v>
      </c>
      <c r="D1397" t="s">
        <v>1633</v>
      </c>
      <c r="E1397" t="s">
        <v>1613</v>
      </c>
      <c r="F1397" t="s">
        <v>1311</v>
      </c>
      <c r="G1397" t="s">
        <v>1614</v>
      </c>
      <c r="H1397">
        <v>20</v>
      </c>
      <c r="I1397" t="s">
        <v>1615</v>
      </c>
    </row>
    <row r="1398" spans="1:9">
      <c r="A1398" t="s">
        <v>1500</v>
      </c>
      <c r="B1398" t="s">
        <v>1501</v>
      </c>
      <c r="C1398" t="s">
        <v>1505</v>
      </c>
      <c r="D1398" t="s">
        <v>1634</v>
      </c>
      <c r="E1398" t="s">
        <v>1613</v>
      </c>
      <c r="F1398" t="s">
        <v>1311</v>
      </c>
      <c r="G1398" t="s">
        <v>1614</v>
      </c>
      <c r="H1398">
        <v>21</v>
      </c>
      <c r="I1398" t="s">
        <v>1615</v>
      </c>
    </row>
    <row r="1399" spans="1:9">
      <c r="A1399" t="s">
        <v>1500</v>
      </c>
      <c r="B1399" t="s">
        <v>1501</v>
      </c>
      <c r="C1399" t="s">
        <v>1505</v>
      </c>
      <c r="D1399" t="s">
        <v>1635</v>
      </c>
      <c r="E1399" t="s">
        <v>1613</v>
      </c>
      <c r="F1399" t="s">
        <v>1311</v>
      </c>
      <c r="G1399" t="s">
        <v>1614</v>
      </c>
      <c r="H1399">
        <v>22</v>
      </c>
      <c r="I1399" t="s">
        <v>1615</v>
      </c>
    </row>
    <row r="1400" spans="1:9">
      <c r="A1400" t="s">
        <v>1500</v>
      </c>
      <c r="B1400" t="s">
        <v>1501</v>
      </c>
      <c r="C1400" t="s">
        <v>1505</v>
      </c>
      <c r="D1400" t="s">
        <v>1636</v>
      </c>
      <c r="E1400" t="s">
        <v>1613</v>
      </c>
      <c r="F1400" t="s">
        <v>1311</v>
      </c>
      <c r="G1400" t="s">
        <v>1614</v>
      </c>
      <c r="H1400">
        <v>23</v>
      </c>
      <c r="I1400" t="s">
        <v>1615</v>
      </c>
    </row>
    <row r="1401" spans="1:9">
      <c r="A1401" t="s">
        <v>1500</v>
      </c>
      <c r="B1401" t="s">
        <v>1501</v>
      </c>
      <c r="C1401" t="s">
        <v>1505</v>
      </c>
      <c r="D1401" t="s">
        <v>1637</v>
      </c>
      <c r="E1401" t="s">
        <v>1613</v>
      </c>
      <c r="F1401" t="s">
        <v>1311</v>
      </c>
      <c r="G1401" t="s">
        <v>1614</v>
      </c>
      <c r="H1401">
        <v>24</v>
      </c>
      <c r="I1401" t="s">
        <v>1615</v>
      </c>
    </row>
    <row r="1402" spans="1:9">
      <c r="A1402" t="s">
        <v>1500</v>
      </c>
      <c r="B1402" t="s">
        <v>1501</v>
      </c>
      <c r="C1402" t="s">
        <v>1505</v>
      </c>
      <c r="D1402" t="s">
        <v>1638</v>
      </c>
      <c r="E1402" t="s">
        <v>1613</v>
      </c>
      <c r="F1402" t="s">
        <v>1311</v>
      </c>
      <c r="G1402" t="s">
        <v>1614</v>
      </c>
      <c r="H1402">
        <v>25</v>
      </c>
      <c r="I1402" t="s">
        <v>1615</v>
      </c>
    </row>
    <row r="1403" spans="1:9">
      <c r="A1403" t="s">
        <v>1500</v>
      </c>
      <c r="B1403" t="s">
        <v>1501</v>
      </c>
      <c r="C1403" t="s">
        <v>1502</v>
      </c>
      <c r="D1403" t="s">
        <v>1639</v>
      </c>
      <c r="E1403" t="s">
        <v>1613</v>
      </c>
      <c r="F1403" t="s">
        <v>1311</v>
      </c>
      <c r="G1403" t="s">
        <v>1614</v>
      </c>
      <c r="H1403">
        <v>26</v>
      </c>
      <c r="I1403" t="s">
        <v>1615</v>
      </c>
    </row>
    <row r="1404" spans="1:9">
      <c r="A1404" t="s">
        <v>1500</v>
      </c>
      <c r="B1404" t="s">
        <v>1501</v>
      </c>
      <c r="C1404" t="s">
        <v>1502</v>
      </c>
      <c r="D1404" t="s">
        <v>1640</v>
      </c>
      <c r="E1404" t="s">
        <v>1613</v>
      </c>
      <c r="F1404" t="s">
        <v>1311</v>
      </c>
      <c r="G1404" t="s">
        <v>1614</v>
      </c>
      <c r="H1404">
        <v>27</v>
      </c>
      <c r="I1404" t="s">
        <v>1615</v>
      </c>
    </row>
    <row r="1405" spans="1:9">
      <c r="A1405" t="s">
        <v>1500</v>
      </c>
      <c r="B1405" t="s">
        <v>1501</v>
      </c>
      <c r="C1405" t="s">
        <v>1502</v>
      </c>
      <c r="D1405" t="s">
        <v>1641</v>
      </c>
      <c r="E1405" t="s">
        <v>1613</v>
      </c>
      <c r="F1405" t="s">
        <v>1311</v>
      </c>
      <c r="G1405" t="s">
        <v>1614</v>
      </c>
      <c r="H1405">
        <v>28</v>
      </c>
      <c r="I1405" t="s">
        <v>1615</v>
      </c>
    </row>
    <row r="1406" spans="1:9">
      <c r="A1406" t="s">
        <v>1500</v>
      </c>
      <c r="B1406" t="s">
        <v>1501</v>
      </c>
      <c r="C1406" t="s">
        <v>1502</v>
      </c>
      <c r="D1406" t="s">
        <v>1642</v>
      </c>
      <c r="E1406" t="s">
        <v>1613</v>
      </c>
      <c r="F1406" t="s">
        <v>1311</v>
      </c>
      <c r="G1406" t="s">
        <v>1614</v>
      </c>
      <c r="H1406">
        <v>29</v>
      </c>
      <c r="I1406" t="s">
        <v>1615</v>
      </c>
    </row>
    <row r="1407" spans="1:9">
      <c r="A1407" t="s">
        <v>1500</v>
      </c>
      <c r="B1407" t="s">
        <v>1501</v>
      </c>
      <c r="C1407" t="s">
        <v>1502</v>
      </c>
      <c r="D1407" t="s">
        <v>1643</v>
      </c>
      <c r="E1407" t="s">
        <v>1613</v>
      </c>
      <c r="F1407" t="s">
        <v>1311</v>
      </c>
      <c r="G1407" t="s">
        <v>1614</v>
      </c>
      <c r="H1407">
        <v>30</v>
      </c>
      <c r="I1407" t="s">
        <v>1615</v>
      </c>
    </row>
    <row r="1408" spans="1:9">
      <c r="A1408" t="s">
        <v>1500</v>
      </c>
      <c r="B1408" t="s">
        <v>1501</v>
      </c>
      <c r="C1408" t="s">
        <v>1502</v>
      </c>
      <c r="D1408" t="s">
        <v>1644</v>
      </c>
      <c r="E1408" t="s">
        <v>1613</v>
      </c>
      <c r="F1408" t="s">
        <v>1311</v>
      </c>
      <c r="G1408" t="s">
        <v>1614</v>
      </c>
      <c r="H1408">
        <v>31</v>
      </c>
      <c r="I1408" t="s">
        <v>1615</v>
      </c>
    </row>
    <row r="1409" spans="1:9">
      <c r="A1409" t="s">
        <v>1500</v>
      </c>
      <c r="B1409" t="s">
        <v>1501</v>
      </c>
      <c r="C1409" t="s">
        <v>1502</v>
      </c>
      <c r="D1409" t="s">
        <v>1645</v>
      </c>
      <c r="E1409" t="s">
        <v>1613</v>
      </c>
      <c r="F1409" t="s">
        <v>1311</v>
      </c>
      <c r="G1409" t="s">
        <v>1614</v>
      </c>
      <c r="H1409">
        <v>32</v>
      </c>
      <c r="I1409" t="s">
        <v>1615</v>
      </c>
    </row>
    <row r="1410" spans="1:9">
      <c r="A1410" t="s">
        <v>1500</v>
      </c>
      <c r="B1410" t="s">
        <v>1501</v>
      </c>
      <c r="C1410" t="s">
        <v>1502</v>
      </c>
      <c r="D1410" t="s">
        <v>1646</v>
      </c>
      <c r="E1410" t="s">
        <v>1613</v>
      </c>
      <c r="F1410" t="s">
        <v>1311</v>
      </c>
      <c r="G1410" t="s">
        <v>1614</v>
      </c>
      <c r="H1410">
        <v>33</v>
      </c>
      <c r="I1410" t="s">
        <v>1615</v>
      </c>
    </row>
    <row r="1411" spans="1:9">
      <c r="A1411" t="s">
        <v>1500</v>
      </c>
      <c r="B1411" t="s">
        <v>1501</v>
      </c>
      <c r="C1411" t="s">
        <v>1502</v>
      </c>
      <c r="D1411" t="s">
        <v>1647</v>
      </c>
      <c r="E1411" t="s">
        <v>1613</v>
      </c>
      <c r="F1411" t="s">
        <v>1311</v>
      </c>
      <c r="G1411" t="s">
        <v>1614</v>
      </c>
      <c r="H1411">
        <v>34</v>
      </c>
      <c r="I1411" t="s">
        <v>1615</v>
      </c>
    </row>
    <row r="1412" spans="1:9">
      <c r="A1412" t="s">
        <v>1500</v>
      </c>
      <c r="B1412" t="s">
        <v>1501</v>
      </c>
      <c r="C1412" t="s">
        <v>1502</v>
      </c>
      <c r="D1412" t="s">
        <v>1648</v>
      </c>
      <c r="E1412" t="s">
        <v>1613</v>
      </c>
      <c r="F1412" t="s">
        <v>1311</v>
      </c>
      <c r="G1412" t="s">
        <v>1614</v>
      </c>
      <c r="H1412">
        <v>35</v>
      </c>
      <c r="I1412" t="s">
        <v>1615</v>
      </c>
    </row>
    <row r="1413" spans="1:9">
      <c r="A1413" t="s">
        <v>1500</v>
      </c>
      <c r="B1413" t="s">
        <v>1501</v>
      </c>
      <c r="C1413" t="s">
        <v>1502</v>
      </c>
      <c r="D1413" t="s">
        <v>1649</v>
      </c>
      <c r="E1413" t="s">
        <v>1613</v>
      </c>
      <c r="F1413" t="s">
        <v>1311</v>
      </c>
      <c r="G1413" t="s">
        <v>1614</v>
      </c>
      <c r="H1413">
        <v>36</v>
      </c>
      <c r="I1413" t="s">
        <v>1615</v>
      </c>
    </row>
    <row r="1414" spans="1:9">
      <c r="A1414" t="s">
        <v>1500</v>
      </c>
      <c r="B1414" t="s">
        <v>1501</v>
      </c>
      <c r="C1414" t="s">
        <v>1502</v>
      </c>
      <c r="D1414" t="s">
        <v>1650</v>
      </c>
      <c r="E1414" t="s">
        <v>1613</v>
      </c>
      <c r="F1414" t="s">
        <v>1311</v>
      </c>
      <c r="G1414" t="s">
        <v>1614</v>
      </c>
      <c r="H1414">
        <v>37</v>
      </c>
      <c r="I1414" t="s">
        <v>1615</v>
      </c>
    </row>
    <row r="1415" spans="1:9">
      <c r="A1415" t="s">
        <v>1500</v>
      </c>
      <c r="B1415" t="s">
        <v>1501</v>
      </c>
      <c r="C1415" t="s">
        <v>1505</v>
      </c>
      <c r="D1415" t="s">
        <v>1651</v>
      </c>
      <c r="E1415" t="s">
        <v>1613</v>
      </c>
      <c r="F1415" t="s">
        <v>1311</v>
      </c>
      <c r="G1415" t="s">
        <v>1614</v>
      </c>
      <c r="H1415">
        <v>38</v>
      </c>
      <c r="I1415" t="s">
        <v>1615</v>
      </c>
    </row>
    <row r="1416" spans="1:9">
      <c r="A1416" t="s">
        <v>1500</v>
      </c>
      <c r="B1416" t="s">
        <v>1501</v>
      </c>
      <c r="C1416" t="s">
        <v>1505</v>
      </c>
      <c r="D1416" t="s">
        <v>1652</v>
      </c>
      <c r="E1416" t="s">
        <v>1613</v>
      </c>
      <c r="F1416" t="s">
        <v>1311</v>
      </c>
      <c r="G1416" t="s">
        <v>1614</v>
      </c>
      <c r="H1416">
        <v>39</v>
      </c>
      <c r="I1416" t="s">
        <v>1615</v>
      </c>
    </row>
    <row r="1417" spans="1:9">
      <c r="A1417" t="s">
        <v>1500</v>
      </c>
      <c r="B1417" t="s">
        <v>1501</v>
      </c>
      <c r="C1417" t="s">
        <v>1505</v>
      </c>
      <c r="D1417" t="s">
        <v>1653</v>
      </c>
      <c r="E1417" t="s">
        <v>1613</v>
      </c>
      <c r="F1417" t="s">
        <v>1311</v>
      </c>
      <c r="G1417" t="s">
        <v>1614</v>
      </c>
      <c r="H1417">
        <v>40</v>
      </c>
      <c r="I1417" t="s">
        <v>1615</v>
      </c>
    </row>
    <row r="1418" spans="1:9">
      <c r="A1418" t="s">
        <v>1500</v>
      </c>
      <c r="B1418" t="s">
        <v>1501</v>
      </c>
      <c r="C1418" t="s">
        <v>1505</v>
      </c>
      <c r="D1418" t="s">
        <v>1654</v>
      </c>
      <c r="E1418" t="s">
        <v>1613</v>
      </c>
      <c r="F1418" t="s">
        <v>1311</v>
      </c>
      <c r="G1418" t="s">
        <v>1614</v>
      </c>
      <c r="H1418">
        <v>41</v>
      </c>
      <c r="I1418" t="s">
        <v>1615</v>
      </c>
    </row>
    <row r="1419" spans="1:9">
      <c r="A1419" t="s">
        <v>1500</v>
      </c>
      <c r="B1419" t="s">
        <v>1501</v>
      </c>
      <c r="C1419" t="s">
        <v>1505</v>
      </c>
      <c r="D1419" t="s">
        <v>1655</v>
      </c>
      <c r="E1419" t="s">
        <v>1613</v>
      </c>
      <c r="F1419" t="s">
        <v>1311</v>
      </c>
      <c r="G1419" t="s">
        <v>1614</v>
      </c>
      <c r="H1419">
        <v>42</v>
      </c>
      <c r="I1419" t="s">
        <v>1615</v>
      </c>
    </row>
    <row r="1420" spans="1:9">
      <c r="A1420" t="s">
        <v>1500</v>
      </c>
      <c r="B1420" t="s">
        <v>1501</v>
      </c>
      <c r="C1420" t="s">
        <v>1505</v>
      </c>
      <c r="D1420" t="s">
        <v>1656</v>
      </c>
      <c r="E1420" t="s">
        <v>1613</v>
      </c>
      <c r="F1420" t="s">
        <v>1311</v>
      </c>
      <c r="G1420" t="s">
        <v>1614</v>
      </c>
      <c r="H1420">
        <v>43</v>
      </c>
      <c r="I1420" t="s">
        <v>1615</v>
      </c>
    </row>
    <row r="1421" spans="1:9">
      <c r="A1421" t="s">
        <v>1500</v>
      </c>
      <c r="B1421" t="s">
        <v>1501</v>
      </c>
      <c r="C1421" t="s">
        <v>1505</v>
      </c>
      <c r="D1421" t="s">
        <v>1657</v>
      </c>
      <c r="E1421" t="s">
        <v>1613</v>
      </c>
      <c r="F1421" t="s">
        <v>1311</v>
      </c>
      <c r="G1421" t="s">
        <v>1614</v>
      </c>
      <c r="H1421">
        <v>44</v>
      </c>
      <c r="I1421" t="s">
        <v>1615</v>
      </c>
    </row>
    <row r="1422" spans="1:9">
      <c r="A1422" t="s">
        <v>1500</v>
      </c>
      <c r="B1422" t="s">
        <v>1501</v>
      </c>
      <c r="C1422" t="s">
        <v>1505</v>
      </c>
      <c r="D1422" t="s">
        <v>1658</v>
      </c>
      <c r="E1422" t="s">
        <v>1613</v>
      </c>
      <c r="F1422" t="s">
        <v>1311</v>
      </c>
      <c r="G1422" t="s">
        <v>1614</v>
      </c>
      <c r="H1422">
        <v>45</v>
      </c>
      <c r="I1422" t="s">
        <v>1615</v>
      </c>
    </row>
    <row r="1423" spans="1:9">
      <c r="A1423" t="s">
        <v>1500</v>
      </c>
      <c r="B1423" t="s">
        <v>1501</v>
      </c>
      <c r="C1423" t="s">
        <v>1505</v>
      </c>
      <c r="D1423" t="s">
        <v>1659</v>
      </c>
      <c r="E1423" t="s">
        <v>1613</v>
      </c>
      <c r="F1423" t="s">
        <v>1311</v>
      </c>
      <c r="G1423" t="s">
        <v>1614</v>
      </c>
      <c r="H1423">
        <v>46</v>
      </c>
      <c r="I1423" t="s">
        <v>1615</v>
      </c>
    </row>
    <row r="1424" spans="1:9">
      <c r="A1424" t="s">
        <v>1500</v>
      </c>
      <c r="B1424" t="s">
        <v>1501</v>
      </c>
      <c r="C1424" t="s">
        <v>1505</v>
      </c>
      <c r="D1424" t="s">
        <v>1660</v>
      </c>
      <c r="E1424" t="s">
        <v>1613</v>
      </c>
      <c r="F1424" t="s">
        <v>1311</v>
      </c>
      <c r="G1424" t="s">
        <v>1614</v>
      </c>
      <c r="H1424">
        <v>47</v>
      </c>
      <c r="I1424" t="s">
        <v>1615</v>
      </c>
    </row>
    <row r="1425" spans="1:9">
      <c r="A1425" t="s">
        <v>1500</v>
      </c>
      <c r="B1425" t="s">
        <v>1501</v>
      </c>
      <c r="C1425" t="s">
        <v>1505</v>
      </c>
      <c r="D1425" t="s">
        <v>1661</v>
      </c>
      <c r="E1425" t="s">
        <v>1613</v>
      </c>
      <c r="F1425" t="s">
        <v>1311</v>
      </c>
      <c r="G1425" t="s">
        <v>1614</v>
      </c>
      <c r="H1425">
        <v>48</v>
      </c>
      <c r="I1425" t="s">
        <v>1615</v>
      </c>
    </row>
    <row r="1426" spans="1:9">
      <c r="A1426" t="s">
        <v>1500</v>
      </c>
      <c r="B1426" t="s">
        <v>1501</v>
      </c>
      <c r="C1426" t="s">
        <v>1505</v>
      </c>
      <c r="D1426" t="s">
        <v>1662</v>
      </c>
      <c r="E1426" t="s">
        <v>1613</v>
      </c>
      <c r="F1426" t="s">
        <v>1311</v>
      </c>
      <c r="G1426" t="s">
        <v>1614</v>
      </c>
      <c r="H1426">
        <v>49</v>
      </c>
      <c r="I1426" t="s">
        <v>1615</v>
      </c>
    </row>
    <row r="1427" spans="1:9">
      <c r="A1427" t="s">
        <v>1500</v>
      </c>
      <c r="B1427" t="s">
        <v>1501</v>
      </c>
      <c r="C1427" t="s">
        <v>1502</v>
      </c>
      <c r="D1427" t="s">
        <v>1663</v>
      </c>
      <c r="E1427" t="s">
        <v>1613</v>
      </c>
      <c r="F1427" t="s">
        <v>1311</v>
      </c>
      <c r="G1427" t="s">
        <v>1614</v>
      </c>
      <c r="H1427">
        <v>50</v>
      </c>
      <c r="I1427" t="s">
        <v>1615</v>
      </c>
    </row>
    <row r="1428" spans="1:9">
      <c r="A1428" t="s">
        <v>1500</v>
      </c>
      <c r="B1428" t="s">
        <v>1501</v>
      </c>
      <c r="C1428" t="s">
        <v>1502</v>
      </c>
      <c r="D1428" t="s">
        <v>1664</v>
      </c>
      <c r="E1428" t="s">
        <v>1613</v>
      </c>
      <c r="F1428" t="s">
        <v>1311</v>
      </c>
      <c r="G1428" t="s">
        <v>1614</v>
      </c>
      <c r="H1428">
        <v>51</v>
      </c>
      <c r="I1428" t="s">
        <v>1615</v>
      </c>
    </row>
    <row r="1429" spans="1:9">
      <c r="A1429" t="s">
        <v>1500</v>
      </c>
      <c r="B1429" t="s">
        <v>1501</v>
      </c>
      <c r="C1429" t="s">
        <v>1502</v>
      </c>
      <c r="D1429" t="s">
        <v>1665</v>
      </c>
      <c r="E1429" t="s">
        <v>1613</v>
      </c>
      <c r="F1429" t="s">
        <v>1311</v>
      </c>
      <c r="G1429" t="s">
        <v>1614</v>
      </c>
      <c r="H1429">
        <v>52</v>
      </c>
      <c r="I1429" t="s">
        <v>1615</v>
      </c>
    </row>
    <row r="1430" spans="1:9">
      <c r="A1430" t="s">
        <v>1500</v>
      </c>
      <c r="B1430" t="s">
        <v>1501</v>
      </c>
      <c r="C1430" t="s">
        <v>1502</v>
      </c>
      <c r="D1430" t="s">
        <v>1666</v>
      </c>
      <c r="E1430" t="s">
        <v>1613</v>
      </c>
      <c r="F1430" t="s">
        <v>1311</v>
      </c>
      <c r="G1430" t="s">
        <v>1614</v>
      </c>
      <c r="H1430">
        <v>53</v>
      </c>
      <c r="I1430" t="s">
        <v>1615</v>
      </c>
    </row>
    <row r="1431" spans="1:9">
      <c r="A1431" t="s">
        <v>1500</v>
      </c>
      <c r="B1431" t="s">
        <v>1501</v>
      </c>
      <c r="C1431" t="s">
        <v>1502</v>
      </c>
      <c r="D1431" t="s">
        <v>1667</v>
      </c>
      <c r="E1431" t="s">
        <v>1613</v>
      </c>
      <c r="F1431" t="s">
        <v>1311</v>
      </c>
      <c r="G1431" t="s">
        <v>1614</v>
      </c>
      <c r="H1431">
        <v>54</v>
      </c>
      <c r="I1431" t="s">
        <v>1615</v>
      </c>
    </row>
    <row r="1432" spans="1:9">
      <c r="A1432" t="s">
        <v>1500</v>
      </c>
      <c r="B1432" t="s">
        <v>1501</v>
      </c>
      <c r="C1432" t="s">
        <v>1502</v>
      </c>
      <c r="D1432" t="s">
        <v>1668</v>
      </c>
      <c r="E1432" t="s">
        <v>1613</v>
      </c>
      <c r="F1432" t="s">
        <v>1311</v>
      </c>
      <c r="G1432" t="s">
        <v>1614</v>
      </c>
      <c r="H1432">
        <v>55</v>
      </c>
      <c r="I1432" t="s">
        <v>1615</v>
      </c>
    </row>
    <row r="1433" spans="1:9">
      <c r="A1433" t="s">
        <v>1500</v>
      </c>
      <c r="B1433" t="s">
        <v>1501</v>
      </c>
      <c r="C1433" t="s">
        <v>1502</v>
      </c>
      <c r="D1433" t="s">
        <v>1669</v>
      </c>
      <c r="E1433" t="s">
        <v>1613</v>
      </c>
      <c r="F1433" t="s">
        <v>1311</v>
      </c>
      <c r="G1433" t="s">
        <v>1614</v>
      </c>
      <c r="H1433">
        <v>56</v>
      </c>
      <c r="I1433" t="s">
        <v>1615</v>
      </c>
    </row>
    <row r="1434" spans="1:9">
      <c r="A1434" t="s">
        <v>1500</v>
      </c>
      <c r="B1434" t="s">
        <v>1501</v>
      </c>
      <c r="C1434" t="s">
        <v>1502</v>
      </c>
      <c r="D1434" t="s">
        <v>1670</v>
      </c>
      <c r="E1434" t="s">
        <v>1613</v>
      </c>
      <c r="F1434" t="s">
        <v>1311</v>
      </c>
      <c r="G1434" t="s">
        <v>1614</v>
      </c>
      <c r="H1434">
        <v>57</v>
      </c>
      <c r="I1434" t="s">
        <v>1615</v>
      </c>
    </row>
    <row r="1435" spans="1:9">
      <c r="A1435" t="s">
        <v>1500</v>
      </c>
      <c r="B1435" t="s">
        <v>1501</v>
      </c>
      <c r="C1435" t="s">
        <v>1502</v>
      </c>
      <c r="D1435" t="s">
        <v>1671</v>
      </c>
      <c r="E1435" t="s">
        <v>1613</v>
      </c>
      <c r="F1435" t="s">
        <v>1311</v>
      </c>
      <c r="G1435" t="s">
        <v>1614</v>
      </c>
      <c r="H1435">
        <v>58</v>
      </c>
      <c r="I1435" t="s">
        <v>1615</v>
      </c>
    </row>
    <row r="1436" spans="1:9">
      <c r="A1436" t="s">
        <v>1500</v>
      </c>
      <c r="B1436" t="s">
        <v>1501</v>
      </c>
      <c r="C1436" t="s">
        <v>1502</v>
      </c>
      <c r="D1436" t="s">
        <v>1672</v>
      </c>
      <c r="E1436" t="s">
        <v>1613</v>
      </c>
      <c r="F1436" t="s">
        <v>1311</v>
      </c>
      <c r="G1436" t="s">
        <v>1614</v>
      </c>
      <c r="H1436">
        <v>59</v>
      </c>
      <c r="I1436" t="s">
        <v>1615</v>
      </c>
    </row>
    <row r="1437" spans="1:9">
      <c r="A1437" t="s">
        <v>1500</v>
      </c>
      <c r="B1437" t="s">
        <v>1501</v>
      </c>
      <c r="C1437" t="s">
        <v>1502</v>
      </c>
      <c r="D1437" t="s">
        <v>1673</v>
      </c>
      <c r="E1437" t="s">
        <v>1613</v>
      </c>
      <c r="F1437" t="s">
        <v>1311</v>
      </c>
      <c r="G1437" t="s">
        <v>1614</v>
      </c>
      <c r="H1437">
        <v>60</v>
      </c>
      <c r="I1437" t="s">
        <v>1615</v>
      </c>
    </row>
    <row r="1438" spans="1:9">
      <c r="A1438" t="s">
        <v>1500</v>
      </c>
      <c r="B1438" t="s">
        <v>1501</v>
      </c>
      <c r="C1438" t="s">
        <v>1502</v>
      </c>
      <c r="D1438" t="s">
        <v>1674</v>
      </c>
      <c r="E1438" t="s">
        <v>1613</v>
      </c>
      <c r="F1438" t="s">
        <v>1311</v>
      </c>
      <c r="G1438" t="s">
        <v>1614</v>
      </c>
      <c r="H1438">
        <v>61</v>
      </c>
      <c r="I1438" t="s">
        <v>1615</v>
      </c>
    </row>
    <row r="1439" spans="1:9">
      <c r="A1439" t="s">
        <v>1500</v>
      </c>
      <c r="B1439" t="s">
        <v>1501</v>
      </c>
      <c r="C1439" t="s">
        <v>1505</v>
      </c>
      <c r="D1439" t="s">
        <v>1675</v>
      </c>
      <c r="E1439" t="s">
        <v>1613</v>
      </c>
      <c r="F1439" t="s">
        <v>1311</v>
      </c>
      <c r="G1439" t="s">
        <v>1614</v>
      </c>
      <c r="H1439">
        <v>62</v>
      </c>
      <c r="I1439" t="s">
        <v>1615</v>
      </c>
    </row>
    <row r="1440" spans="1:9">
      <c r="A1440" t="s">
        <v>1500</v>
      </c>
      <c r="B1440" t="s">
        <v>1501</v>
      </c>
      <c r="C1440" t="s">
        <v>1505</v>
      </c>
      <c r="D1440" t="s">
        <v>1676</v>
      </c>
      <c r="E1440" t="s">
        <v>1613</v>
      </c>
      <c r="F1440" t="s">
        <v>1311</v>
      </c>
      <c r="G1440" t="s">
        <v>1614</v>
      </c>
      <c r="H1440">
        <v>63</v>
      </c>
      <c r="I1440" t="s">
        <v>1615</v>
      </c>
    </row>
    <row r="1441" spans="1:9">
      <c r="A1441" t="s">
        <v>1500</v>
      </c>
      <c r="B1441" t="s">
        <v>1501</v>
      </c>
      <c r="C1441" t="s">
        <v>1505</v>
      </c>
      <c r="D1441" t="s">
        <v>1677</v>
      </c>
      <c r="E1441" t="s">
        <v>1613</v>
      </c>
      <c r="F1441" t="s">
        <v>1311</v>
      </c>
      <c r="G1441" t="s">
        <v>1614</v>
      </c>
      <c r="H1441">
        <v>64</v>
      </c>
      <c r="I1441" t="s">
        <v>1615</v>
      </c>
    </row>
    <row r="1442" spans="1:9">
      <c r="A1442" t="s">
        <v>1500</v>
      </c>
      <c r="B1442" t="s">
        <v>1501</v>
      </c>
      <c r="C1442" t="s">
        <v>1505</v>
      </c>
      <c r="D1442" t="s">
        <v>1678</v>
      </c>
      <c r="E1442" t="s">
        <v>1613</v>
      </c>
      <c r="F1442" t="s">
        <v>1311</v>
      </c>
      <c r="G1442" t="s">
        <v>1614</v>
      </c>
      <c r="H1442">
        <v>65</v>
      </c>
      <c r="I1442" t="s">
        <v>1615</v>
      </c>
    </row>
    <row r="1443" spans="1:9">
      <c r="A1443" t="s">
        <v>1500</v>
      </c>
      <c r="B1443" t="s">
        <v>1501</v>
      </c>
      <c r="C1443" t="s">
        <v>1505</v>
      </c>
      <c r="D1443" t="s">
        <v>1679</v>
      </c>
      <c r="E1443" t="s">
        <v>1613</v>
      </c>
      <c r="F1443" t="s">
        <v>1311</v>
      </c>
      <c r="G1443" t="s">
        <v>1614</v>
      </c>
      <c r="H1443">
        <v>66</v>
      </c>
      <c r="I1443" t="s">
        <v>1615</v>
      </c>
    </row>
    <row r="1444" spans="1:9">
      <c r="A1444" t="s">
        <v>1500</v>
      </c>
      <c r="B1444" t="s">
        <v>1501</v>
      </c>
      <c r="C1444" t="s">
        <v>1505</v>
      </c>
      <c r="D1444" t="s">
        <v>1680</v>
      </c>
      <c r="E1444" t="s">
        <v>1613</v>
      </c>
      <c r="F1444" t="s">
        <v>1311</v>
      </c>
      <c r="G1444" t="s">
        <v>1614</v>
      </c>
      <c r="H1444">
        <v>67</v>
      </c>
      <c r="I1444" t="s">
        <v>1615</v>
      </c>
    </row>
    <row r="1445" spans="1:9">
      <c r="A1445" t="s">
        <v>1500</v>
      </c>
      <c r="B1445" t="s">
        <v>1501</v>
      </c>
      <c r="C1445" t="s">
        <v>1502</v>
      </c>
      <c r="D1445" t="s">
        <v>1681</v>
      </c>
      <c r="E1445" t="s">
        <v>1613</v>
      </c>
      <c r="F1445" t="s">
        <v>1311</v>
      </c>
      <c r="G1445" t="s">
        <v>1614</v>
      </c>
      <c r="H1445">
        <v>68</v>
      </c>
      <c r="I1445" t="s">
        <v>1615</v>
      </c>
    </row>
    <row r="1446" spans="1:9">
      <c r="A1446" t="s">
        <v>1500</v>
      </c>
      <c r="B1446" t="s">
        <v>1501</v>
      </c>
      <c r="C1446" t="s">
        <v>1502</v>
      </c>
      <c r="D1446" t="s">
        <v>1682</v>
      </c>
      <c r="E1446" t="s">
        <v>1613</v>
      </c>
      <c r="F1446" t="s">
        <v>1311</v>
      </c>
      <c r="G1446" t="s">
        <v>1614</v>
      </c>
      <c r="H1446">
        <v>69</v>
      </c>
      <c r="I1446" t="s">
        <v>1615</v>
      </c>
    </row>
    <row r="1447" spans="1:9">
      <c r="A1447" t="s">
        <v>1500</v>
      </c>
      <c r="B1447" t="s">
        <v>1501</v>
      </c>
      <c r="C1447" t="s">
        <v>1502</v>
      </c>
      <c r="D1447" t="s">
        <v>1683</v>
      </c>
      <c r="E1447" t="s">
        <v>1613</v>
      </c>
      <c r="F1447" t="s">
        <v>1311</v>
      </c>
      <c r="G1447" t="s">
        <v>1614</v>
      </c>
      <c r="H1447">
        <v>70</v>
      </c>
      <c r="I1447" t="s">
        <v>1615</v>
      </c>
    </row>
    <row r="1448" spans="1:9">
      <c r="A1448" t="s">
        <v>1500</v>
      </c>
      <c r="B1448" t="s">
        <v>1501</v>
      </c>
      <c r="C1448" t="s">
        <v>1502</v>
      </c>
      <c r="D1448" t="s">
        <v>1684</v>
      </c>
      <c r="E1448" t="s">
        <v>1613</v>
      </c>
      <c r="F1448" t="s">
        <v>1311</v>
      </c>
      <c r="G1448" t="s">
        <v>1614</v>
      </c>
      <c r="H1448">
        <v>71</v>
      </c>
      <c r="I1448" t="s">
        <v>1615</v>
      </c>
    </row>
    <row r="1449" spans="1:9">
      <c r="A1449" t="s">
        <v>1500</v>
      </c>
      <c r="B1449" t="s">
        <v>1501</v>
      </c>
      <c r="C1449" t="s">
        <v>1502</v>
      </c>
      <c r="D1449" t="s">
        <v>1685</v>
      </c>
      <c r="E1449" t="s">
        <v>1613</v>
      </c>
      <c r="F1449" t="s">
        <v>1311</v>
      </c>
      <c r="G1449" t="s">
        <v>1614</v>
      </c>
      <c r="H1449">
        <v>72</v>
      </c>
      <c r="I1449" t="s">
        <v>1615</v>
      </c>
    </row>
    <row r="1450" spans="1:9">
      <c r="A1450" t="s">
        <v>1500</v>
      </c>
      <c r="B1450" t="s">
        <v>1501</v>
      </c>
      <c r="C1450" t="s">
        <v>1502</v>
      </c>
      <c r="D1450" t="s">
        <v>1686</v>
      </c>
      <c r="E1450" t="s">
        <v>1613</v>
      </c>
      <c r="F1450" t="s">
        <v>1311</v>
      </c>
      <c r="G1450" t="s">
        <v>1614</v>
      </c>
      <c r="H1450">
        <v>73</v>
      </c>
      <c r="I1450" t="s">
        <v>1615</v>
      </c>
    </row>
    <row r="1451" spans="1:9">
      <c r="A1451" t="s">
        <v>1500</v>
      </c>
      <c r="B1451" t="s">
        <v>1501</v>
      </c>
      <c r="C1451" t="s">
        <v>1505</v>
      </c>
      <c r="D1451" t="s">
        <v>1687</v>
      </c>
      <c r="E1451" t="s">
        <v>1613</v>
      </c>
      <c r="F1451" t="s">
        <v>1311</v>
      </c>
      <c r="G1451" t="s">
        <v>1614</v>
      </c>
      <c r="H1451">
        <v>74</v>
      </c>
      <c r="I1451" t="s">
        <v>1615</v>
      </c>
    </row>
    <row r="1452" spans="1:9">
      <c r="A1452" t="s">
        <v>1500</v>
      </c>
      <c r="B1452" t="s">
        <v>1501</v>
      </c>
      <c r="C1452" t="s">
        <v>1505</v>
      </c>
      <c r="D1452" t="s">
        <v>1688</v>
      </c>
      <c r="E1452" t="s">
        <v>1613</v>
      </c>
      <c r="F1452" t="s">
        <v>1311</v>
      </c>
      <c r="G1452" t="s">
        <v>1614</v>
      </c>
      <c r="H1452">
        <v>75</v>
      </c>
      <c r="I1452" t="s">
        <v>1615</v>
      </c>
    </row>
    <row r="1453" spans="1:9">
      <c r="A1453" t="s">
        <v>1500</v>
      </c>
      <c r="B1453" t="s">
        <v>1501</v>
      </c>
      <c r="C1453" t="s">
        <v>1505</v>
      </c>
      <c r="D1453" t="s">
        <v>1689</v>
      </c>
      <c r="E1453" t="s">
        <v>1613</v>
      </c>
      <c r="F1453" t="s">
        <v>1311</v>
      </c>
      <c r="G1453" t="s">
        <v>1614</v>
      </c>
      <c r="H1453">
        <v>76</v>
      </c>
      <c r="I1453" t="s">
        <v>1615</v>
      </c>
    </row>
    <row r="1454" spans="1:9">
      <c r="A1454" t="s">
        <v>1500</v>
      </c>
      <c r="B1454" t="s">
        <v>1501</v>
      </c>
      <c r="C1454" t="s">
        <v>1505</v>
      </c>
      <c r="D1454" t="s">
        <v>1690</v>
      </c>
      <c r="E1454" t="s">
        <v>1613</v>
      </c>
      <c r="F1454" t="s">
        <v>1311</v>
      </c>
      <c r="G1454" t="s">
        <v>1614</v>
      </c>
      <c r="H1454">
        <v>77</v>
      </c>
      <c r="I1454" t="s">
        <v>1615</v>
      </c>
    </row>
    <row r="1455" spans="1:9">
      <c r="A1455" t="s">
        <v>1500</v>
      </c>
      <c r="B1455" t="s">
        <v>1501</v>
      </c>
      <c r="C1455" t="s">
        <v>1505</v>
      </c>
      <c r="D1455" t="s">
        <v>1691</v>
      </c>
      <c r="E1455" t="s">
        <v>1613</v>
      </c>
      <c r="F1455" t="s">
        <v>1311</v>
      </c>
      <c r="G1455" t="s">
        <v>1614</v>
      </c>
      <c r="H1455">
        <v>78</v>
      </c>
      <c r="I1455" t="s">
        <v>1615</v>
      </c>
    </row>
    <row r="1456" spans="1:9">
      <c r="A1456" t="s">
        <v>1500</v>
      </c>
      <c r="B1456" t="s">
        <v>1501</v>
      </c>
      <c r="C1456" t="s">
        <v>1505</v>
      </c>
      <c r="D1456" t="s">
        <v>1692</v>
      </c>
      <c r="E1456" t="s">
        <v>1613</v>
      </c>
      <c r="F1456" t="s">
        <v>1311</v>
      </c>
      <c r="G1456" t="s">
        <v>1614</v>
      </c>
      <c r="H1456">
        <v>79</v>
      </c>
      <c r="I1456" t="s">
        <v>1615</v>
      </c>
    </row>
    <row r="1457" spans="1:9">
      <c r="A1457" t="s">
        <v>1500</v>
      </c>
      <c r="B1457" t="s">
        <v>1501</v>
      </c>
      <c r="C1457" t="s">
        <v>1502</v>
      </c>
      <c r="D1457" t="s">
        <v>1693</v>
      </c>
      <c r="E1457" t="s">
        <v>1613</v>
      </c>
      <c r="F1457" t="s">
        <v>1311</v>
      </c>
      <c r="G1457" t="s">
        <v>1614</v>
      </c>
      <c r="H1457">
        <v>80</v>
      </c>
      <c r="I1457" t="s">
        <v>1615</v>
      </c>
    </row>
    <row r="1458" spans="1:9">
      <c r="A1458" t="s">
        <v>1500</v>
      </c>
      <c r="B1458" t="s">
        <v>1501</v>
      </c>
      <c r="C1458" t="s">
        <v>1502</v>
      </c>
      <c r="D1458" t="s">
        <v>1694</v>
      </c>
      <c r="E1458" t="s">
        <v>1613</v>
      </c>
      <c r="F1458" t="s">
        <v>1311</v>
      </c>
      <c r="G1458" t="s">
        <v>1614</v>
      </c>
      <c r="H1458">
        <v>81</v>
      </c>
      <c r="I1458" t="s">
        <v>1615</v>
      </c>
    </row>
    <row r="1459" spans="1:9">
      <c r="A1459" t="s">
        <v>1500</v>
      </c>
      <c r="B1459" t="s">
        <v>1501</v>
      </c>
      <c r="C1459" t="s">
        <v>1502</v>
      </c>
      <c r="D1459" t="s">
        <v>1695</v>
      </c>
      <c r="E1459" t="s">
        <v>1613</v>
      </c>
      <c r="F1459" t="s">
        <v>1311</v>
      </c>
      <c r="G1459" t="s">
        <v>1614</v>
      </c>
      <c r="H1459">
        <v>82</v>
      </c>
      <c r="I1459" t="s">
        <v>1615</v>
      </c>
    </row>
    <row r="1460" spans="1:9">
      <c r="A1460" t="s">
        <v>1500</v>
      </c>
      <c r="B1460" t="s">
        <v>1501</v>
      </c>
      <c r="C1460" t="s">
        <v>1502</v>
      </c>
      <c r="D1460" t="s">
        <v>1696</v>
      </c>
      <c r="E1460" t="s">
        <v>1613</v>
      </c>
      <c r="F1460" t="s">
        <v>1311</v>
      </c>
      <c r="G1460" t="s">
        <v>1614</v>
      </c>
      <c r="H1460">
        <v>83</v>
      </c>
      <c r="I1460" t="s">
        <v>1615</v>
      </c>
    </row>
    <row r="1461" spans="1:9">
      <c r="A1461" t="s">
        <v>1500</v>
      </c>
      <c r="B1461" t="s">
        <v>1501</v>
      </c>
      <c r="C1461" t="s">
        <v>1502</v>
      </c>
      <c r="D1461" t="s">
        <v>1697</v>
      </c>
      <c r="E1461" t="s">
        <v>1613</v>
      </c>
      <c r="F1461" t="s">
        <v>1311</v>
      </c>
      <c r="G1461" t="s">
        <v>1614</v>
      </c>
      <c r="H1461">
        <v>84</v>
      </c>
      <c r="I1461" t="s">
        <v>1615</v>
      </c>
    </row>
    <row r="1462" spans="1:9">
      <c r="A1462" t="s">
        <v>1500</v>
      </c>
      <c r="B1462" t="s">
        <v>1501</v>
      </c>
      <c r="C1462" t="s">
        <v>1502</v>
      </c>
      <c r="D1462" t="s">
        <v>1698</v>
      </c>
      <c r="E1462" t="s">
        <v>1613</v>
      </c>
      <c r="F1462" t="s">
        <v>1311</v>
      </c>
      <c r="G1462" t="s">
        <v>1614</v>
      </c>
      <c r="H1462">
        <v>85</v>
      </c>
      <c r="I1462" t="s">
        <v>1615</v>
      </c>
    </row>
    <row r="1463" spans="1:9">
      <c r="A1463" t="s">
        <v>1500</v>
      </c>
      <c r="B1463" t="s">
        <v>1501</v>
      </c>
      <c r="C1463" t="s">
        <v>1502</v>
      </c>
      <c r="D1463" t="s">
        <v>1699</v>
      </c>
      <c r="E1463" t="s">
        <v>1613</v>
      </c>
      <c r="F1463" t="s">
        <v>1311</v>
      </c>
      <c r="G1463" t="s">
        <v>1614</v>
      </c>
      <c r="H1463">
        <v>86</v>
      </c>
      <c r="I1463" t="s">
        <v>1615</v>
      </c>
    </row>
    <row r="1464" spans="1:9">
      <c r="A1464" t="s">
        <v>1500</v>
      </c>
      <c r="B1464" t="s">
        <v>1501</v>
      </c>
      <c r="C1464" t="s">
        <v>1502</v>
      </c>
      <c r="D1464" t="s">
        <v>1700</v>
      </c>
      <c r="E1464" t="s">
        <v>1613</v>
      </c>
      <c r="F1464" t="s">
        <v>1311</v>
      </c>
      <c r="G1464" t="s">
        <v>1614</v>
      </c>
      <c r="H1464">
        <v>87</v>
      </c>
      <c r="I1464" t="s">
        <v>1615</v>
      </c>
    </row>
    <row r="1465" spans="1:9">
      <c r="A1465" t="s">
        <v>1500</v>
      </c>
      <c r="B1465" t="s">
        <v>1501</v>
      </c>
      <c r="C1465" t="s">
        <v>1502</v>
      </c>
      <c r="D1465" t="s">
        <v>1701</v>
      </c>
      <c r="E1465" t="s">
        <v>1613</v>
      </c>
      <c r="F1465" t="s">
        <v>1311</v>
      </c>
      <c r="G1465" t="s">
        <v>1614</v>
      </c>
      <c r="H1465">
        <v>88</v>
      </c>
      <c r="I1465" t="s">
        <v>1615</v>
      </c>
    </row>
    <row r="1466" spans="1:9">
      <c r="A1466" t="s">
        <v>1500</v>
      </c>
      <c r="B1466" t="s">
        <v>1501</v>
      </c>
      <c r="C1466" t="s">
        <v>1502</v>
      </c>
      <c r="D1466" t="s">
        <v>1702</v>
      </c>
      <c r="E1466" t="s">
        <v>1613</v>
      </c>
      <c r="F1466" t="s">
        <v>1311</v>
      </c>
      <c r="G1466" t="s">
        <v>1614</v>
      </c>
      <c r="H1466">
        <v>89</v>
      </c>
      <c r="I1466" t="s">
        <v>1615</v>
      </c>
    </row>
    <row r="1467" spans="1:9">
      <c r="A1467" t="s">
        <v>1500</v>
      </c>
      <c r="B1467" t="s">
        <v>1501</v>
      </c>
      <c r="C1467" t="s">
        <v>1502</v>
      </c>
      <c r="D1467" t="s">
        <v>1703</v>
      </c>
      <c r="E1467" t="s">
        <v>1613</v>
      </c>
      <c r="F1467" t="s">
        <v>1311</v>
      </c>
      <c r="G1467" t="s">
        <v>1614</v>
      </c>
      <c r="H1467">
        <v>90</v>
      </c>
      <c r="I1467" t="s">
        <v>1615</v>
      </c>
    </row>
    <row r="1468" spans="1:9">
      <c r="A1468" t="s">
        <v>1500</v>
      </c>
      <c r="B1468" t="s">
        <v>1501</v>
      </c>
      <c r="C1468" t="s">
        <v>1502</v>
      </c>
      <c r="D1468" t="s">
        <v>1704</v>
      </c>
      <c r="E1468" t="s">
        <v>1613</v>
      </c>
      <c r="F1468" t="s">
        <v>1311</v>
      </c>
      <c r="G1468" t="s">
        <v>1614</v>
      </c>
      <c r="H1468">
        <v>91</v>
      </c>
      <c r="I1468" t="s">
        <v>1615</v>
      </c>
    </row>
    <row r="1469" spans="1:9">
      <c r="A1469" t="s">
        <v>1500</v>
      </c>
      <c r="B1469" t="s">
        <v>1501</v>
      </c>
      <c r="C1469" t="s">
        <v>1505</v>
      </c>
      <c r="D1469" t="s">
        <v>1705</v>
      </c>
      <c r="E1469" t="s">
        <v>1613</v>
      </c>
      <c r="F1469" t="s">
        <v>1311</v>
      </c>
      <c r="G1469" t="s">
        <v>1614</v>
      </c>
      <c r="H1469">
        <v>92</v>
      </c>
      <c r="I1469" t="s">
        <v>1615</v>
      </c>
    </row>
    <row r="1470" spans="1:9">
      <c r="A1470" t="s">
        <v>1500</v>
      </c>
      <c r="B1470" t="s">
        <v>1501</v>
      </c>
      <c r="C1470" t="s">
        <v>1505</v>
      </c>
      <c r="D1470" t="s">
        <v>1706</v>
      </c>
      <c r="E1470" t="s">
        <v>1613</v>
      </c>
      <c r="F1470" t="s">
        <v>1311</v>
      </c>
      <c r="G1470" t="s">
        <v>1614</v>
      </c>
      <c r="H1470">
        <v>93</v>
      </c>
      <c r="I1470" t="s">
        <v>1615</v>
      </c>
    </row>
    <row r="1471" spans="1:9">
      <c r="A1471" t="s">
        <v>1500</v>
      </c>
      <c r="B1471" t="s">
        <v>1501</v>
      </c>
      <c r="C1471" t="s">
        <v>1505</v>
      </c>
      <c r="D1471" t="s">
        <v>1707</v>
      </c>
      <c r="E1471" t="s">
        <v>1613</v>
      </c>
      <c r="F1471" t="s">
        <v>1311</v>
      </c>
      <c r="G1471" t="s">
        <v>1614</v>
      </c>
      <c r="H1471">
        <v>94</v>
      </c>
      <c r="I1471" t="s">
        <v>1615</v>
      </c>
    </row>
    <row r="1472" spans="1:9">
      <c r="A1472" t="s">
        <v>1500</v>
      </c>
      <c r="B1472" t="s">
        <v>1501</v>
      </c>
      <c r="C1472" t="s">
        <v>1505</v>
      </c>
      <c r="D1472" t="s">
        <v>1708</v>
      </c>
      <c r="E1472" t="s">
        <v>1613</v>
      </c>
      <c r="F1472" t="s">
        <v>1311</v>
      </c>
      <c r="G1472" t="s">
        <v>1614</v>
      </c>
      <c r="H1472">
        <v>95</v>
      </c>
      <c r="I1472" t="s">
        <v>1615</v>
      </c>
    </row>
    <row r="1473" spans="1:9">
      <c r="A1473" t="s">
        <v>1500</v>
      </c>
      <c r="B1473" t="s">
        <v>1501</v>
      </c>
      <c r="C1473" t="s">
        <v>1505</v>
      </c>
      <c r="D1473" t="s">
        <v>1709</v>
      </c>
      <c r="E1473" t="s">
        <v>1613</v>
      </c>
      <c r="F1473" t="s">
        <v>1311</v>
      </c>
      <c r="G1473" t="s">
        <v>1614</v>
      </c>
      <c r="H1473">
        <v>96</v>
      </c>
      <c r="I1473" t="s">
        <v>1615</v>
      </c>
    </row>
    <row r="1474" spans="1:9">
      <c r="A1474" t="s">
        <v>1500</v>
      </c>
      <c r="B1474" t="s">
        <v>1501</v>
      </c>
      <c r="C1474" t="s">
        <v>1505</v>
      </c>
      <c r="D1474" t="s">
        <v>1710</v>
      </c>
      <c r="E1474" t="s">
        <v>1613</v>
      </c>
      <c r="F1474" t="s">
        <v>1311</v>
      </c>
      <c r="G1474" t="s">
        <v>1614</v>
      </c>
      <c r="H1474">
        <v>97</v>
      </c>
      <c r="I1474" t="s">
        <v>1615</v>
      </c>
    </row>
    <row r="1475" spans="1:9">
      <c r="A1475" t="s">
        <v>1500</v>
      </c>
      <c r="B1475" t="s">
        <v>1501</v>
      </c>
      <c r="C1475" t="s">
        <v>1505</v>
      </c>
      <c r="D1475" t="s">
        <v>1711</v>
      </c>
      <c r="E1475" t="s">
        <v>1613</v>
      </c>
      <c r="F1475" t="s">
        <v>1311</v>
      </c>
      <c r="G1475" t="s">
        <v>1614</v>
      </c>
      <c r="H1475">
        <v>98</v>
      </c>
      <c r="I1475" t="s">
        <v>1615</v>
      </c>
    </row>
    <row r="1476" spans="1:9">
      <c r="A1476" t="s">
        <v>1500</v>
      </c>
      <c r="B1476" t="s">
        <v>1501</v>
      </c>
      <c r="C1476" t="s">
        <v>1505</v>
      </c>
      <c r="D1476" t="s">
        <v>1712</v>
      </c>
      <c r="E1476" t="s">
        <v>1613</v>
      </c>
      <c r="F1476" t="s">
        <v>1311</v>
      </c>
      <c r="G1476" t="s">
        <v>1614</v>
      </c>
      <c r="H1476">
        <v>99</v>
      </c>
      <c r="I1476" t="s">
        <v>1615</v>
      </c>
    </row>
    <row r="1477" spans="1:9">
      <c r="A1477" t="s">
        <v>1500</v>
      </c>
      <c r="B1477" t="s">
        <v>1501</v>
      </c>
      <c r="C1477" t="s">
        <v>1505</v>
      </c>
      <c r="D1477" t="s">
        <v>1713</v>
      </c>
      <c r="E1477" t="s">
        <v>1613</v>
      </c>
      <c r="F1477" t="s">
        <v>1311</v>
      </c>
      <c r="G1477" t="s">
        <v>1614</v>
      </c>
      <c r="H1477">
        <v>100</v>
      </c>
      <c r="I1477" t="s">
        <v>1615</v>
      </c>
    </row>
    <row r="1478" spans="1:9">
      <c r="A1478" t="s">
        <v>1500</v>
      </c>
      <c r="B1478" t="s">
        <v>1501</v>
      </c>
      <c r="C1478" t="s">
        <v>1505</v>
      </c>
      <c r="D1478" t="s">
        <v>1714</v>
      </c>
      <c r="E1478" t="s">
        <v>1613</v>
      </c>
      <c r="F1478" t="s">
        <v>1311</v>
      </c>
      <c r="G1478" t="s">
        <v>1614</v>
      </c>
      <c r="H1478">
        <v>101</v>
      </c>
      <c r="I1478" t="s">
        <v>1615</v>
      </c>
    </row>
    <row r="1479" spans="1:9">
      <c r="A1479" t="s">
        <v>1500</v>
      </c>
      <c r="B1479" t="s">
        <v>1501</v>
      </c>
      <c r="C1479" t="s">
        <v>1505</v>
      </c>
      <c r="D1479" t="s">
        <v>1715</v>
      </c>
      <c r="E1479" t="s">
        <v>1613</v>
      </c>
      <c r="F1479" t="s">
        <v>1311</v>
      </c>
      <c r="G1479" t="s">
        <v>1614</v>
      </c>
      <c r="H1479">
        <v>102</v>
      </c>
      <c r="I1479" t="s">
        <v>1615</v>
      </c>
    </row>
    <row r="1480" spans="1:9">
      <c r="A1480" t="s">
        <v>1500</v>
      </c>
      <c r="B1480" t="s">
        <v>1501</v>
      </c>
      <c r="C1480" t="s">
        <v>1505</v>
      </c>
      <c r="D1480" t="s">
        <v>1716</v>
      </c>
      <c r="E1480" t="s">
        <v>1613</v>
      </c>
      <c r="F1480" t="s">
        <v>1311</v>
      </c>
      <c r="G1480" t="s">
        <v>1614</v>
      </c>
      <c r="H1480">
        <v>103</v>
      </c>
      <c r="I1480" t="s">
        <v>1615</v>
      </c>
    </row>
    <row r="1481" spans="1:9">
      <c r="A1481" t="s">
        <v>1500</v>
      </c>
      <c r="B1481" t="s">
        <v>1501</v>
      </c>
      <c r="C1481" t="s">
        <v>1505</v>
      </c>
      <c r="D1481" t="s">
        <v>1717</v>
      </c>
      <c r="E1481" t="s">
        <v>1718</v>
      </c>
      <c r="F1481" t="s">
        <v>1297</v>
      </c>
      <c r="G1481" t="s">
        <v>1614</v>
      </c>
      <c r="H1481">
        <v>104</v>
      </c>
      <c r="I1481" t="s">
        <v>1719</v>
      </c>
    </row>
    <row r="1482" spans="1:9">
      <c r="A1482" t="s">
        <v>1500</v>
      </c>
      <c r="B1482" t="s">
        <v>1501</v>
      </c>
      <c r="C1482" t="s">
        <v>1505</v>
      </c>
      <c r="D1482" t="s">
        <v>1720</v>
      </c>
      <c r="E1482" t="s">
        <v>1718</v>
      </c>
      <c r="F1482" t="s">
        <v>1297</v>
      </c>
      <c r="G1482" t="s">
        <v>1614</v>
      </c>
      <c r="H1482">
        <v>105</v>
      </c>
      <c r="I1482" t="s">
        <v>1719</v>
      </c>
    </row>
    <row r="1483" spans="1:9">
      <c r="A1483" t="s">
        <v>1500</v>
      </c>
      <c r="B1483" t="s">
        <v>1501</v>
      </c>
      <c r="C1483" t="s">
        <v>1505</v>
      </c>
      <c r="D1483" t="s">
        <v>1721</v>
      </c>
      <c r="E1483" t="s">
        <v>1718</v>
      </c>
      <c r="F1483" t="s">
        <v>1297</v>
      </c>
      <c r="G1483" t="s">
        <v>1614</v>
      </c>
      <c r="H1483">
        <v>106</v>
      </c>
      <c r="I1483" t="s">
        <v>1719</v>
      </c>
    </row>
    <row r="1484" spans="1:9">
      <c r="A1484" t="s">
        <v>1500</v>
      </c>
      <c r="B1484" t="s">
        <v>1501</v>
      </c>
      <c r="C1484" t="s">
        <v>1505</v>
      </c>
      <c r="D1484" t="s">
        <v>1722</v>
      </c>
      <c r="E1484" t="s">
        <v>1718</v>
      </c>
      <c r="F1484" t="s">
        <v>1297</v>
      </c>
      <c r="G1484" t="s">
        <v>1614</v>
      </c>
      <c r="H1484">
        <v>107</v>
      </c>
      <c r="I1484" t="s">
        <v>1719</v>
      </c>
    </row>
    <row r="1485" spans="1:9">
      <c r="A1485" t="s">
        <v>1500</v>
      </c>
      <c r="B1485" t="s">
        <v>1501</v>
      </c>
      <c r="C1485" t="s">
        <v>1505</v>
      </c>
      <c r="D1485" t="s">
        <v>1723</v>
      </c>
      <c r="E1485" t="s">
        <v>1718</v>
      </c>
      <c r="F1485" t="s">
        <v>1297</v>
      </c>
      <c r="G1485" t="s">
        <v>1614</v>
      </c>
      <c r="H1485">
        <v>108</v>
      </c>
      <c r="I1485" t="s">
        <v>1719</v>
      </c>
    </row>
    <row r="1486" spans="1:9">
      <c r="A1486" t="s">
        <v>1500</v>
      </c>
      <c r="B1486" t="s">
        <v>1501</v>
      </c>
      <c r="C1486" t="s">
        <v>1724</v>
      </c>
      <c r="D1486" t="s">
        <v>1725</v>
      </c>
      <c r="E1486" t="s">
        <v>1726</v>
      </c>
      <c r="F1486" t="s">
        <v>1299</v>
      </c>
      <c r="G1486" t="s">
        <v>1614</v>
      </c>
      <c r="H1486">
        <v>109</v>
      </c>
      <c r="I1486" t="s">
        <v>1727</v>
      </c>
    </row>
    <row r="1487" spans="1:9">
      <c r="A1487" t="s">
        <v>1500</v>
      </c>
      <c r="B1487" t="s">
        <v>1501</v>
      </c>
      <c r="C1487" t="s">
        <v>1724</v>
      </c>
      <c r="D1487" t="s">
        <v>1728</v>
      </c>
      <c r="E1487" t="s">
        <v>1726</v>
      </c>
      <c r="F1487" t="s">
        <v>1299</v>
      </c>
      <c r="G1487" t="s">
        <v>1614</v>
      </c>
      <c r="H1487">
        <v>110</v>
      </c>
      <c r="I1487" t="s">
        <v>1727</v>
      </c>
    </row>
    <row r="1488" spans="1:9">
      <c r="A1488" t="s">
        <v>1500</v>
      </c>
      <c r="B1488" t="s">
        <v>1501</v>
      </c>
      <c r="C1488" t="s">
        <v>1724</v>
      </c>
      <c r="D1488" t="s">
        <v>1729</v>
      </c>
      <c r="E1488" t="s">
        <v>1726</v>
      </c>
      <c r="F1488" t="s">
        <v>1299</v>
      </c>
      <c r="G1488" t="s">
        <v>1614</v>
      </c>
      <c r="H1488">
        <v>111</v>
      </c>
      <c r="I1488" t="s">
        <v>1727</v>
      </c>
    </row>
    <row r="1489" spans="1:9">
      <c r="A1489" t="s">
        <v>1500</v>
      </c>
      <c r="B1489" t="s">
        <v>1501</v>
      </c>
      <c r="C1489" t="s">
        <v>1724</v>
      </c>
      <c r="D1489" t="s">
        <v>1730</v>
      </c>
      <c r="E1489" t="s">
        <v>1726</v>
      </c>
      <c r="F1489" t="s">
        <v>1299</v>
      </c>
      <c r="G1489" t="s">
        <v>1614</v>
      </c>
      <c r="H1489">
        <v>112</v>
      </c>
      <c r="I1489" t="s">
        <v>1727</v>
      </c>
    </row>
    <row r="1490" spans="1:9">
      <c r="A1490" t="s">
        <v>1500</v>
      </c>
      <c r="B1490" t="s">
        <v>1501</v>
      </c>
      <c r="C1490" t="s">
        <v>1724</v>
      </c>
      <c r="D1490" t="s">
        <v>1731</v>
      </c>
      <c r="E1490" t="s">
        <v>1726</v>
      </c>
      <c r="F1490" t="s">
        <v>1299</v>
      </c>
      <c r="G1490" t="s">
        <v>1614</v>
      </c>
      <c r="H1490">
        <v>113</v>
      </c>
      <c r="I1490" t="s">
        <v>1727</v>
      </c>
    </row>
    <row r="1491" spans="1:9">
      <c r="A1491" t="s">
        <v>1500</v>
      </c>
      <c r="B1491" t="s">
        <v>1501</v>
      </c>
      <c r="C1491" t="s">
        <v>1724</v>
      </c>
      <c r="D1491" t="s">
        <v>1732</v>
      </c>
      <c r="E1491" t="s">
        <v>1726</v>
      </c>
      <c r="F1491" t="s">
        <v>1299</v>
      </c>
      <c r="G1491" t="s">
        <v>1614</v>
      </c>
      <c r="H1491">
        <v>114</v>
      </c>
      <c r="I1491" t="s">
        <v>1727</v>
      </c>
    </row>
    <row r="1492" spans="1:9">
      <c r="A1492" t="s">
        <v>1500</v>
      </c>
      <c r="B1492" t="s">
        <v>1501</v>
      </c>
      <c r="C1492" t="s">
        <v>1502</v>
      </c>
      <c r="D1492" t="s">
        <v>1733</v>
      </c>
      <c r="E1492" t="s">
        <v>1726</v>
      </c>
      <c r="F1492" t="s">
        <v>1299</v>
      </c>
      <c r="G1492" t="s">
        <v>1614</v>
      </c>
      <c r="H1492">
        <v>115</v>
      </c>
      <c r="I1492" t="s">
        <v>1727</v>
      </c>
    </row>
    <row r="1493" spans="1:9">
      <c r="A1493" t="s">
        <v>1500</v>
      </c>
      <c r="B1493" t="s">
        <v>1501</v>
      </c>
      <c r="C1493" t="s">
        <v>1502</v>
      </c>
      <c r="D1493" t="s">
        <v>1734</v>
      </c>
      <c r="E1493" t="s">
        <v>1726</v>
      </c>
      <c r="F1493" t="s">
        <v>1299</v>
      </c>
      <c r="G1493" t="s">
        <v>1614</v>
      </c>
      <c r="H1493">
        <v>116</v>
      </c>
      <c r="I1493" t="s">
        <v>1727</v>
      </c>
    </row>
    <row r="1494" spans="1:9">
      <c r="A1494" t="s">
        <v>1500</v>
      </c>
      <c r="B1494" t="s">
        <v>1501</v>
      </c>
      <c r="C1494" t="s">
        <v>1502</v>
      </c>
      <c r="D1494" t="s">
        <v>1735</v>
      </c>
      <c r="E1494" t="s">
        <v>1726</v>
      </c>
      <c r="F1494" t="s">
        <v>1299</v>
      </c>
      <c r="G1494" t="s">
        <v>1614</v>
      </c>
      <c r="H1494">
        <v>117</v>
      </c>
      <c r="I1494" t="s">
        <v>1727</v>
      </c>
    </row>
    <row r="1495" spans="1:9">
      <c r="A1495" t="s">
        <v>1500</v>
      </c>
      <c r="B1495" t="s">
        <v>1501</v>
      </c>
      <c r="C1495" t="s">
        <v>1502</v>
      </c>
      <c r="D1495" t="s">
        <v>1736</v>
      </c>
      <c r="E1495" t="s">
        <v>1726</v>
      </c>
      <c r="F1495" t="s">
        <v>1299</v>
      </c>
      <c r="G1495" t="s">
        <v>1614</v>
      </c>
      <c r="H1495">
        <v>118</v>
      </c>
      <c r="I1495" t="s">
        <v>1727</v>
      </c>
    </row>
    <row r="1496" spans="1:9">
      <c r="A1496" t="s">
        <v>1500</v>
      </c>
      <c r="B1496" t="s">
        <v>1501</v>
      </c>
      <c r="C1496" t="s">
        <v>1502</v>
      </c>
      <c r="D1496" t="s">
        <v>1737</v>
      </c>
      <c r="E1496" t="s">
        <v>1726</v>
      </c>
      <c r="F1496" t="s">
        <v>1299</v>
      </c>
      <c r="G1496" t="s">
        <v>1614</v>
      </c>
      <c r="H1496">
        <v>119</v>
      </c>
      <c r="I1496" t="s">
        <v>1727</v>
      </c>
    </row>
    <row r="1497" spans="1:9">
      <c r="A1497" t="s">
        <v>1500</v>
      </c>
      <c r="B1497" t="s">
        <v>1501</v>
      </c>
      <c r="C1497" t="s">
        <v>1502</v>
      </c>
      <c r="D1497" t="s">
        <v>1738</v>
      </c>
      <c r="E1497" t="s">
        <v>1726</v>
      </c>
      <c r="F1497" t="s">
        <v>1299</v>
      </c>
      <c r="G1497" t="s">
        <v>1614</v>
      </c>
      <c r="H1497">
        <v>120</v>
      </c>
      <c r="I1497" t="s">
        <v>1727</v>
      </c>
    </row>
    <row r="1498" spans="1:9">
      <c r="A1498" t="s">
        <v>1500</v>
      </c>
      <c r="B1498" t="s">
        <v>1501</v>
      </c>
      <c r="C1498" t="s">
        <v>1504</v>
      </c>
      <c r="D1498" t="s">
        <v>1739</v>
      </c>
      <c r="E1498" t="s">
        <v>1726</v>
      </c>
      <c r="F1498" t="s">
        <v>1299</v>
      </c>
      <c r="G1498" t="s">
        <v>1614</v>
      </c>
      <c r="H1498">
        <v>121</v>
      </c>
      <c r="I1498" t="s">
        <v>1727</v>
      </c>
    </row>
    <row r="1499" spans="1:9">
      <c r="A1499" t="s">
        <v>1500</v>
      </c>
      <c r="B1499" t="s">
        <v>1501</v>
      </c>
      <c r="C1499" t="s">
        <v>1504</v>
      </c>
      <c r="D1499" t="s">
        <v>1740</v>
      </c>
      <c r="E1499" t="s">
        <v>1726</v>
      </c>
      <c r="F1499" t="s">
        <v>1299</v>
      </c>
      <c r="G1499" t="s">
        <v>1614</v>
      </c>
      <c r="H1499">
        <v>122</v>
      </c>
      <c r="I1499" t="s">
        <v>1727</v>
      </c>
    </row>
    <row r="1500" spans="1:9">
      <c r="A1500" t="s">
        <v>1500</v>
      </c>
      <c r="B1500" t="s">
        <v>1501</v>
      </c>
      <c r="C1500" t="s">
        <v>1504</v>
      </c>
      <c r="D1500" t="s">
        <v>1741</v>
      </c>
      <c r="E1500" t="s">
        <v>1726</v>
      </c>
      <c r="F1500" t="s">
        <v>1299</v>
      </c>
      <c r="G1500" t="s">
        <v>1614</v>
      </c>
      <c r="H1500">
        <v>123</v>
      </c>
      <c r="I1500" t="s">
        <v>1727</v>
      </c>
    </row>
    <row r="1501" spans="1:9">
      <c r="A1501" t="s">
        <v>1500</v>
      </c>
      <c r="B1501" t="s">
        <v>1501</v>
      </c>
      <c r="C1501" t="s">
        <v>1504</v>
      </c>
      <c r="D1501" t="s">
        <v>1742</v>
      </c>
      <c r="E1501" t="s">
        <v>1726</v>
      </c>
      <c r="F1501" t="s">
        <v>1299</v>
      </c>
      <c r="G1501" t="s">
        <v>1614</v>
      </c>
      <c r="H1501">
        <v>124</v>
      </c>
      <c r="I1501" t="s">
        <v>1727</v>
      </c>
    </row>
    <row r="1502" spans="1:9">
      <c r="A1502" t="s">
        <v>1500</v>
      </c>
      <c r="B1502" t="s">
        <v>1501</v>
      </c>
      <c r="C1502" t="s">
        <v>1504</v>
      </c>
      <c r="D1502" t="s">
        <v>1743</v>
      </c>
      <c r="E1502" t="s">
        <v>1726</v>
      </c>
      <c r="F1502" t="s">
        <v>1299</v>
      </c>
      <c r="G1502" t="s">
        <v>1614</v>
      </c>
      <c r="H1502">
        <v>125</v>
      </c>
      <c r="I1502" t="s">
        <v>1727</v>
      </c>
    </row>
    <row r="1503" spans="1:9">
      <c r="A1503" t="s">
        <v>1500</v>
      </c>
      <c r="B1503" t="s">
        <v>1501</v>
      </c>
      <c r="C1503" t="s">
        <v>1504</v>
      </c>
      <c r="D1503" t="s">
        <v>1744</v>
      </c>
      <c r="E1503" t="s">
        <v>1726</v>
      </c>
      <c r="F1503" t="s">
        <v>1299</v>
      </c>
      <c r="G1503" t="s">
        <v>1614</v>
      </c>
      <c r="H1503">
        <v>126</v>
      </c>
      <c r="I1503" t="s">
        <v>1727</v>
      </c>
    </row>
    <row r="1504" spans="1:9">
      <c r="A1504" t="s">
        <v>1500</v>
      </c>
      <c r="B1504" t="s">
        <v>1501</v>
      </c>
      <c r="C1504" t="s">
        <v>1505</v>
      </c>
      <c r="D1504" t="s">
        <v>1745</v>
      </c>
      <c r="E1504" t="s">
        <v>1726</v>
      </c>
      <c r="F1504" t="s">
        <v>1299</v>
      </c>
      <c r="G1504" t="s">
        <v>1614</v>
      </c>
      <c r="H1504">
        <v>127</v>
      </c>
      <c r="I1504" t="s">
        <v>1727</v>
      </c>
    </row>
    <row r="1505" spans="1:9">
      <c r="A1505" t="s">
        <v>1500</v>
      </c>
      <c r="B1505" t="s">
        <v>1501</v>
      </c>
      <c r="C1505" t="s">
        <v>1505</v>
      </c>
      <c r="D1505" t="s">
        <v>1746</v>
      </c>
      <c r="E1505" t="s">
        <v>1726</v>
      </c>
      <c r="F1505" t="s">
        <v>1299</v>
      </c>
      <c r="G1505" t="s">
        <v>1614</v>
      </c>
      <c r="H1505">
        <v>128</v>
      </c>
      <c r="I1505" t="s">
        <v>1727</v>
      </c>
    </row>
    <row r="1506" spans="1:9">
      <c r="A1506" t="s">
        <v>1500</v>
      </c>
      <c r="B1506" t="s">
        <v>1501</v>
      </c>
      <c r="C1506" t="s">
        <v>1505</v>
      </c>
      <c r="D1506" t="s">
        <v>1747</v>
      </c>
      <c r="E1506" t="s">
        <v>1726</v>
      </c>
      <c r="F1506" t="s">
        <v>1299</v>
      </c>
      <c r="G1506" t="s">
        <v>1614</v>
      </c>
      <c r="H1506">
        <v>129</v>
      </c>
      <c r="I1506" t="s">
        <v>1727</v>
      </c>
    </row>
    <row r="1507" spans="1:9">
      <c r="A1507" t="s">
        <v>1500</v>
      </c>
      <c r="B1507" t="s">
        <v>1501</v>
      </c>
      <c r="C1507" t="s">
        <v>1505</v>
      </c>
      <c r="D1507" t="s">
        <v>1748</v>
      </c>
      <c r="E1507" t="s">
        <v>1726</v>
      </c>
      <c r="F1507" t="s">
        <v>1299</v>
      </c>
      <c r="G1507" t="s">
        <v>1614</v>
      </c>
      <c r="H1507">
        <v>130</v>
      </c>
      <c r="I1507" t="s">
        <v>1727</v>
      </c>
    </row>
    <row r="1508" spans="1:9">
      <c r="A1508" t="s">
        <v>1500</v>
      </c>
      <c r="B1508" t="s">
        <v>1501</v>
      </c>
      <c r="C1508" t="s">
        <v>1505</v>
      </c>
      <c r="D1508" t="s">
        <v>1749</v>
      </c>
      <c r="E1508" t="s">
        <v>1726</v>
      </c>
      <c r="F1508" t="s">
        <v>1299</v>
      </c>
      <c r="G1508" t="s">
        <v>1614</v>
      </c>
      <c r="H1508">
        <v>131</v>
      </c>
      <c r="I1508" t="s">
        <v>1727</v>
      </c>
    </row>
    <row r="1509" spans="1:9">
      <c r="A1509" t="s">
        <v>1500</v>
      </c>
      <c r="B1509" t="s">
        <v>1501</v>
      </c>
      <c r="C1509" t="s">
        <v>1505</v>
      </c>
      <c r="D1509" t="s">
        <v>1750</v>
      </c>
      <c r="E1509" t="s">
        <v>1726</v>
      </c>
      <c r="F1509" t="s">
        <v>1299</v>
      </c>
      <c r="G1509" t="s">
        <v>1614</v>
      </c>
      <c r="H1509">
        <v>132</v>
      </c>
      <c r="I1509" t="s">
        <v>1727</v>
      </c>
    </row>
    <row r="1510" spans="1:9">
      <c r="A1510" t="s">
        <v>1500</v>
      </c>
      <c r="B1510" t="s">
        <v>1501</v>
      </c>
      <c r="C1510" t="s">
        <v>1506</v>
      </c>
      <c r="D1510" t="s">
        <v>1751</v>
      </c>
      <c r="E1510" t="s">
        <v>1726</v>
      </c>
      <c r="F1510" t="s">
        <v>1299</v>
      </c>
      <c r="G1510" t="s">
        <v>1614</v>
      </c>
      <c r="H1510">
        <v>133</v>
      </c>
      <c r="I1510" t="s">
        <v>1727</v>
      </c>
    </row>
    <row r="1511" spans="1:9">
      <c r="A1511" t="s">
        <v>1500</v>
      </c>
      <c r="B1511" t="s">
        <v>1501</v>
      </c>
      <c r="C1511" t="s">
        <v>1506</v>
      </c>
      <c r="D1511" t="s">
        <v>1752</v>
      </c>
      <c r="E1511" t="s">
        <v>1726</v>
      </c>
      <c r="F1511" t="s">
        <v>1299</v>
      </c>
      <c r="G1511" t="s">
        <v>1614</v>
      </c>
      <c r="H1511">
        <v>134</v>
      </c>
      <c r="I1511" t="s">
        <v>1727</v>
      </c>
    </row>
    <row r="1512" spans="1:9">
      <c r="A1512" t="s">
        <v>1500</v>
      </c>
      <c r="B1512" t="s">
        <v>1501</v>
      </c>
      <c r="C1512" t="s">
        <v>1506</v>
      </c>
      <c r="D1512" t="s">
        <v>1753</v>
      </c>
      <c r="E1512" t="s">
        <v>1726</v>
      </c>
      <c r="F1512" t="s">
        <v>1299</v>
      </c>
      <c r="G1512" t="s">
        <v>1614</v>
      </c>
      <c r="H1512">
        <v>135</v>
      </c>
      <c r="I1512" t="s">
        <v>1727</v>
      </c>
    </row>
    <row r="1513" spans="1:9">
      <c r="A1513" t="s">
        <v>1500</v>
      </c>
      <c r="B1513" t="s">
        <v>1501</v>
      </c>
      <c r="C1513" t="s">
        <v>1506</v>
      </c>
      <c r="D1513" t="s">
        <v>1754</v>
      </c>
      <c r="E1513" t="s">
        <v>1726</v>
      </c>
      <c r="F1513" t="s">
        <v>1299</v>
      </c>
      <c r="G1513" t="s">
        <v>1614</v>
      </c>
      <c r="H1513">
        <v>136</v>
      </c>
      <c r="I1513" t="s">
        <v>1727</v>
      </c>
    </row>
    <row r="1514" spans="1:9">
      <c r="A1514" t="s">
        <v>1500</v>
      </c>
      <c r="B1514" t="s">
        <v>1501</v>
      </c>
      <c r="C1514" t="s">
        <v>1506</v>
      </c>
      <c r="D1514" t="s">
        <v>1755</v>
      </c>
      <c r="E1514" t="s">
        <v>1726</v>
      </c>
      <c r="F1514" t="s">
        <v>1299</v>
      </c>
      <c r="G1514" t="s">
        <v>1614</v>
      </c>
      <c r="H1514">
        <v>137</v>
      </c>
      <c r="I1514" t="s">
        <v>1727</v>
      </c>
    </row>
    <row r="1515" spans="1:9">
      <c r="A1515" t="s">
        <v>1500</v>
      </c>
      <c r="B1515" t="s">
        <v>1501</v>
      </c>
      <c r="C1515" t="s">
        <v>1506</v>
      </c>
      <c r="D1515" t="s">
        <v>1756</v>
      </c>
      <c r="E1515" t="s">
        <v>1726</v>
      </c>
      <c r="F1515" t="s">
        <v>1299</v>
      </c>
      <c r="G1515" t="s">
        <v>1614</v>
      </c>
      <c r="H1515">
        <v>138</v>
      </c>
      <c r="I1515" t="s">
        <v>1727</v>
      </c>
    </row>
    <row r="1516" spans="1:9">
      <c r="A1516" t="s">
        <v>1500</v>
      </c>
      <c r="B1516" t="s">
        <v>1501</v>
      </c>
      <c r="C1516" t="s">
        <v>1724</v>
      </c>
      <c r="D1516" t="s">
        <v>1757</v>
      </c>
      <c r="E1516" t="s">
        <v>1478</v>
      </c>
      <c r="F1516" t="s">
        <v>1758</v>
      </c>
      <c r="G1516" t="s">
        <v>1759</v>
      </c>
      <c r="H1516">
        <v>2</v>
      </c>
      <c r="I1516" t="s">
        <v>1760</v>
      </c>
    </row>
    <row r="1517" spans="1:9">
      <c r="A1517" t="s">
        <v>1500</v>
      </c>
      <c r="B1517" t="s">
        <v>1501</v>
      </c>
      <c r="C1517" t="s">
        <v>1502</v>
      </c>
      <c r="D1517" t="s">
        <v>1761</v>
      </c>
      <c r="E1517" t="s">
        <v>1762</v>
      </c>
      <c r="F1517" t="s">
        <v>1763</v>
      </c>
      <c r="G1517" t="s">
        <v>1759</v>
      </c>
      <c r="H1517">
        <v>3</v>
      </c>
      <c r="I1517" t="s">
        <v>1764</v>
      </c>
    </row>
    <row r="1518" spans="1:9">
      <c r="A1518" t="s">
        <v>1500</v>
      </c>
      <c r="B1518" t="s">
        <v>1501</v>
      </c>
      <c r="C1518" t="s">
        <v>1504</v>
      </c>
      <c r="D1518" t="s">
        <v>1765</v>
      </c>
      <c r="E1518" t="s">
        <v>1766</v>
      </c>
      <c r="F1518" t="s">
        <v>1767</v>
      </c>
      <c r="G1518" t="s">
        <v>1759</v>
      </c>
      <c r="H1518">
        <v>4</v>
      </c>
      <c r="I1518" t="s">
        <v>1768</v>
      </c>
    </row>
    <row r="1519" spans="1:9">
      <c r="A1519" t="s">
        <v>1500</v>
      </c>
      <c r="B1519" t="s">
        <v>1501</v>
      </c>
      <c r="C1519" t="s">
        <v>1505</v>
      </c>
      <c r="D1519" t="s">
        <v>1769</v>
      </c>
      <c r="E1519" t="s">
        <v>1770</v>
      </c>
      <c r="F1519" t="s">
        <v>1771</v>
      </c>
      <c r="G1519" t="s">
        <v>1759</v>
      </c>
      <c r="H1519">
        <v>5</v>
      </c>
      <c r="I1519" t="s">
        <v>1772</v>
      </c>
    </row>
    <row r="1520" spans="1:9">
      <c r="A1520" t="s">
        <v>1500</v>
      </c>
      <c r="B1520" t="s">
        <v>1501</v>
      </c>
      <c r="C1520" t="s">
        <v>1506</v>
      </c>
      <c r="D1520" t="s">
        <v>1773</v>
      </c>
      <c r="E1520" t="s">
        <v>1774</v>
      </c>
      <c r="F1520" t="s">
        <v>1775</v>
      </c>
      <c r="G1520" t="s">
        <v>1759</v>
      </c>
      <c r="H1520">
        <v>6</v>
      </c>
      <c r="I1520" t="s">
        <v>1776</v>
      </c>
    </row>
    <row r="1521" spans="1:9">
      <c r="A1521" t="s">
        <v>1500</v>
      </c>
      <c r="B1521" t="s">
        <v>1777</v>
      </c>
      <c r="C1521" t="s">
        <v>1778</v>
      </c>
      <c r="E1521" t="s">
        <v>249</v>
      </c>
      <c r="F1521" t="s">
        <v>1354</v>
      </c>
      <c r="G1521" t="s">
        <v>1779</v>
      </c>
      <c r="H1521">
        <v>2</v>
      </c>
    </row>
    <row r="1522" spans="1:9">
      <c r="A1522" t="s">
        <v>1500</v>
      </c>
      <c r="B1522" t="s">
        <v>1777</v>
      </c>
      <c r="C1522" t="s">
        <v>1778</v>
      </c>
      <c r="E1522" t="s">
        <v>249</v>
      </c>
      <c r="F1522" t="s">
        <v>1354</v>
      </c>
      <c r="G1522" t="s">
        <v>1779</v>
      </c>
      <c r="H1522">
        <v>3</v>
      </c>
    </row>
    <row r="1523" spans="1:9">
      <c r="A1523" t="s">
        <v>1500</v>
      </c>
      <c r="B1523" t="s">
        <v>1777</v>
      </c>
      <c r="C1523" t="s">
        <v>1780</v>
      </c>
      <c r="E1523" t="s">
        <v>249</v>
      </c>
      <c r="F1523" t="s">
        <v>1354</v>
      </c>
      <c r="G1523" t="s">
        <v>1779</v>
      </c>
      <c r="H1523">
        <v>4</v>
      </c>
    </row>
    <row r="1524" spans="1:9">
      <c r="A1524" t="s">
        <v>1500</v>
      </c>
      <c r="B1524" t="s">
        <v>1777</v>
      </c>
      <c r="C1524" t="s">
        <v>1780</v>
      </c>
      <c r="E1524" t="s">
        <v>249</v>
      </c>
      <c r="F1524" t="s">
        <v>1354</v>
      </c>
      <c r="G1524" t="s">
        <v>1779</v>
      </c>
      <c r="H1524">
        <v>5</v>
      </c>
    </row>
    <row r="1525" spans="1:9">
      <c r="A1525" t="s">
        <v>1500</v>
      </c>
      <c r="B1525" t="s">
        <v>1777</v>
      </c>
      <c r="C1525" t="s">
        <v>1780</v>
      </c>
      <c r="E1525" t="s">
        <v>249</v>
      </c>
      <c r="F1525" t="s">
        <v>1354</v>
      </c>
      <c r="G1525" t="s">
        <v>1779</v>
      </c>
      <c r="H1525">
        <v>6</v>
      </c>
    </row>
    <row r="1526" spans="1:9">
      <c r="A1526" t="s">
        <v>1500</v>
      </c>
      <c r="B1526" t="s">
        <v>1777</v>
      </c>
      <c r="C1526" t="s">
        <v>1781</v>
      </c>
      <c r="E1526" t="s">
        <v>263</v>
      </c>
      <c r="F1526" t="s">
        <v>1354</v>
      </c>
      <c r="G1526" t="s">
        <v>1779</v>
      </c>
      <c r="H1526">
        <v>7</v>
      </c>
    </row>
    <row r="1527" spans="1:9">
      <c r="A1527" t="s">
        <v>1500</v>
      </c>
      <c r="B1527" t="s">
        <v>1777</v>
      </c>
      <c r="C1527" t="s">
        <v>1781</v>
      </c>
      <c r="E1527" t="s">
        <v>263</v>
      </c>
      <c r="F1527" t="s">
        <v>1354</v>
      </c>
      <c r="G1527" t="s">
        <v>1779</v>
      </c>
      <c r="H1527">
        <v>8</v>
      </c>
    </row>
    <row r="1528" spans="1:9">
      <c r="A1528" t="s">
        <v>1500</v>
      </c>
      <c r="B1528" t="s">
        <v>1777</v>
      </c>
      <c r="C1528" t="s">
        <v>1781</v>
      </c>
      <c r="E1528" t="s">
        <v>263</v>
      </c>
      <c r="F1528" t="s">
        <v>1354</v>
      </c>
      <c r="G1528" t="s">
        <v>1779</v>
      </c>
      <c r="H1528">
        <v>9</v>
      </c>
    </row>
    <row r="1529" spans="1:9">
      <c r="A1529" t="s">
        <v>1500</v>
      </c>
      <c r="B1529" t="s">
        <v>1777</v>
      </c>
      <c r="C1529" t="s">
        <v>1781</v>
      </c>
      <c r="E1529" t="s">
        <v>263</v>
      </c>
      <c r="F1529" t="s">
        <v>1354</v>
      </c>
      <c r="G1529" t="s">
        <v>1779</v>
      </c>
      <c r="H1529">
        <v>10</v>
      </c>
    </row>
    <row r="1530" spans="1:9">
      <c r="A1530" t="s">
        <v>1500</v>
      </c>
      <c r="B1530" t="s">
        <v>1777</v>
      </c>
      <c r="C1530" t="s">
        <v>1782</v>
      </c>
      <c r="E1530" t="s">
        <v>263</v>
      </c>
      <c r="F1530" t="s">
        <v>1354</v>
      </c>
      <c r="G1530" t="s">
        <v>1779</v>
      </c>
      <c r="H1530">
        <v>11</v>
      </c>
    </row>
    <row r="1531" spans="1:9">
      <c r="A1531" t="s">
        <v>1500</v>
      </c>
      <c r="B1531" t="s">
        <v>1777</v>
      </c>
      <c r="C1531" t="s">
        <v>1783</v>
      </c>
      <c r="D1531" t="s">
        <v>1784</v>
      </c>
      <c r="E1531" t="s">
        <v>1785</v>
      </c>
      <c r="F1531" t="s">
        <v>1311</v>
      </c>
      <c r="G1531" t="s">
        <v>1786</v>
      </c>
      <c r="H1531">
        <v>2</v>
      </c>
      <c r="I1531" t="s">
        <v>1787</v>
      </c>
    </row>
    <row r="1532" spans="1:9">
      <c r="A1532" t="s">
        <v>1500</v>
      </c>
      <c r="B1532" t="s">
        <v>1777</v>
      </c>
      <c r="C1532" t="s">
        <v>1783</v>
      </c>
      <c r="D1532" t="s">
        <v>1788</v>
      </c>
      <c r="E1532" t="s">
        <v>1785</v>
      </c>
      <c r="F1532" t="s">
        <v>1297</v>
      </c>
      <c r="G1532" t="s">
        <v>1786</v>
      </c>
      <c r="H1532">
        <v>3</v>
      </c>
      <c r="I1532" t="s">
        <v>1789</v>
      </c>
    </row>
    <row r="1533" spans="1:9">
      <c r="A1533" t="s">
        <v>1500</v>
      </c>
      <c r="B1533" t="s">
        <v>1777</v>
      </c>
      <c r="C1533" t="s">
        <v>1783</v>
      </c>
      <c r="D1533" t="s">
        <v>1790</v>
      </c>
      <c r="E1533" t="s">
        <v>1785</v>
      </c>
      <c r="F1533" t="s">
        <v>1297</v>
      </c>
      <c r="G1533" t="s">
        <v>1786</v>
      </c>
      <c r="H1533">
        <v>4</v>
      </c>
      <c r="I1533" t="s">
        <v>1789</v>
      </c>
    </row>
    <row r="1534" spans="1:9">
      <c r="A1534" t="s">
        <v>1500</v>
      </c>
      <c r="B1534" t="s">
        <v>1777</v>
      </c>
      <c r="C1534" t="s">
        <v>1783</v>
      </c>
      <c r="D1534" t="s">
        <v>1791</v>
      </c>
      <c r="E1534" t="s">
        <v>1785</v>
      </c>
      <c r="F1534" t="s">
        <v>1297</v>
      </c>
      <c r="G1534" t="s">
        <v>1786</v>
      </c>
      <c r="H1534">
        <v>5</v>
      </c>
      <c r="I1534" t="s">
        <v>1789</v>
      </c>
    </row>
    <row r="1535" spans="1:9">
      <c r="A1535" t="s">
        <v>1500</v>
      </c>
      <c r="B1535" t="s">
        <v>1777</v>
      </c>
      <c r="C1535" t="s">
        <v>1778</v>
      </c>
      <c r="D1535" t="s">
        <v>1792</v>
      </c>
      <c r="E1535" t="s">
        <v>1793</v>
      </c>
      <c r="F1535" t="s">
        <v>1363</v>
      </c>
      <c r="G1535" t="s">
        <v>1786</v>
      </c>
      <c r="H1535">
        <v>6</v>
      </c>
      <c r="I1535" t="s">
        <v>1794</v>
      </c>
    </row>
    <row r="1536" spans="1:9">
      <c r="A1536" t="s">
        <v>1500</v>
      </c>
      <c r="B1536" t="s">
        <v>1777</v>
      </c>
      <c r="C1536" t="s">
        <v>1778</v>
      </c>
      <c r="D1536" t="s">
        <v>1795</v>
      </c>
      <c r="E1536" t="s">
        <v>1793</v>
      </c>
      <c r="F1536" t="s">
        <v>1297</v>
      </c>
      <c r="G1536" t="s">
        <v>1786</v>
      </c>
      <c r="H1536">
        <v>7</v>
      </c>
      <c r="I1536" t="s">
        <v>1796</v>
      </c>
    </row>
    <row r="1537" spans="1:9">
      <c r="A1537" t="s">
        <v>1500</v>
      </c>
      <c r="B1537" t="s">
        <v>1777</v>
      </c>
      <c r="C1537" t="s">
        <v>1778</v>
      </c>
      <c r="D1537" t="s">
        <v>1797</v>
      </c>
      <c r="E1537" t="s">
        <v>1793</v>
      </c>
      <c r="F1537" t="s">
        <v>1297</v>
      </c>
      <c r="G1537" t="s">
        <v>1786</v>
      </c>
      <c r="H1537">
        <v>8</v>
      </c>
      <c r="I1537" t="s">
        <v>1796</v>
      </c>
    </row>
    <row r="1538" spans="1:9">
      <c r="A1538" t="s">
        <v>1500</v>
      </c>
      <c r="B1538" t="s">
        <v>1777</v>
      </c>
      <c r="C1538" t="s">
        <v>1778</v>
      </c>
      <c r="D1538" t="s">
        <v>1798</v>
      </c>
      <c r="E1538" t="s">
        <v>1793</v>
      </c>
      <c r="F1538" t="s">
        <v>1297</v>
      </c>
      <c r="G1538" t="s">
        <v>1786</v>
      </c>
      <c r="H1538">
        <v>9</v>
      </c>
      <c r="I1538" t="s">
        <v>1796</v>
      </c>
    </row>
    <row r="1539" spans="1:9">
      <c r="A1539" t="s">
        <v>1500</v>
      </c>
      <c r="B1539" t="s">
        <v>1777</v>
      </c>
      <c r="C1539" t="s">
        <v>1778</v>
      </c>
      <c r="D1539" t="s">
        <v>1799</v>
      </c>
      <c r="E1539" t="s">
        <v>1793</v>
      </c>
      <c r="F1539" t="s">
        <v>1297</v>
      </c>
      <c r="G1539" t="s">
        <v>1786</v>
      </c>
      <c r="H1539">
        <v>10</v>
      </c>
      <c r="I1539" t="s">
        <v>1796</v>
      </c>
    </row>
    <row r="1540" spans="1:9">
      <c r="A1540" t="s">
        <v>1500</v>
      </c>
      <c r="B1540" t="s">
        <v>1777</v>
      </c>
      <c r="C1540" t="s">
        <v>1778</v>
      </c>
      <c r="D1540" t="s">
        <v>1800</v>
      </c>
      <c r="E1540" t="s">
        <v>1793</v>
      </c>
      <c r="F1540" t="s">
        <v>1297</v>
      </c>
      <c r="G1540" t="s">
        <v>1786</v>
      </c>
      <c r="H1540">
        <v>11</v>
      </c>
      <c r="I1540" t="s">
        <v>1796</v>
      </c>
    </row>
    <row r="1541" spans="1:9">
      <c r="A1541" t="s">
        <v>1500</v>
      </c>
      <c r="B1541" t="s">
        <v>1777</v>
      </c>
      <c r="C1541" t="s">
        <v>1778</v>
      </c>
      <c r="D1541" t="s">
        <v>1801</v>
      </c>
      <c r="E1541" t="s">
        <v>1802</v>
      </c>
      <c r="F1541" t="s">
        <v>1363</v>
      </c>
      <c r="G1541" t="s">
        <v>1786</v>
      </c>
      <c r="H1541">
        <v>12</v>
      </c>
      <c r="I1541" t="s">
        <v>1803</v>
      </c>
    </row>
    <row r="1542" spans="1:9">
      <c r="A1542" t="s">
        <v>1500</v>
      </c>
      <c r="B1542" t="s">
        <v>1777</v>
      </c>
      <c r="C1542" t="s">
        <v>1778</v>
      </c>
      <c r="D1542" t="s">
        <v>1804</v>
      </c>
      <c r="E1542" t="s">
        <v>1802</v>
      </c>
      <c r="F1542" t="s">
        <v>1297</v>
      </c>
      <c r="G1542" t="s">
        <v>1786</v>
      </c>
      <c r="H1542">
        <v>13</v>
      </c>
      <c r="I1542" t="s">
        <v>1805</v>
      </c>
    </row>
    <row r="1543" spans="1:9">
      <c r="A1543" t="s">
        <v>1500</v>
      </c>
      <c r="B1543" t="s">
        <v>1777</v>
      </c>
      <c r="C1543" t="s">
        <v>1778</v>
      </c>
      <c r="D1543" t="s">
        <v>1806</v>
      </c>
      <c r="E1543" t="s">
        <v>1802</v>
      </c>
      <c r="F1543" t="s">
        <v>1297</v>
      </c>
      <c r="G1543" t="s">
        <v>1786</v>
      </c>
      <c r="H1543">
        <v>14</v>
      </c>
      <c r="I1543" t="s">
        <v>1805</v>
      </c>
    </row>
    <row r="1544" spans="1:9">
      <c r="A1544" t="s">
        <v>1500</v>
      </c>
      <c r="B1544" t="s">
        <v>1777</v>
      </c>
      <c r="C1544" t="s">
        <v>1778</v>
      </c>
      <c r="D1544" t="s">
        <v>1807</v>
      </c>
      <c r="E1544" t="s">
        <v>1802</v>
      </c>
      <c r="F1544" t="s">
        <v>1297</v>
      </c>
      <c r="G1544" t="s">
        <v>1786</v>
      </c>
      <c r="H1544">
        <v>15</v>
      </c>
      <c r="I1544" t="s">
        <v>1805</v>
      </c>
    </row>
    <row r="1545" spans="1:9">
      <c r="A1545" t="s">
        <v>1500</v>
      </c>
      <c r="B1545" t="s">
        <v>1777</v>
      </c>
      <c r="C1545" t="s">
        <v>1778</v>
      </c>
      <c r="D1545" t="s">
        <v>1808</v>
      </c>
      <c r="E1545" t="s">
        <v>1802</v>
      </c>
      <c r="F1545" t="s">
        <v>1297</v>
      </c>
      <c r="G1545" t="s">
        <v>1786</v>
      </c>
      <c r="H1545">
        <v>16</v>
      </c>
      <c r="I1545" t="s">
        <v>1805</v>
      </c>
    </row>
    <row r="1546" spans="1:9">
      <c r="A1546" t="s">
        <v>1500</v>
      </c>
      <c r="B1546" t="s">
        <v>1777</v>
      </c>
      <c r="C1546" t="s">
        <v>1778</v>
      </c>
      <c r="D1546" t="s">
        <v>1809</v>
      </c>
      <c r="E1546" t="s">
        <v>1802</v>
      </c>
      <c r="F1546" t="s">
        <v>1297</v>
      </c>
      <c r="G1546" t="s">
        <v>1786</v>
      </c>
      <c r="H1546">
        <v>17</v>
      </c>
      <c r="I1546" t="s">
        <v>1805</v>
      </c>
    </row>
    <row r="1547" spans="1:9">
      <c r="A1547" t="s">
        <v>1500</v>
      </c>
      <c r="B1547" t="s">
        <v>1777</v>
      </c>
      <c r="C1547" t="s">
        <v>1810</v>
      </c>
      <c r="D1547" t="s">
        <v>1811</v>
      </c>
      <c r="E1547" t="s">
        <v>1812</v>
      </c>
      <c r="F1547" t="s">
        <v>1297</v>
      </c>
      <c r="G1547" t="s">
        <v>1786</v>
      </c>
      <c r="H1547">
        <v>18</v>
      </c>
      <c r="I1547" t="s">
        <v>1813</v>
      </c>
    </row>
    <row r="1548" spans="1:9">
      <c r="A1548" t="s">
        <v>1500</v>
      </c>
      <c r="B1548" t="s">
        <v>1777</v>
      </c>
      <c r="C1548" t="s">
        <v>1810</v>
      </c>
      <c r="D1548" t="s">
        <v>1814</v>
      </c>
      <c r="E1548" t="s">
        <v>1812</v>
      </c>
      <c r="F1548" t="s">
        <v>1297</v>
      </c>
      <c r="G1548" t="s">
        <v>1786</v>
      </c>
      <c r="H1548">
        <v>19</v>
      </c>
      <c r="I1548" t="s">
        <v>1813</v>
      </c>
    </row>
    <row r="1549" spans="1:9">
      <c r="A1549" t="s">
        <v>1500</v>
      </c>
      <c r="B1549" t="s">
        <v>1777</v>
      </c>
      <c r="C1549" t="s">
        <v>1810</v>
      </c>
      <c r="D1549" t="s">
        <v>1815</v>
      </c>
      <c r="E1549" t="s">
        <v>1812</v>
      </c>
      <c r="F1549" t="s">
        <v>1297</v>
      </c>
      <c r="G1549" t="s">
        <v>1786</v>
      </c>
      <c r="H1549">
        <v>20</v>
      </c>
      <c r="I1549" t="s">
        <v>1813</v>
      </c>
    </row>
    <row r="1550" spans="1:9">
      <c r="A1550" t="s">
        <v>1500</v>
      </c>
      <c r="B1550" t="s">
        <v>1777</v>
      </c>
      <c r="C1550" t="s">
        <v>1810</v>
      </c>
      <c r="D1550" t="s">
        <v>1816</v>
      </c>
      <c r="E1550" t="s">
        <v>1812</v>
      </c>
      <c r="F1550" t="s">
        <v>1297</v>
      </c>
      <c r="G1550" t="s">
        <v>1786</v>
      </c>
      <c r="H1550">
        <v>21</v>
      </c>
      <c r="I1550" t="s">
        <v>1813</v>
      </c>
    </row>
    <row r="1551" spans="1:9">
      <c r="A1551" t="s">
        <v>1500</v>
      </c>
      <c r="B1551" t="s">
        <v>1777</v>
      </c>
      <c r="C1551" t="s">
        <v>1810</v>
      </c>
      <c r="D1551" t="s">
        <v>1817</v>
      </c>
      <c r="E1551" t="s">
        <v>1812</v>
      </c>
      <c r="F1551" t="s">
        <v>1297</v>
      </c>
      <c r="G1551" t="s">
        <v>1786</v>
      </c>
      <c r="H1551">
        <v>22</v>
      </c>
      <c r="I1551" t="s">
        <v>1813</v>
      </c>
    </row>
    <row r="1552" spans="1:9">
      <c r="A1552" t="s">
        <v>1500</v>
      </c>
      <c r="B1552" t="s">
        <v>1777</v>
      </c>
      <c r="C1552" t="s">
        <v>1810</v>
      </c>
      <c r="D1552" t="s">
        <v>1818</v>
      </c>
      <c r="E1552" t="s">
        <v>1812</v>
      </c>
      <c r="F1552" t="s">
        <v>1297</v>
      </c>
      <c r="G1552" t="s">
        <v>1786</v>
      </c>
      <c r="H1552">
        <v>23</v>
      </c>
      <c r="I1552" t="s">
        <v>1819</v>
      </c>
    </row>
    <row r="1553" spans="1:9">
      <c r="A1553" t="s">
        <v>1500</v>
      </c>
      <c r="B1553" t="s">
        <v>1777</v>
      </c>
      <c r="C1553" t="s">
        <v>1780</v>
      </c>
      <c r="D1553" t="s">
        <v>1820</v>
      </c>
      <c r="E1553" t="s">
        <v>1821</v>
      </c>
      <c r="F1553" t="s">
        <v>1299</v>
      </c>
      <c r="G1553" t="s">
        <v>1786</v>
      </c>
      <c r="H1553">
        <v>24</v>
      </c>
      <c r="I1553" t="s">
        <v>1822</v>
      </c>
    </row>
    <row r="1554" spans="1:9">
      <c r="A1554" t="s">
        <v>1500</v>
      </c>
      <c r="B1554" t="s">
        <v>1777</v>
      </c>
      <c r="C1554" t="s">
        <v>1780</v>
      </c>
      <c r="D1554" t="s">
        <v>1823</v>
      </c>
      <c r="E1554" t="s">
        <v>1821</v>
      </c>
      <c r="F1554" t="s">
        <v>1299</v>
      </c>
      <c r="G1554" t="s">
        <v>1786</v>
      </c>
      <c r="H1554">
        <v>25</v>
      </c>
      <c r="I1554" t="s">
        <v>1822</v>
      </c>
    </row>
    <row r="1555" spans="1:9">
      <c r="A1555" t="s">
        <v>1500</v>
      </c>
      <c r="B1555" t="s">
        <v>1777</v>
      </c>
      <c r="C1555" t="s">
        <v>1780</v>
      </c>
      <c r="D1555" t="s">
        <v>1824</v>
      </c>
      <c r="E1555" t="s">
        <v>1821</v>
      </c>
      <c r="F1555" t="s">
        <v>1299</v>
      </c>
      <c r="G1555" t="s">
        <v>1786</v>
      </c>
      <c r="H1555">
        <v>26</v>
      </c>
      <c r="I1555" t="s">
        <v>1822</v>
      </c>
    </row>
    <row r="1556" spans="1:9">
      <c r="A1556" t="s">
        <v>1500</v>
      </c>
      <c r="B1556" t="s">
        <v>1777</v>
      </c>
      <c r="C1556" t="s">
        <v>1780</v>
      </c>
      <c r="D1556" t="s">
        <v>1825</v>
      </c>
      <c r="E1556" t="s">
        <v>1821</v>
      </c>
      <c r="F1556" t="s">
        <v>1299</v>
      </c>
      <c r="G1556" t="s">
        <v>1786</v>
      </c>
      <c r="H1556">
        <v>27</v>
      </c>
      <c r="I1556" t="s">
        <v>1822</v>
      </c>
    </row>
    <row r="1557" spans="1:9">
      <c r="A1557" t="s">
        <v>1500</v>
      </c>
      <c r="B1557" t="s">
        <v>1777</v>
      </c>
      <c r="C1557" t="s">
        <v>1780</v>
      </c>
      <c r="D1557" t="s">
        <v>1826</v>
      </c>
      <c r="E1557" t="s">
        <v>1821</v>
      </c>
      <c r="F1557" t="s">
        <v>1299</v>
      </c>
      <c r="G1557" t="s">
        <v>1786</v>
      </c>
      <c r="H1557">
        <v>28</v>
      </c>
      <c r="I1557" t="s">
        <v>1822</v>
      </c>
    </row>
    <row r="1558" spans="1:9">
      <c r="A1558" t="s">
        <v>1500</v>
      </c>
      <c r="B1558" t="s">
        <v>1777</v>
      </c>
      <c r="C1558" t="s">
        <v>1780</v>
      </c>
      <c r="D1558" t="s">
        <v>1827</v>
      </c>
      <c r="E1558" t="s">
        <v>1821</v>
      </c>
      <c r="F1558" t="s">
        <v>1299</v>
      </c>
      <c r="G1558" t="s">
        <v>1786</v>
      </c>
      <c r="H1558">
        <v>29</v>
      </c>
      <c r="I1558" t="s">
        <v>1822</v>
      </c>
    </row>
    <row r="1559" spans="1:9">
      <c r="A1559" t="s">
        <v>1500</v>
      </c>
      <c r="B1559" t="s">
        <v>1777</v>
      </c>
      <c r="C1559" t="s">
        <v>1780</v>
      </c>
      <c r="D1559" t="s">
        <v>1828</v>
      </c>
      <c r="E1559" t="s">
        <v>1821</v>
      </c>
      <c r="F1559" t="s">
        <v>1299</v>
      </c>
      <c r="G1559" t="s">
        <v>1786</v>
      </c>
      <c r="H1559">
        <v>30</v>
      </c>
      <c r="I1559" t="s">
        <v>1822</v>
      </c>
    </row>
    <row r="1560" spans="1:9">
      <c r="A1560" t="s">
        <v>1500</v>
      </c>
      <c r="B1560" t="s">
        <v>1777</v>
      </c>
      <c r="C1560" t="s">
        <v>1780</v>
      </c>
      <c r="D1560" t="s">
        <v>1829</v>
      </c>
      <c r="E1560" t="s">
        <v>1821</v>
      </c>
      <c r="F1560" t="s">
        <v>1299</v>
      </c>
      <c r="G1560" t="s">
        <v>1786</v>
      </c>
      <c r="H1560">
        <v>31</v>
      </c>
      <c r="I1560" t="s">
        <v>1822</v>
      </c>
    </row>
    <row r="1561" spans="1:9">
      <c r="A1561" t="s">
        <v>1500</v>
      </c>
      <c r="B1561" t="s">
        <v>1777</v>
      </c>
      <c r="C1561" t="s">
        <v>1783</v>
      </c>
      <c r="D1561" t="s">
        <v>1830</v>
      </c>
      <c r="E1561" t="s">
        <v>1831</v>
      </c>
      <c r="F1561" t="s">
        <v>1311</v>
      </c>
      <c r="G1561" t="s">
        <v>1832</v>
      </c>
      <c r="H1561">
        <v>2</v>
      </c>
      <c r="I1561" t="s">
        <v>1833</v>
      </c>
    </row>
    <row r="1562" spans="1:9">
      <c r="A1562" t="s">
        <v>1500</v>
      </c>
      <c r="B1562" t="s">
        <v>1777</v>
      </c>
      <c r="C1562" t="s">
        <v>1778</v>
      </c>
      <c r="D1562" t="s">
        <v>1834</v>
      </c>
      <c r="E1562" t="s">
        <v>1831</v>
      </c>
      <c r="F1562" t="s">
        <v>1311</v>
      </c>
      <c r="G1562" t="s">
        <v>1832</v>
      </c>
      <c r="H1562">
        <v>3</v>
      </c>
      <c r="I1562" t="s">
        <v>1833</v>
      </c>
    </row>
    <row r="1563" spans="1:9">
      <c r="A1563" t="s">
        <v>1500</v>
      </c>
      <c r="B1563" t="s">
        <v>1777</v>
      </c>
      <c r="C1563" t="s">
        <v>1783</v>
      </c>
      <c r="D1563" t="s">
        <v>1835</v>
      </c>
      <c r="E1563" t="s">
        <v>1831</v>
      </c>
      <c r="F1563" t="s">
        <v>1311</v>
      </c>
      <c r="G1563" t="s">
        <v>1832</v>
      </c>
      <c r="H1563">
        <v>4</v>
      </c>
      <c r="I1563" t="s">
        <v>1833</v>
      </c>
    </row>
    <row r="1564" spans="1:9">
      <c r="A1564" t="s">
        <v>1500</v>
      </c>
      <c r="B1564" t="s">
        <v>1777</v>
      </c>
      <c r="C1564" t="s">
        <v>1778</v>
      </c>
      <c r="D1564" t="s">
        <v>1836</v>
      </c>
      <c r="E1564" t="s">
        <v>1831</v>
      </c>
      <c r="F1564" t="s">
        <v>1311</v>
      </c>
      <c r="G1564" t="s">
        <v>1832</v>
      </c>
      <c r="H1564">
        <v>5</v>
      </c>
      <c r="I1564" t="s">
        <v>1833</v>
      </c>
    </row>
    <row r="1565" spans="1:9">
      <c r="A1565" t="s">
        <v>1500</v>
      </c>
      <c r="B1565" t="s">
        <v>1777</v>
      </c>
      <c r="C1565" t="s">
        <v>1783</v>
      </c>
      <c r="D1565" t="s">
        <v>1837</v>
      </c>
      <c r="E1565" t="s">
        <v>1831</v>
      </c>
      <c r="F1565" t="s">
        <v>1311</v>
      </c>
      <c r="G1565" t="s">
        <v>1832</v>
      </c>
      <c r="H1565">
        <v>6</v>
      </c>
      <c r="I1565" t="s">
        <v>1833</v>
      </c>
    </row>
    <row r="1566" spans="1:9">
      <c r="A1566" t="s">
        <v>1500</v>
      </c>
      <c r="B1566" t="s">
        <v>1777</v>
      </c>
      <c r="C1566" t="s">
        <v>1778</v>
      </c>
      <c r="D1566" t="s">
        <v>1838</v>
      </c>
      <c r="E1566" t="s">
        <v>1831</v>
      </c>
      <c r="F1566" t="s">
        <v>1311</v>
      </c>
      <c r="G1566" t="s">
        <v>1832</v>
      </c>
      <c r="H1566">
        <v>7</v>
      </c>
      <c r="I1566" t="s">
        <v>1833</v>
      </c>
    </row>
    <row r="1567" spans="1:9">
      <c r="A1567" t="s">
        <v>1500</v>
      </c>
      <c r="B1567" t="s">
        <v>1777</v>
      </c>
      <c r="C1567" t="s">
        <v>1783</v>
      </c>
      <c r="D1567" t="s">
        <v>1839</v>
      </c>
      <c r="E1567" t="s">
        <v>1831</v>
      </c>
      <c r="F1567" t="s">
        <v>1311</v>
      </c>
      <c r="G1567" t="s">
        <v>1832</v>
      </c>
      <c r="H1567">
        <v>8</v>
      </c>
      <c r="I1567" t="s">
        <v>1833</v>
      </c>
    </row>
    <row r="1568" spans="1:9">
      <c r="A1568" t="s">
        <v>1500</v>
      </c>
      <c r="B1568" t="s">
        <v>1777</v>
      </c>
      <c r="C1568" t="s">
        <v>1778</v>
      </c>
      <c r="D1568" t="s">
        <v>1840</v>
      </c>
      <c r="E1568" t="s">
        <v>1831</v>
      </c>
      <c r="F1568" t="s">
        <v>1311</v>
      </c>
      <c r="G1568" t="s">
        <v>1832</v>
      </c>
      <c r="H1568">
        <v>9</v>
      </c>
      <c r="I1568" t="s">
        <v>1833</v>
      </c>
    </row>
    <row r="1569" spans="1:9">
      <c r="A1569" t="s">
        <v>1500</v>
      </c>
      <c r="B1569" t="s">
        <v>1777</v>
      </c>
      <c r="C1569" t="s">
        <v>1783</v>
      </c>
      <c r="D1569" t="s">
        <v>1841</v>
      </c>
      <c r="E1569" t="s">
        <v>1831</v>
      </c>
      <c r="F1569" t="s">
        <v>1311</v>
      </c>
      <c r="G1569" t="s">
        <v>1832</v>
      </c>
      <c r="H1569">
        <v>10</v>
      </c>
      <c r="I1569" t="s">
        <v>1833</v>
      </c>
    </row>
    <row r="1570" spans="1:9">
      <c r="A1570" t="s">
        <v>1500</v>
      </c>
      <c r="B1570" t="s">
        <v>1777</v>
      </c>
      <c r="C1570" t="s">
        <v>1778</v>
      </c>
      <c r="D1570" t="s">
        <v>1842</v>
      </c>
      <c r="E1570" t="s">
        <v>1831</v>
      </c>
      <c r="F1570" t="s">
        <v>1311</v>
      </c>
      <c r="G1570" t="s">
        <v>1832</v>
      </c>
      <c r="H1570">
        <v>11</v>
      </c>
      <c r="I1570" t="s">
        <v>1833</v>
      </c>
    </row>
    <row r="1571" spans="1:9">
      <c r="A1571" t="s">
        <v>1500</v>
      </c>
      <c r="B1571" t="s">
        <v>1777</v>
      </c>
      <c r="C1571" t="s">
        <v>1783</v>
      </c>
      <c r="D1571" t="s">
        <v>1843</v>
      </c>
      <c r="E1571" t="s">
        <v>1831</v>
      </c>
      <c r="F1571" t="s">
        <v>1311</v>
      </c>
      <c r="G1571" t="s">
        <v>1832</v>
      </c>
      <c r="H1571">
        <v>12</v>
      </c>
      <c r="I1571" t="s">
        <v>1833</v>
      </c>
    </row>
    <row r="1572" spans="1:9">
      <c r="A1572" t="s">
        <v>1500</v>
      </c>
      <c r="B1572" t="s">
        <v>1777</v>
      </c>
      <c r="C1572" t="s">
        <v>1778</v>
      </c>
      <c r="D1572" t="s">
        <v>1844</v>
      </c>
      <c r="E1572" t="s">
        <v>1831</v>
      </c>
      <c r="F1572" t="s">
        <v>1311</v>
      </c>
      <c r="G1572" t="s">
        <v>1832</v>
      </c>
      <c r="H1572">
        <v>13</v>
      </c>
      <c r="I1572" t="s">
        <v>1833</v>
      </c>
    </row>
    <row r="1573" spans="1:9">
      <c r="A1573" t="s">
        <v>1500</v>
      </c>
      <c r="B1573" t="s">
        <v>1777</v>
      </c>
      <c r="C1573" t="s">
        <v>1783</v>
      </c>
      <c r="D1573" t="s">
        <v>1845</v>
      </c>
      <c r="E1573" t="s">
        <v>1831</v>
      </c>
      <c r="F1573" t="s">
        <v>1311</v>
      </c>
      <c r="G1573" t="s">
        <v>1832</v>
      </c>
      <c r="H1573">
        <v>14</v>
      </c>
      <c r="I1573" t="s">
        <v>1833</v>
      </c>
    </row>
    <row r="1574" spans="1:9">
      <c r="A1574" t="s">
        <v>1500</v>
      </c>
      <c r="B1574" t="s">
        <v>1777</v>
      </c>
      <c r="C1574" t="s">
        <v>1778</v>
      </c>
      <c r="D1574" t="s">
        <v>1846</v>
      </c>
      <c r="E1574" t="s">
        <v>1831</v>
      </c>
      <c r="F1574" t="s">
        <v>1311</v>
      </c>
      <c r="G1574" t="s">
        <v>1832</v>
      </c>
      <c r="H1574">
        <v>15</v>
      </c>
      <c r="I1574" t="s">
        <v>1833</v>
      </c>
    </row>
    <row r="1575" spans="1:9">
      <c r="A1575" t="s">
        <v>1500</v>
      </c>
      <c r="B1575" t="s">
        <v>1777</v>
      </c>
      <c r="C1575" t="s">
        <v>1810</v>
      </c>
      <c r="D1575" t="s">
        <v>1847</v>
      </c>
      <c r="E1575" t="s">
        <v>1848</v>
      </c>
      <c r="F1575" t="s">
        <v>1297</v>
      </c>
      <c r="G1575" t="s">
        <v>1832</v>
      </c>
      <c r="H1575">
        <v>16</v>
      </c>
      <c r="I1575" t="s">
        <v>1849</v>
      </c>
    </row>
    <row r="1576" spans="1:9">
      <c r="A1576" t="s">
        <v>1500</v>
      </c>
      <c r="B1576" t="s">
        <v>1777</v>
      </c>
      <c r="C1576" t="s">
        <v>1810</v>
      </c>
      <c r="D1576" t="s">
        <v>1850</v>
      </c>
      <c r="E1576" t="s">
        <v>1848</v>
      </c>
      <c r="F1576" t="s">
        <v>1297</v>
      </c>
      <c r="G1576" t="s">
        <v>1832</v>
      </c>
      <c r="H1576">
        <v>17</v>
      </c>
      <c r="I1576" t="s">
        <v>1849</v>
      </c>
    </row>
    <row r="1577" spans="1:9">
      <c r="A1577" t="s">
        <v>1500</v>
      </c>
      <c r="B1577" t="s">
        <v>1777</v>
      </c>
      <c r="C1577" t="s">
        <v>1810</v>
      </c>
      <c r="D1577" t="s">
        <v>1851</v>
      </c>
      <c r="E1577" t="s">
        <v>1848</v>
      </c>
      <c r="F1577" t="s">
        <v>1297</v>
      </c>
      <c r="G1577" t="s">
        <v>1832</v>
      </c>
      <c r="H1577">
        <v>18</v>
      </c>
      <c r="I1577" t="s">
        <v>1852</v>
      </c>
    </row>
    <row r="1578" spans="1:9">
      <c r="A1578" t="s">
        <v>1500</v>
      </c>
      <c r="B1578" t="s">
        <v>1777</v>
      </c>
      <c r="C1578" t="s">
        <v>1780</v>
      </c>
      <c r="D1578" t="s">
        <v>1853</v>
      </c>
      <c r="E1578" t="s">
        <v>1821</v>
      </c>
      <c r="F1578" t="s">
        <v>1299</v>
      </c>
      <c r="G1578" t="s">
        <v>1832</v>
      </c>
      <c r="H1578">
        <v>19</v>
      </c>
      <c r="I1578" t="s">
        <v>1854</v>
      </c>
    </row>
    <row r="1579" spans="1:9">
      <c r="A1579" t="s">
        <v>1500</v>
      </c>
      <c r="B1579" t="s">
        <v>1777</v>
      </c>
      <c r="C1579" t="s">
        <v>1780</v>
      </c>
      <c r="D1579" t="s">
        <v>1855</v>
      </c>
      <c r="E1579" t="s">
        <v>1821</v>
      </c>
      <c r="F1579" t="s">
        <v>1299</v>
      </c>
      <c r="G1579" t="s">
        <v>1832</v>
      </c>
      <c r="H1579">
        <v>20</v>
      </c>
      <c r="I1579" t="s">
        <v>1854</v>
      </c>
    </row>
    <row r="1580" spans="1:9">
      <c r="A1580" t="s">
        <v>1500</v>
      </c>
      <c r="B1580" t="s">
        <v>1777</v>
      </c>
      <c r="C1580" t="s">
        <v>1780</v>
      </c>
      <c r="D1580" t="s">
        <v>1856</v>
      </c>
      <c r="E1580" t="s">
        <v>1821</v>
      </c>
      <c r="F1580" t="s">
        <v>1299</v>
      </c>
      <c r="G1580" t="s">
        <v>1832</v>
      </c>
      <c r="H1580">
        <v>21</v>
      </c>
      <c r="I1580" t="s">
        <v>1854</v>
      </c>
    </row>
    <row r="1581" spans="1:9">
      <c r="A1581" t="s">
        <v>1500</v>
      </c>
      <c r="B1581" t="s">
        <v>1777</v>
      </c>
      <c r="C1581" t="s">
        <v>1780</v>
      </c>
      <c r="D1581" t="s">
        <v>1857</v>
      </c>
      <c r="E1581" t="s">
        <v>1821</v>
      </c>
      <c r="F1581" t="s">
        <v>1299</v>
      </c>
      <c r="G1581" t="s">
        <v>1832</v>
      </c>
      <c r="H1581">
        <v>22</v>
      </c>
      <c r="I1581" t="s">
        <v>1854</v>
      </c>
    </row>
    <row r="1582" spans="1:9">
      <c r="A1582" t="s">
        <v>1500</v>
      </c>
      <c r="B1582" t="s">
        <v>1777</v>
      </c>
      <c r="C1582" t="s">
        <v>1783</v>
      </c>
      <c r="D1582" t="s">
        <v>1858</v>
      </c>
      <c r="E1582" t="s">
        <v>1785</v>
      </c>
      <c r="F1582" t="s">
        <v>1859</v>
      </c>
      <c r="G1582" t="s">
        <v>1860</v>
      </c>
      <c r="H1582">
        <v>2</v>
      </c>
      <c r="I1582" t="s">
        <v>1861</v>
      </c>
    </row>
    <row r="1583" spans="1:9">
      <c r="A1583" t="s">
        <v>1500</v>
      </c>
      <c r="B1583" t="s">
        <v>1777</v>
      </c>
      <c r="C1583" t="s">
        <v>1778</v>
      </c>
      <c r="D1583" t="s">
        <v>1862</v>
      </c>
      <c r="E1583" t="s">
        <v>249</v>
      </c>
      <c r="F1583" t="s">
        <v>1863</v>
      </c>
      <c r="G1583" t="s">
        <v>1860</v>
      </c>
      <c r="H1583">
        <v>3</v>
      </c>
      <c r="I1583" t="s">
        <v>1864</v>
      </c>
    </row>
    <row r="1584" spans="1:9">
      <c r="A1584" t="s">
        <v>1500</v>
      </c>
      <c r="B1584" t="s">
        <v>1777</v>
      </c>
      <c r="C1584" t="s">
        <v>1810</v>
      </c>
      <c r="D1584" t="s">
        <v>1865</v>
      </c>
      <c r="E1584" t="s">
        <v>249</v>
      </c>
      <c r="F1584" t="s">
        <v>1866</v>
      </c>
      <c r="G1584" t="s">
        <v>1860</v>
      </c>
      <c r="H1584">
        <v>4</v>
      </c>
      <c r="I1584" t="s">
        <v>1867</v>
      </c>
    </row>
    <row r="1585" spans="1:9">
      <c r="A1585" t="s">
        <v>1500</v>
      </c>
      <c r="B1585" t="s">
        <v>1777</v>
      </c>
      <c r="C1585" t="s">
        <v>1868</v>
      </c>
      <c r="D1585" t="s">
        <v>1869</v>
      </c>
      <c r="E1585" t="s">
        <v>1785</v>
      </c>
      <c r="F1585" t="s">
        <v>1870</v>
      </c>
      <c r="G1585" t="s">
        <v>1860</v>
      </c>
      <c r="H1585">
        <v>5</v>
      </c>
      <c r="I1585" t="s">
        <v>1871</v>
      </c>
    </row>
    <row r="1586" spans="1:9">
      <c r="A1586" t="s">
        <v>1500</v>
      </c>
      <c r="B1586" t="s">
        <v>1777</v>
      </c>
      <c r="C1586" t="s">
        <v>1781</v>
      </c>
      <c r="D1586" t="s">
        <v>1872</v>
      </c>
      <c r="E1586" t="s">
        <v>1873</v>
      </c>
      <c r="F1586" t="s">
        <v>1874</v>
      </c>
      <c r="G1586" t="s">
        <v>1860</v>
      </c>
      <c r="H1586">
        <v>6</v>
      </c>
      <c r="I1586" t="s">
        <v>1875</v>
      </c>
    </row>
    <row r="1587" spans="1:9">
      <c r="A1587" t="s">
        <v>1500</v>
      </c>
      <c r="B1587" t="s">
        <v>1777</v>
      </c>
      <c r="C1587" t="s">
        <v>1876</v>
      </c>
      <c r="D1587" t="s">
        <v>1877</v>
      </c>
      <c r="E1587" t="s">
        <v>1873</v>
      </c>
      <c r="F1587" t="s">
        <v>1299</v>
      </c>
      <c r="G1587" t="s">
        <v>1860</v>
      </c>
      <c r="H1587">
        <v>7</v>
      </c>
      <c r="I1587" t="s">
        <v>1878</v>
      </c>
    </row>
    <row r="1588" spans="1:9">
      <c r="A1588" t="s">
        <v>1500</v>
      </c>
      <c r="B1588" t="s">
        <v>1777</v>
      </c>
      <c r="C1588" t="s">
        <v>1781</v>
      </c>
      <c r="D1588" t="s">
        <v>1879</v>
      </c>
      <c r="E1588" t="s">
        <v>1880</v>
      </c>
      <c r="F1588" t="s">
        <v>1311</v>
      </c>
      <c r="G1588" t="s">
        <v>1881</v>
      </c>
      <c r="H1588">
        <v>2</v>
      </c>
      <c r="I1588" t="s">
        <v>1882</v>
      </c>
    </row>
    <row r="1589" spans="1:9">
      <c r="A1589" t="s">
        <v>1500</v>
      </c>
      <c r="B1589" t="s">
        <v>1777</v>
      </c>
      <c r="C1589" t="s">
        <v>1781</v>
      </c>
      <c r="D1589" t="s">
        <v>1883</v>
      </c>
      <c r="E1589" t="s">
        <v>1880</v>
      </c>
      <c r="F1589" t="s">
        <v>1311</v>
      </c>
      <c r="G1589" t="s">
        <v>1881</v>
      </c>
      <c r="H1589">
        <v>3</v>
      </c>
      <c r="I1589" t="s">
        <v>1882</v>
      </c>
    </row>
    <row r="1590" spans="1:9">
      <c r="A1590" t="s">
        <v>1500</v>
      </c>
      <c r="B1590" t="s">
        <v>1777</v>
      </c>
      <c r="C1590" t="s">
        <v>1781</v>
      </c>
      <c r="D1590" t="s">
        <v>1884</v>
      </c>
      <c r="E1590" t="s">
        <v>1880</v>
      </c>
      <c r="F1590" t="s">
        <v>1311</v>
      </c>
      <c r="G1590" t="s">
        <v>1881</v>
      </c>
      <c r="H1590">
        <v>4</v>
      </c>
      <c r="I1590" t="s">
        <v>1882</v>
      </c>
    </row>
    <row r="1591" spans="1:9">
      <c r="A1591" t="s">
        <v>1500</v>
      </c>
      <c r="B1591" t="s">
        <v>1777</v>
      </c>
      <c r="C1591" t="s">
        <v>1781</v>
      </c>
      <c r="D1591" t="s">
        <v>1885</v>
      </c>
      <c r="E1591" t="s">
        <v>1880</v>
      </c>
      <c r="F1591" t="s">
        <v>1311</v>
      </c>
      <c r="G1591" t="s">
        <v>1881</v>
      </c>
      <c r="H1591">
        <v>5</v>
      </c>
      <c r="I1591" t="s">
        <v>1882</v>
      </c>
    </row>
    <row r="1592" spans="1:9">
      <c r="A1592" t="s">
        <v>1500</v>
      </c>
      <c r="B1592" t="s">
        <v>1777</v>
      </c>
      <c r="C1592" t="s">
        <v>1781</v>
      </c>
      <c r="D1592" t="s">
        <v>1886</v>
      </c>
      <c r="E1592" t="s">
        <v>1880</v>
      </c>
      <c r="F1592" t="s">
        <v>1311</v>
      </c>
      <c r="G1592" t="s">
        <v>1881</v>
      </c>
      <c r="H1592">
        <v>6</v>
      </c>
      <c r="I1592" t="s">
        <v>1882</v>
      </c>
    </row>
    <row r="1593" spans="1:9">
      <c r="A1593" t="s">
        <v>1500</v>
      </c>
      <c r="B1593" t="s">
        <v>1777</v>
      </c>
      <c r="C1593" t="s">
        <v>1781</v>
      </c>
      <c r="D1593" t="s">
        <v>1887</v>
      </c>
      <c r="E1593" t="s">
        <v>1880</v>
      </c>
      <c r="F1593" t="s">
        <v>1311</v>
      </c>
      <c r="G1593" t="s">
        <v>1881</v>
      </c>
      <c r="H1593">
        <v>7</v>
      </c>
      <c r="I1593" t="s">
        <v>1882</v>
      </c>
    </row>
    <row r="1594" spans="1:9">
      <c r="A1594" t="s">
        <v>1500</v>
      </c>
      <c r="B1594" t="s">
        <v>1777</v>
      </c>
      <c r="C1594" t="s">
        <v>1781</v>
      </c>
      <c r="D1594" t="s">
        <v>1888</v>
      </c>
      <c r="E1594" t="s">
        <v>1880</v>
      </c>
      <c r="F1594" t="s">
        <v>1311</v>
      </c>
      <c r="G1594" t="s">
        <v>1881</v>
      </c>
      <c r="H1594">
        <v>8</v>
      </c>
      <c r="I1594" t="s">
        <v>1882</v>
      </c>
    </row>
    <row r="1595" spans="1:9">
      <c r="A1595" t="s">
        <v>1500</v>
      </c>
      <c r="B1595" t="s">
        <v>1777</v>
      </c>
      <c r="C1595" t="s">
        <v>1781</v>
      </c>
      <c r="D1595" t="s">
        <v>1889</v>
      </c>
      <c r="E1595" t="s">
        <v>1880</v>
      </c>
      <c r="F1595" t="s">
        <v>1311</v>
      </c>
      <c r="G1595" t="s">
        <v>1881</v>
      </c>
      <c r="H1595">
        <v>9</v>
      </c>
      <c r="I1595" t="s">
        <v>1882</v>
      </c>
    </row>
    <row r="1596" spans="1:9">
      <c r="A1596" t="s">
        <v>1500</v>
      </c>
      <c r="B1596" t="s">
        <v>1777</v>
      </c>
      <c r="C1596" t="s">
        <v>1781</v>
      </c>
      <c r="D1596" t="s">
        <v>1890</v>
      </c>
      <c r="E1596" t="s">
        <v>1880</v>
      </c>
      <c r="F1596" t="s">
        <v>1311</v>
      </c>
      <c r="G1596" t="s">
        <v>1881</v>
      </c>
      <c r="H1596">
        <v>10</v>
      </c>
      <c r="I1596" t="s">
        <v>1882</v>
      </c>
    </row>
    <row r="1597" spans="1:9">
      <c r="A1597" t="s">
        <v>1500</v>
      </c>
      <c r="B1597" t="s">
        <v>1777</v>
      </c>
      <c r="C1597" t="s">
        <v>1781</v>
      </c>
      <c r="D1597" t="s">
        <v>1891</v>
      </c>
      <c r="E1597" t="s">
        <v>1880</v>
      </c>
      <c r="F1597" t="s">
        <v>1311</v>
      </c>
      <c r="G1597" t="s">
        <v>1881</v>
      </c>
      <c r="H1597">
        <v>11</v>
      </c>
      <c r="I1597" t="s">
        <v>1882</v>
      </c>
    </row>
    <row r="1598" spans="1:9">
      <c r="A1598" t="s">
        <v>1500</v>
      </c>
      <c r="B1598" t="s">
        <v>1777</v>
      </c>
      <c r="C1598" t="s">
        <v>1781</v>
      </c>
      <c r="D1598" t="s">
        <v>1892</v>
      </c>
      <c r="E1598" t="s">
        <v>1880</v>
      </c>
      <c r="F1598" t="s">
        <v>1311</v>
      </c>
      <c r="G1598" t="s">
        <v>1881</v>
      </c>
      <c r="H1598">
        <v>12</v>
      </c>
      <c r="I1598" t="s">
        <v>1882</v>
      </c>
    </row>
    <row r="1599" spans="1:9">
      <c r="A1599" t="s">
        <v>1500</v>
      </c>
      <c r="B1599" t="s">
        <v>1777</v>
      </c>
      <c r="C1599" t="s">
        <v>1781</v>
      </c>
      <c r="D1599" t="s">
        <v>1893</v>
      </c>
      <c r="E1599" t="s">
        <v>1880</v>
      </c>
      <c r="F1599" t="s">
        <v>1311</v>
      </c>
      <c r="G1599" t="s">
        <v>1881</v>
      </c>
      <c r="H1599">
        <v>13</v>
      </c>
      <c r="I1599" t="s">
        <v>1882</v>
      </c>
    </row>
    <row r="1600" spans="1:9">
      <c r="A1600" t="s">
        <v>1500</v>
      </c>
      <c r="B1600" t="s">
        <v>1777</v>
      </c>
      <c r="C1600" t="s">
        <v>1781</v>
      </c>
      <c r="D1600" t="s">
        <v>1894</v>
      </c>
      <c r="E1600" t="s">
        <v>1880</v>
      </c>
      <c r="F1600" t="s">
        <v>1311</v>
      </c>
      <c r="G1600" t="s">
        <v>1881</v>
      </c>
      <c r="H1600">
        <v>14</v>
      </c>
      <c r="I1600" t="s">
        <v>1882</v>
      </c>
    </row>
    <row r="1601" spans="1:9">
      <c r="A1601" t="s">
        <v>1500</v>
      </c>
      <c r="B1601" t="s">
        <v>1777</v>
      </c>
      <c r="C1601" t="s">
        <v>1781</v>
      </c>
      <c r="D1601" t="s">
        <v>1895</v>
      </c>
      <c r="E1601" t="s">
        <v>1880</v>
      </c>
      <c r="F1601" t="s">
        <v>1311</v>
      </c>
      <c r="G1601" t="s">
        <v>1881</v>
      </c>
      <c r="H1601">
        <v>15</v>
      </c>
      <c r="I1601" t="s">
        <v>1882</v>
      </c>
    </row>
    <row r="1602" spans="1:9">
      <c r="A1602" t="s">
        <v>1500</v>
      </c>
      <c r="B1602" t="s">
        <v>1777</v>
      </c>
      <c r="C1602" t="s">
        <v>1781</v>
      </c>
      <c r="D1602" t="s">
        <v>1896</v>
      </c>
      <c r="E1602" t="s">
        <v>1880</v>
      </c>
      <c r="F1602" t="s">
        <v>1311</v>
      </c>
      <c r="G1602" t="s">
        <v>1881</v>
      </c>
      <c r="H1602">
        <v>16</v>
      </c>
      <c r="I1602" t="s">
        <v>1882</v>
      </c>
    </row>
    <row r="1603" spans="1:9">
      <c r="A1603" t="s">
        <v>1500</v>
      </c>
      <c r="B1603" t="s">
        <v>1777</v>
      </c>
      <c r="C1603" t="s">
        <v>1781</v>
      </c>
      <c r="D1603" t="s">
        <v>1897</v>
      </c>
      <c r="E1603" t="s">
        <v>1880</v>
      </c>
      <c r="F1603" t="s">
        <v>1311</v>
      </c>
      <c r="G1603" t="s">
        <v>1881</v>
      </c>
      <c r="H1603">
        <v>17</v>
      </c>
      <c r="I1603" t="s">
        <v>1882</v>
      </c>
    </row>
    <row r="1604" spans="1:9">
      <c r="A1604" t="s">
        <v>1500</v>
      </c>
      <c r="B1604" t="s">
        <v>1777</v>
      </c>
      <c r="C1604" t="s">
        <v>1781</v>
      </c>
      <c r="D1604" t="s">
        <v>1898</v>
      </c>
      <c r="E1604" t="s">
        <v>1880</v>
      </c>
      <c r="F1604" t="s">
        <v>1311</v>
      </c>
      <c r="G1604" t="s">
        <v>1881</v>
      </c>
      <c r="H1604">
        <v>18</v>
      </c>
      <c r="I1604" t="s">
        <v>1882</v>
      </c>
    </row>
    <row r="1605" spans="1:9">
      <c r="A1605" t="s">
        <v>1500</v>
      </c>
      <c r="B1605" t="s">
        <v>1777</v>
      </c>
      <c r="C1605" t="s">
        <v>1781</v>
      </c>
      <c r="D1605" t="s">
        <v>1899</v>
      </c>
      <c r="E1605" t="s">
        <v>1880</v>
      </c>
      <c r="F1605" t="s">
        <v>1311</v>
      </c>
      <c r="G1605" t="s">
        <v>1881</v>
      </c>
      <c r="H1605">
        <v>19</v>
      </c>
      <c r="I1605" t="s">
        <v>1882</v>
      </c>
    </row>
    <row r="1606" spans="1:9">
      <c r="A1606" t="s">
        <v>1500</v>
      </c>
      <c r="B1606" t="s">
        <v>1777</v>
      </c>
      <c r="C1606" t="s">
        <v>1781</v>
      </c>
      <c r="D1606" t="s">
        <v>1900</v>
      </c>
      <c r="E1606" t="s">
        <v>1880</v>
      </c>
      <c r="F1606" t="s">
        <v>1311</v>
      </c>
      <c r="G1606" t="s">
        <v>1881</v>
      </c>
      <c r="H1606">
        <v>20</v>
      </c>
      <c r="I1606" t="s">
        <v>1882</v>
      </c>
    </row>
    <row r="1607" spans="1:9">
      <c r="A1607" t="s">
        <v>1500</v>
      </c>
      <c r="B1607" t="s">
        <v>1777</v>
      </c>
      <c r="C1607" t="s">
        <v>1781</v>
      </c>
      <c r="D1607" t="s">
        <v>1901</v>
      </c>
      <c r="E1607" t="s">
        <v>1880</v>
      </c>
      <c r="F1607" t="s">
        <v>1311</v>
      </c>
      <c r="G1607" t="s">
        <v>1881</v>
      </c>
      <c r="H1607">
        <v>21</v>
      </c>
      <c r="I1607" t="s">
        <v>1882</v>
      </c>
    </row>
    <row r="1608" spans="1:9">
      <c r="A1608" t="s">
        <v>1500</v>
      </c>
      <c r="B1608" t="s">
        <v>1777</v>
      </c>
      <c r="C1608" t="s">
        <v>1781</v>
      </c>
      <c r="D1608" t="s">
        <v>1902</v>
      </c>
      <c r="E1608" t="s">
        <v>1880</v>
      </c>
      <c r="F1608" t="s">
        <v>1311</v>
      </c>
      <c r="G1608" t="s">
        <v>1881</v>
      </c>
      <c r="H1608">
        <v>22</v>
      </c>
      <c r="I1608" t="s">
        <v>1882</v>
      </c>
    </row>
    <row r="1609" spans="1:9">
      <c r="A1609" t="s">
        <v>1500</v>
      </c>
      <c r="B1609" t="s">
        <v>1777</v>
      </c>
      <c r="C1609" t="s">
        <v>1781</v>
      </c>
      <c r="D1609" t="s">
        <v>1903</v>
      </c>
      <c r="E1609" t="s">
        <v>1880</v>
      </c>
      <c r="F1609" t="s">
        <v>1311</v>
      </c>
      <c r="G1609" t="s">
        <v>1881</v>
      </c>
      <c r="H1609">
        <v>23</v>
      </c>
      <c r="I1609" t="s">
        <v>1882</v>
      </c>
    </row>
    <row r="1610" spans="1:9">
      <c r="A1610" t="s">
        <v>1500</v>
      </c>
      <c r="B1610" t="s">
        <v>1777</v>
      </c>
      <c r="C1610" t="s">
        <v>1781</v>
      </c>
      <c r="D1610" t="s">
        <v>1904</v>
      </c>
      <c r="E1610" t="s">
        <v>1880</v>
      </c>
      <c r="F1610" t="s">
        <v>1311</v>
      </c>
      <c r="G1610" t="s">
        <v>1881</v>
      </c>
      <c r="H1610">
        <v>24</v>
      </c>
      <c r="I1610" t="s">
        <v>1882</v>
      </c>
    </row>
    <row r="1611" spans="1:9">
      <c r="A1611" t="s">
        <v>1500</v>
      </c>
      <c r="B1611" t="s">
        <v>1777</v>
      </c>
      <c r="C1611" t="s">
        <v>1781</v>
      </c>
      <c r="D1611" t="s">
        <v>1905</v>
      </c>
      <c r="E1611" t="s">
        <v>1880</v>
      </c>
      <c r="F1611" t="s">
        <v>1311</v>
      </c>
      <c r="G1611" t="s">
        <v>1881</v>
      </c>
      <c r="H1611">
        <v>25</v>
      </c>
      <c r="I1611" t="s">
        <v>1882</v>
      </c>
    </row>
    <row r="1612" spans="1:9">
      <c r="A1612" t="s">
        <v>1500</v>
      </c>
      <c r="B1612" t="s">
        <v>1777</v>
      </c>
      <c r="C1612" t="s">
        <v>1781</v>
      </c>
      <c r="D1612" t="s">
        <v>1906</v>
      </c>
      <c r="E1612" t="s">
        <v>1880</v>
      </c>
      <c r="F1612" t="s">
        <v>1311</v>
      </c>
      <c r="G1612" t="s">
        <v>1881</v>
      </c>
      <c r="H1612">
        <v>26</v>
      </c>
      <c r="I1612" t="s">
        <v>1882</v>
      </c>
    </row>
    <row r="1613" spans="1:9">
      <c r="A1613" t="s">
        <v>1500</v>
      </c>
      <c r="B1613" t="s">
        <v>1777</v>
      </c>
      <c r="C1613" t="s">
        <v>1781</v>
      </c>
      <c r="D1613" t="s">
        <v>1907</v>
      </c>
      <c r="E1613" t="s">
        <v>1880</v>
      </c>
      <c r="F1613" t="s">
        <v>1311</v>
      </c>
      <c r="G1613" t="s">
        <v>1881</v>
      </c>
      <c r="H1613">
        <v>27</v>
      </c>
      <c r="I1613" t="s">
        <v>1882</v>
      </c>
    </row>
    <row r="1614" spans="1:9">
      <c r="A1614" t="s">
        <v>1500</v>
      </c>
      <c r="B1614" t="s">
        <v>1777</v>
      </c>
      <c r="C1614" t="s">
        <v>1781</v>
      </c>
      <c r="D1614" t="s">
        <v>1908</v>
      </c>
      <c r="E1614" t="s">
        <v>1880</v>
      </c>
      <c r="F1614" t="s">
        <v>1311</v>
      </c>
      <c r="G1614" t="s">
        <v>1881</v>
      </c>
      <c r="H1614">
        <v>28</v>
      </c>
      <c r="I1614" t="s">
        <v>1882</v>
      </c>
    </row>
    <row r="1615" spans="1:9">
      <c r="A1615" t="s">
        <v>1500</v>
      </c>
      <c r="B1615" t="s">
        <v>1777</v>
      </c>
      <c r="C1615" t="s">
        <v>1781</v>
      </c>
      <c r="D1615" t="s">
        <v>1909</v>
      </c>
      <c r="E1615" t="s">
        <v>1880</v>
      </c>
      <c r="F1615" t="s">
        <v>1311</v>
      </c>
      <c r="G1615" t="s">
        <v>1881</v>
      </c>
      <c r="H1615">
        <v>29</v>
      </c>
      <c r="I1615" t="s">
        <v>1882</v>
      </c>
    </row>
    <row r="1616" spans="1:9">
      <c r="A1616" t="s">
        <v>1500</v>
      </c>
      <c r="B1616" t="s">
        <v>1777</v>
      </c>
      <c r="C1616" t="s">
        <v>1781</v>
      </c>
      <c r="D1616" t="s">
        <v>1910</v>
      </c>
      <c r="E1616" t="s">
        <v>1880</v>
      </c>
      <c r="F1616" t="s">
        <v>1311</v>
      </c>
      <c r="G1616" t="s">
        <v>1881</v>
      </c>
      <c r="H1616">
        <v>30</v>
      </c>
      <c r="I1616" t="s">
        <v>1882</v>
      </c>
    </row>
    <row r="1617" spans="1:9">
      <c r="A1617" t="s">
        <v>1500</v>
      </c>
      <c r="B1617" t="s">
        <v>1777</v>
      </c>
      <c r="C1617" t="s">
        <v>1781</v>
      </c>
      <c r="D1617" t="s">
        <v>1911</v>
      </c>
      <c r="E1617" t="s">
        <v>1880</v>
      </c>
      <c r="F1617" t="s">
        <v>1311</v>
      </c>
      <c r="G1617" t="s">
        <v>1881</v>
      </c>
      <c r="H1617">
        <v>31</v>
      </c>
      <c r="I1617" t="s">
        <v>1882</v>
      </c>
    </row>
    <row r="1618" spans="1:9">
      <c r="A1618" t="s">
        <v>1500</v>
      </c>
      <c r="B1618" t="s">
        <v>1777</v>
      </c>
      <c r="C1618" t="s">
        <v>1781</v>
      </c>
      <c r="D1618" t="s">
        <v>1912</v>
      </c>
      <c r="E1618" t="s">
        <v>1880</v>
      </c>
      <c r="F1618" t="s">
        <v>1311</v>
      </c>
      <c r="G1618" t="s">
        <v>1881</v>
      </c>
      <c r="H1618">
        <v>32</v>
      </c>
      <c r="I1618" t="s">
        <v>1882</v>
      </c>
    </row>
    <row r="1619" spans="1:9">
      <c r="A1619" t="s">
        <v>1500</v>
      </c>
      <c r="B1619" t="s">
        <v>1777</v>
      </c>
      <c r="C1619" t="s">
        <v>1781</v>
      </c>
      <c r="D1619" t="s">
        <v>1913</v>
      </c>
      <c r="E1619" t="s">
        <v>1880</v>
      </c>
      <c r="F1619" t="s">
        <v>1311</v>
      </c>
      <c r="G1619" t="s">
        <v>1881</v>
      </c>
      <c r="H1619">
        <v>33</v>
      </c>
      <c r="I1619" t="s">
        <v>1882</v>
      </c>
    </row>
    <row r="1620" spans="1:9">
      <c r="A1620" t="s">
        <v>1500</v>
      </c>
      <c r="B1620" t="s">
        <v>1777</v>
      </c>
      <c r="C1620" t="s">
        <v>1781</v>
      </c>
      <c r="D1620" t="s">
        <v>1914</v>
      </c>
      <c r="E1620" t="s">
        <v>1880</v>
      </c>
      <c r="F1620" t="s">
        <v>1311</v>
      </c>
      <c r="G1620" t="s">
        <v>1881</v>
      </c>
      <c r="H1620">
        <v>34</v>
      </c>
      <c r="I1620" t="s">
        <v>1882</v>
      </c>
    </row>
    <row r="1621" spans="1:9">
      <c r="A1621" t="s">
        <v>1500</v>
      </c>
      <c r="B1621" t="s">
        <v>1777</v>
      </c>
      <c r="C1621" t="s">
        <v>1781</v>
      </c>
      <c r="D1621" t="s">
        <v>1915</v>
      </c>
      <c r="E1621" t="s">
        <v>1880</v>
      </c>
      <c r="F1621" t="s">
        <v>1311</v>
      </c>
      <c r="G1621" t="s">
        <v>1881</v>
      </c>
      <c r="H1621">
        <v>35</v>
      </c>
      <c r="I1621" t="s">
        <v>1882</v>
      </c>
    </row>
    <row r="1622" spans="1:9">
      <c r="A1622" t="s">
        <v>1500</v>
      </c>
      <c r="B1622" t="s">
        <v>1777</v>
      </c>
      <c r="C1622" t="s">
        <v>1781</v>
      </c>
      <c r="D1622" t="s">
        <v>1916</v>
      </c>
      <c r="E1622" t="s">
        <v>1880</v>
      </c>
      <c r="F1622" t="s">
        <v>1311</v>
      </c>
      <c r="G1622" t="s">
        <v>1881</v>
      </c>
      <c r="H1622">
        <v>36</v>
      </c>
      <c r="I1622" t="s">
        <v>1882</v>
      </c>
    </row>
    <row r="1623" spans="1:9">
      <c r="A1623" t="s">
        <v>1500</v>
      </c>
      <c r="B1623" t="s">
        <v>1777</v>
      </c>
      <c r="C1623" t="s">
        <v>1781</v>
      </c>
      <c r="D1623" t="s">
        <v>1917</v>
      </c>
      <c r="E1623" t="s">
        <v>1880</v>
      </c>
      <c r="F1623" t="s">
        <v>1311</v>
      </c>
      <c r="G1623" t="s">
        <v>1881</v>
      </c>
      <c r="H1623">
        <v>37</v>
      </c>
      <c r="I1623" t="s">
        <v>1882</v>
      </c>
    </row>
    <row r="1624" spans="1:9">
      <c r="A1624" t="s">
        <v>1500</v>
      </c>
      <c r="B1624" t="s">
        <v>1777</v>
      </c>
      <c r="C1624" t="s">
        <v>1781</v>
      </c>
      <c r="D1624" t="s">
        <v>1918</v>
      </c>
      <c r="E1624" t="s">
        <v>1880</v>
      </c>
      <c r="F1624" t="s">
        <v>1311</v>
      </c>
      <c r="G1624" t="s">
        <v>1881</v>
      </c>
      <c r="H1624">
        <v>38</v>
      </c>
      <c r="I1624" t="s">
        <v>1882</v>
      </c>
    </row>
    <row r="1625" spans="1:9">
      <c r="A1625" t="s">
        <v>1500</v>
      </c>
      <c r="B1625" t="s">
        <v>1777</v>
      </c>
      <c r="C1625" t="s">
        <v>1781</v>
      </c>
      <c r="D1625" t="s">
        <v>1919</v>
      </c>
      <c r="E1625" t="s">
        <v>1880</v>
      </c>
      <c r="F1625" t="s">
        <v>1311</v>
      </c>
      <c r="G1625" t="s">
        <v>1881</v>
      </c>
      <c r="H1625">
        <v>39</v>
      </c>
      <c r="I1625" t="s">
        <v>1882</v>
      </c>
    </row>
    <row r="1626" spans="1:9">
      <c r="A1626" t="s">
        <v>1500</v>
      </c>
      <c r="B1626" t="s">
        <v>1777</v>
      </c>
      <c r="C1626" t="s">
        <v>1781</v>
      </c>
      <c r="D1626" t="s">
        <v>1920</v>
      </c>
      <c r="E1626" t="s">
        <v>1880</v>
      </c>
      <c r="F1626" t="s">
        <v>1311</v>
      </c>
      <c r="G1626" t="s">
        <v>1881</v>
      </c>
      <c r="H1626">
        <v>40</v>
      </c>
      <c r="I1626" t="s">
        <v>1882</v>
      </c>
    </row>
    <row r="1627" spans="1:9">
      <c r="A1627" t="s">
        <v>1500</v>
      </c>
      <c r="B1627" t="s">
        <v>1777</v>
      </c>
      <c r="C1627" t="s">
        <v>1781</v>
      </c>
      <c r="D1627" t="s">
        <v>1921</v>
      </c>
      <c r="E1627" t="s">
        <v>1880</v>
      </c>
      <c r="F1627" t="s">
        <v>1311</v>
      </c>
      <c r="G1627" t="s">
        <v>1881</v>
      </c>
      <c r="H1627">
        <v>41</v>
      </c>
      <c r="I1627" t="s">
        <v>1882</v>
      </c>
    </row>
    <row r="1628" spans="1:9">
      <c r="A1628" t="s">
        <v>1500</v>
      </c>
      <c r="B1628" t="s">
        <v>1777</v>
      </c>
      <c r="C1628" t="s">
        <v>1781</v>
      </c>
      <c r="D1628" t="s">
        <v>1922</v>
      </c>
      <c r="E1628" t="s">
        <v>1880</v>
      </c>
      <c r="F1628" t="s">
        <v>1311</v>
      </c>
      <c r="G1628" t="s">
        <v>1881</v>
      </c>
      <c r="H1628">
        <v>42</v>
      </c>
      <c r="I1628" t="s">
        <v>1882</v>
      </c>
    </row>
    <row r="1629" spans="1:9">
      <c r="A1629" t="s">
        <v>1500</v>
      </c>
      <c r="B1629" t="s">
        <v>1777</v>
      </c>
      <c r="C1629" t="s">
        <v>1781</v>
      </c>
      <c r="D1629" t="s">
        <v>1923</v>
      </c>
      <c r="E1629" t="s">
        <v>1880</v>
      </c>
      <c r="F1629" t="s">
        <v>1311</v>
      </c>
      <c r="G1629" t="s">
        <v>1881</v>
      </c>
      <c r="H1629">
        <v>43</v>
      </c>
      <c r="I1629" t="s">
        <v>1882</v>
      </c>
    </row>
    <row r="1630" spans="1:9">
      <c r="A1630" t="s">
        <v>1500</v>
      </c>
      <c r="B1630" t="s">
        <v>1777</v>
      </c>
      <c r="C1630" t="s">
        <v>1781</v>
      </c>
      <c r="D1630" t="s">
        <v>1924</v>
      </c>
      <c r="E1630" t="s">
        <v>1880</v>
      </c>
      <c r="F1630" t="s">
        <v>1311</v>
      </c>
      <c r="G1630" t="s">
        <v>1881</v>
      </c>
      <c r="H1630">
        <v>44</v>
      </c>
      <c r="I1630" t="s">
        <v>1882</v>
      </c>
    </row>
    <row r="1631" spans="1:9">
      <c r="A1631" t="s">
        <v>1500</v>
      </c>
      <c r="B1631" t="s">
        <v>1777</v>
      </c>
      <c r="C1631" t="s">
        <v>1781</v>
      </c>
      <c r="D1631" t="s">
        <v>1925</v>
      </c>
      <c r="E1631" t="s">
        <v>1880</v>
      </c>
      <c r="F1631" t="s">
        <v>1311</v>
      </c>
      <c r="G1631" t="s">
        <v>1881</v>
      </c>
      <c r="H1631">
        <v>45</v>
      </c>
      <c r="I1631" t="s">
        <v>1882</v>
      </c>
    </row>
    <row r="1632" spans="1:9">
      <c r="A1632" t="s">
        <v>1500</v>
      </c>
      <c r="B1632" t="s">
        <v>1777</v>
      </c>
      <c r="C1632" t="s">
        <v>1781</v>
      </c>
      <c r="D1632" t="s">
        <v>1926</v>
      </c>
      <c r="E1632" t="s">
        <v>1880</v>
      </c>
      <c r="F1632" t="s">
        <v>1311</v>
      </c>
      <c r="G1632" t="s">
        <v>1881</v>
      </c>
      <c r="H1632">
        <v>46</v>
      </c>
      <c r="I1632" t="s">
        <v>1882</v>
      </c>
    </row>
    <row r="1633" spans="1:9">
      <c r="A1633" t="s">
        <v>1500</v>
      </c>
      <c r="B1633" t="s">
        <v>1777</v>
      </c>
      <c r="C1633" t="s">
        <v>1781</v>
      </c>
      <c r="D1633" t="s">
        <v>1927</v>
      </c>
      <c r="E1633" t="s">
        <v>1880</v>
      </c>
      <c r="F1633" t="s">
        <v>1311</v>
      </c>
      <c r="G1633" t="s">
        <v>1881</v>
      </c>
      <c r="H1633">
        <v>47</v>
      </c>
      <c r="I1633" t="s">
        <v>1882</v>
      </c>
    </row>
    <row r="1634" spans="1:9">
      <c r="A1634" t="s">
        <v>1500</v>
      </c>
      <c r="B1634" t="s">
        <v>1777</v>
      </c>
      <c r="C1634" t="s">
        <v>1781</v>
      </c>
      <c r="D1634" t="s">
        <v>1928</v>
      </c>
      <c r="E1634" t="s">
        <v>1880</v>
      </c>
      <c r="F1634" t="s">
        <v>1311</v>
      </c>
      <c r="G1634" t="s">
        <v>1881</v>
      </c>
      <c r="H1634">
        <v>48</v>
      </c>
      <c r="I1634" t="s">
        <v>1882</v>
      </c>
    </row>
    <row r="1635" spans="1:9">
      <c r="A1635" t="s">
        <v>1500</v>
      </c>
      <c r="B1635" t="s">
        <v>1777</v>
      </c>
      <c r="C1635" t="s">
        <v>1781</v>
      </c>
      <c r="D1635" t="s">
        <v>1929</v>
      </c>
      <c r="E1635" t="s">
        <v>1880</v>
      </c>
      <c r="F1635" t="s">
        <v>1311</v>
      </c>
      <c r="G1635" t="s">
        <v>1881</v>
      </c>
      <c r="H1635">
        <v>49</v>
      </c>
      <c r="I1635" t="s">
        <v>1882</v>
      </c>
    </row>
    <row r="1636" spans="1:9">
      <c r="A1636" t="s">
        <v>1500</v>
      </c>
      <c r="B1636" t="s">
        <v>1777</v>
      </c>
      <c r="C1636" t="s">
        <v>1781</v>
      </c>
      <c r="D1636" t="s">
        <v>1930</v>
      </c>
      <c r="E1636" t="s">
        <v>1880</v>
      </c>
      <c r="F1636" t="s">
        <v>1311</v>
      </c>
      <c r="G1636" t="s">
        <v>1881</v>
      </c>
      <c r="H1636">
        <v>50</v>
      </c>
      <c r="I1636" t="s">
        <v>1882</v>
      </c>
    </row>
    <row r="1637" spans="1:9">
      <c r="A1637" t="s">
        <v>1500</v>
      </c>
      <c r="B1637" t="s">
        <v>1777</v>
      </c>
      <c r="C1637" t="s">
        <v>1781</v>
      </c>
      <c r="D1637" t="s">
        <v>1931</v>
      </c>
      <c r="E1637" t="s">
        <v>1880</v>
      </c>
      <c r="F1637" t="s">
        <v>1311</v>
      </c>
      <c r="G1637" t="s">
        <v>1881</v>
      </c>
      <c r="H1637">
        <v>51</v>
      </c>
      <c r="I1637" t="s">
        <v>1882</v>
      </c>
    </row>
    <row r="1638" spans="1:9">
      <c r="A1638" t="s">
        <v>1500</v>
      </c>
      <c r="B1638" t="s">
        <v>1777</v>
      </c>
      <c r="C1638" t="s">
        <v>1781</v>
      </c>
      <c r="D1638" t="s">
        <v>1932</v>
      </c>
      <c r="E1638" t="s">
        <v>1880</v>
      </c>
      <c r="F1638" t="s">
        <v>1311</v>
      </c>
      <c r="G1638" t="s">
        <v>1881</v>
      </c>
      <c r="H1638">
        <v>52</v>
      </c>
      <c r="I1638" t="s">
        <v>1882</v>
      </c>
    </row>
    <row r="1639" spans="1:9">
      <c r="A1639" t="s">
        <v>1500</v>
      </c>
      <c r="B1639" t="s">
        <v>1777</v>
      </c>
      <c r="C1639" t="s">
        <v>1781</v>
      </c>
      <c r="D1639" t="s">
        <v>1933</v>
      </c>
      <c r="E1639" t="s">
        <v>1880</v>
      </c>
      <c r="F1639" t="s">
        <v>1311</v>
      </c>
      <c r="G1639" t="s">
        <v>1881</v>
      </c>
      <c r="H1639">
        <v>53</v>
      </c>
      <c r="I1639" t="s">
        <v>1882</v>
      </c>
    </row>
    <row r="1640" spans="1:9">
      <c r="A1640" t="s">
        <v>1500</v>
      </c>
      <c r="B1640" t="s">
        <v>1777</v>
      </c>
      <c r="C1640" t="s">
        <v>1781</v>
      </c>
      <c r="D1640" t="s">
        <v>1934</v>
      </c>
      <c r="E1640" t="s">
        <v>1880</v>
      </c>
      <c r="F1640" t="s">
        <v>1311</v>
      </c>
      <c r="G1640" t="s">
        <v>1881</v>
      </c>
      <c r="H1640">
        <v>54</v>
      </c>
      <c r="I1640" t="s">
        <v>1882</v>
      </c>
    </row>
    <row r="1641" spans="1:9">
      <c r="A1641" t="s">
        <v>1500</v>
      </c>
      <c r="B1641" t="s">
        <v>1777</v>
      </c>
      <c r="C1641" t="s">
        <v>1781</v>
      </c>
      <c r="D1641" t="s">
        <v>1935</v>
      </c>
      <c r="E1641" t="s">
        <v>1880</v>
      </c>
      <c r="F1641" t="s">
        <v>1311</v>
      </c>
      <c r="G1641" t="s">
        <v>1881</v>
      </c>
      <c r="H1641">
        <v>55</v>
      </c>
      <c r="I1641" t="s">
        <v>1882</v>
      </c>
    </row>
    <row r="1642" spans="1:9">
      <c r="A1642" t="s">
        <v>1500</v>
      </c>
      <c r="B1642" t="s">
        <v>1777</v>
      </c>
      <c r="C1642" t="s">
        <v>1781</v>
      </c>
      <c r="D1642" t="s">
        <v>1936</v>
      </c>
      <c r="E1642" t="s">
        <v>1880</v>
      </c>
      <c r="F1642" t="s">
        <v>1311</v>
      </c>
      <c r="G1642" t="s">
        <v>1881</v>
      </c>
      <c r="H1642">
        <v>56</v>
      </c>
      <c r="I1642" t="s">
        <v>1882</v>
      </c>
    </row>
    <row r="1643" spans="1:9">
      <c r="A1643" t="s">
        <v>1500</v>
      </c>
      <c r="B1643" t="s">
        <v>1777</v>
      </c>
      <c r="C1643" t="s">
        <v>1781</v>
      </c>
      <c r="D1643" t="s">
        <v>1937</v>
      </c>
      <c r="E1643" t="s">
        <v>1880</v>
      </c>
      <c r="F1643" t="s">
        <v>1311</v>
      </c>
      <c r="G1643" t="s">
        <v>1881</v>
      </c>
      <c r="H1643">
        <v>57</v>
      </c>
      <c r="I1643" t="s">
        <v>1882</v>
      </c>
    </row>
    <row r="1644" spans="1:9">
      <c r="A1644" t="s">
        <v>1500</v>
      </c>
      <c r="B1644" t="s">
        <v>1777</v>
      </c>
      <c r="C1644" t="s">
        <v>1781</v>
      </c>
      <c r="D1644" t="s">
        <v>1938</v>
      </c>
      <c r="E1644" t="s">
        <v>1880</v>
      </c>
      <c r="F1644" t="s">
        <v>1311</v>
      </c>
      <c r="G1644" t="s">
        <v>1881</v>
      </c>
      <c r="H1644">
        <v>58</v>
      </c>
      <c r="I1644" t="s">
        <v>1882</v>
      </c>
    </row>
    <row r="1645" spans="1:9">
      <c r="A1645" t="s">
        <v>1500</v>
      </c>
      <c r="B1645" t="s">
        <v>1777</v>
      </c>
      <c r="C1645" t="s">
        <v>1781</v>
      </c>
      <c r="D1645" t="s">
        <v>1939</v>
      </c>
      <c r="E1645" t="s">
        <v>1880</v>
      </c>
      <c r="F1645" t="s">
        <v>1311</v>
      </c>
      <c r="G1645" t="s">
        <v>1881</v>
      </c>
      <c r="H1645">
        <v>59</v>
      </c>
      <c r="I1645" t="s">
        <v>1882</v>
      </c>
    </row>
    <row r="1646" spans="1:9">
      <c r="A1646" t="s">
        <v>1500</v>
      </c>
      <c r="B1646" t="s">
        <v>1777</v>
      </c>
      <c r="C1646" t="s">
        <v>1781</v>
      </c>
      <c r="D1646" t="s">
        <v>1940</v>
      </c>
      <c r="E1646" t="s">
        <v>1880</v>
      </c>
      <c r="F1646" t="s">
        <v>1311</v>
      </c>
      <c r="G1646" t="s">
        <v>1881</v>
      </c>
      <c r="H1646">
        <v>60</v>
      </c>
      <c r="I1646" t="s">
        <v>1882</v>
      </c>
    </row>
    <row r="1647" spans="1:9">
      <c r="A1647" t="s">
        <v>1500</v>
      </c>
      <c r="B1647" t="s">
        <v>1777</v>
      </c>
      <c r="C1647" t="s">
        <v>1781</v>
      </c>
      <c r="D1647" t="s">
        <v>1941</v>
      </c>
      <c r="E1647" t="s">
        <v>1880</v>
      </c>
      <c r="F1647" t="s">
        <v>1311</v>
      </c>
      <c r="G1647" t="s">
        <v>1881</v>
      </c>
      <c r="H1647">
        <v>61</v>
      </c>
      <c r="I1647" t="s">
        <v>1882</v>
      </c>
    </row>
    <row r="1648" spans="1:9">
      <c r="A1648" t="s">
        <v>1500</v>
      </c>
      <c r="B1648" t="s">
        <v>1777</v>
      </c>
      <c r="C1648" t="s">
        <v>1781</v>
      </c>
      <c r="D1648" t="s">
        <v>1942</v>
      </c>
      <c r="E1648" t="s">
        <v>1943</v>
      </c>
      <c r="F1648" t="s">
        <v>1299</v>
      </c>
      <c r="G1648" t="s">
        <v>1881</v>
      </c>
      <c r="H1648">
        <v>62</v>
      </c>
      <c r="I1648" t="s">
        <v>1944</v>
      </c>
    </row>
    <row r="1649" spans="1:9">
      <c r="A1649" t="s">
        <v>1500</v>
      </c>
      <c r="B1649" t="s">
        <v>1777</v>
      </c>
      <c r="C1649" t="s">
        <v>1781</v>
      </c>
      <c r="D1649" t="s">
        <v>1945</v>
      </c>
      <c r="E1649" t="s">
        <v>1943</v>
      </c>
      <c r="F1649" t="s">
        <v>1299</v>
      </c>
      <c r="G1649" t="s">
        <v>1881</v>
      </c>
      <c r="H1649">
        <v>63</v>
      </c>
      <c r="I1649" t="s">
        <v>1944</v>
      </c>
    </row>
    <row r="1650" spans="1:9">
      <c r="A1650" t="s">
        <v>1500</v>
      </c>
      <c r="B1650" t="s">
        <v>1777</v>
      </c>
      <c r="C1650" t="s">
        <v>1781</v>
      </c>
      <c r="D1650" t="s">
        <v>1946</v>
      </c>
      <c r="E1650" t="s">
        <v>1943</v>
      </c>
      <c r="F1650" t="s">
        <v>1299</v>
      </c>
      <c r="G1650" t="s">
        <v>1881</v>
      </c>
      <c r="H1650">
        <v>64</v>
      </c>
      <c r="I1650" t="s">
        <v>1944</v>
      </c>
    </row>
    <row r="1651" spans="1:9">
      <c r="A1651" t="s">
        <v>1500</v>
      </c>
      <c r="B1651" t="s">
        <v>1777</v>
      </c>
      <c r="C1651" t="s">
        <v>1781</v>
      </c>
      <c r="D1651" t="s">
        <v>1947</v>
      </c>
      <c r="E1651" t="s">
        <v>1943</v>
      </c>
      <c r="F1651" t="s">
        <v>1299</v>
      </c>
      <c r="G1651" t="s">
        <v>1881</v>
      </c>
      <c r="H1651">
        <v>65</v>
      </c>
      <c r="I1651" t="s">
        <v>1944</v>
      </c>
    </row>
    <row r="1652" spans="1:9">
      <c r="A1652" t="s">
        <v>1500</v>
      </c>
      <c r="B1652" t="s">
        <v>1777</v>
      </c>
      <c r="C1652" t="s">
        <v>1781</v>
      </c>
      <c r="D1652" t="s">
        <v>1948</v>
      </c>
      <c r="E1652" t="s">
        <v>1943</v>
      </c>
      <c r="F1652" t="s">
        <v>1299</v>
      </c>
      <c r="G1652" t="s">
        <v>1881</v>
      </c>
      <c r="H1652">
        <v>66</v>
      </c>
      <c r="I1652" t="s">
        <v>1944</v>
      </c>
    </row>
    <row r="1653" spans="1:9">
      <c r="A1653" t="s">
        <v>1500</v>
      </c>
      <c r="B1653" t="s">
        <v>1777</v>
      </c>
      <c r="C1653" t="s">
        <v>1781</v>
      </c>
      <c r="D1653" t="s">
        <v>1949</v>
      </c>
      <c r="E1653" t="s">
        <v>1950</v>
      </c>
      <c r="F1653" t="s">
        <v>1299</v>
      </c>
      <c r="G1653" t="s">
        <v>1951</v>
      </c>
      <c r="H1653">
        <v>2</v>
      </c>
      <c r="I1653" t="s">
        <v>1952</v>
      </c>
    </row>
    <row r="1654" spans="1:9">
      <c r="A1654" t="s">
        <v>1500</v>
      </c>
      <c r="B1654" t="s">
        <v>1777</v>
      </c>
      <c r="C1654" t="s">
        <v>1781</v>
      </c>
      <c r="D1654" t="s">
        <v>1953</v>
      </c>
      <c r="E1654" t="s">
        <v>1950</v>
      </c>
      <c r="F1654" t="s">
        <v>1299</v>
      </c>
      <c r="G1654" t="s">
        <v>1951</v>
      </c>
      <c r="H1654">
        <v>3</v>
      </c>
      <c r="I1654" t="s">
        <v>1952</v>
      </c>
    </row>
    <row r="1655" spans="1:9">
      <c r="A1655" t="s">
        <v>1500</v>
      </c>
      <c r="B1655" t="s">
        <v>1777</v>
      </c>
      <c r="C1655" t="s">
        <v>1781</v>
      </c>
      <c r="D1655" t="s">
        <v>1954</v>
      </c>
      <c r="E1655" t="s">
        <v>1950</v>
      </c>
      <c r="F1655" t="s">
        <v>1299</v>
      </c>
      <c r="G1655" t="s">
        <v>1951</v>
      </c>
      <c r="H1655">
        <v>4</v>
      </c>
      <c r="I1655" t="s">
        <v>1952</v>
      </c>
    </row>
    <row r="1656" spans="1:9">
      <c r="A1656" t="s">
        <v>1500</v>
      </c>
      <c r="B1656" t="s">
        <v>1777</v>
      </c>
      <c r="C1656" t="s">
        <v>1781</v>
      </c>
      <c r="D1656" t="s">
        <v>1955</v>
      </c>
      <c r="E1656" t="s">
        <v>1950</v>
      </c>
      <c r="F1656" t="s">
        <v>1299</v>
      </c>
      <c r="G1656" t="s">
        <v>1951</v>
      </c>
      <c r="H1656">
        <v>5</v>
      </c>
      <c r="I1656" t="s">
        <v>1952</v>
      </c>
    </row>
    <row r="1657" spans="1:9">
      <c r="A1657" t="s">
        <v>1500</v>
      </c>
      <c r="B1657" t="s">
        <v>1777</v>
      </c>
      <c r="C1657" t="s">
        <v>1781</v>
      </c>
      <c r="D1657" t="s">
        <v>1956</v>
      </c>
      <c r="E1657" t="s">
        <v>1950</v>
      </c>
      <c r="F1657" t="s">
        <v>1299</v>
      </c>
      <c r="G1657" t="s">
        <v>1951</v>
      </c>
      <c r="H1657">
        <v>6</v>
      </c>
      <c r="I1657" t="s">
        <v>1952</v>
      </c>
    </row>
    <row r="1658" spans="1:9">
      <c r="A1658" t="s">
        <v>1500</v>
      </c>
      <c r="B1658" t="s">
        <v>1777</v>
      </c>
      <c r="C1658" t="s">
        <v>1781</v>
      </c>
      <c r="D1658" t="s">
        <v>1957</v>
      </c>
      <c r="E1658" t="s">
        <v>1950</v>
      </c>
      <c r="F1658" t="s">
        <v>1297</v>
      </c>
      <c r="G1658" t="s">
        <v>1951</v>
      </c>
      <c r="H1658">
        <v>7</v>
      </c>
      <c r="I1658" t="s">
        <v>1958</v>
      </c>
    </row>
    <row r="1659" spans="1:9">
      <c r="A1659" t="s">
        <v>1500</v>
      </c>
      <c r="B1659" t="s">
        <v>1777</v>
      </c>
      <c r="C1659" t="s">
        <v>1781</v>
      </c>
      <c r="D1659" t="s">
        <v>1959</v>
      </c>
      <c r="E1659" t="s">
        <v>1950</v>
      </c>
      <c r="F1659" t="s">
        <v>1299</v>
      </c>
      <c r="G1659" t="s">
        <v>1951</v>
      </c>
      <c r="H1659">
        <v>8</v>
      </c>
      <c r="I1659" t="s">
        <v>1952</v>
      </c>
    </row>
    <row r="1660" spans="1:9">
      <c r="A1660" t="s">
        <v>1500</v>
      </c>
      <c r="B1660" t="s">
        <v>1777</v>
      </c>
      <c r="C1660" t="s">
        <v>1781</v>
      </c>
      <c r="D1660" t="s">
        <v>1960</v>
      </c>
      <c r="E1660" t="s">
        <v>1950</v>
      </c>
      <c r="F1660" t="s">
        <v>1299</v>
      </c>
      <c r="G1660" t="s">
        <v>1951</v>
      </c>
      <c r="H1660">
        <v>9</v>
      </c>
      <c r="I1660" t="s">
        <v>1952</v>
      </c>
    </row>
    <row r="1661" spans="1:9">
      <c r="A1661" t="s">
        <v>1500</v>
      </c>
      <c r="B1661" t="s">
        <v>1777</v>
      </c>
      <c r="C1661" t="s">
        <v>1781</v>
      </c>
      <c r="D1661" t="s">
        <v>1961</v>
      </c>
      <c r="E1661" t="s">
        <v>1950</v>
      </c>
      <c r="F1661" t="s">
        <v>1299</v>
      </c>
      <c r="G1661" t="s">
        <v>1951</v>
      </c>
      <c r="H1661">
        <v>10</v>
      </c>
      <c r="I1661" t="s">
        <v>1952</v>
      </c>
    </row>
    <row r="1662" spans="1:9">
      <c r="A1662" t="s">
        <v>1500</v>
      </c>
      <c r="B1662" t="s">
        <v>1777</v>
      </c>
      <c r="C1662" t="s">
        <v>1781</v>
      </c>
      <c r="D1662" t="s">
        <v>1962</v>
      </c>
      <c r="E1662" t="s">
        <v>1950</v>
      </c>
      <c r="F1662" t="s">
        <v>1299</v>
      </c>
      <c r="G1662" t="s">
        <v>1951</v>
      </c>
      <c r="H1662">
        <v>11</v>
      </c>
      <c r="I1662" t="s">
        <v>1952</v>
      </c>
    </row>
    <row r="1663" spans="1:9">
      <c r="A1663" t="s">
        <v>1500</v>
      </c>
      <c r="B1663" t="s">
        <v>1777</v>
      </c>
      <c r="C1663" t="s">
        <v>1781</v>
      </c>
      <c r="D1663" t="s">
        <v>1963</v>
      </c>
      <c r="E1663" t="s">
        <v>1950</v>
      </c>
      <c r="F1663" t="s">
        <v>1299</v>
      </c>
      <c r="G1663" t="s">
        <v>1951</v>
      </c>
      <c r="H1663">
        <v>12</v>
      </c>
      <c r="I1663" t="s">
        <v>1952</v>
      </c>
    </row>
    <row r="1664" spans="1:9">
      <c r="A1664" t="s">
        <v>1500</v>
      </c>
      <c r="B1664" t="s">
        <v>1777</v>
      </c>
      <c r="C1664" t="s">
        <v>1781</v>
      </c>
      <c r="D1664" t="s">
        <v>1964</v>
      </c>
      <c r="E1664" t="s">
        <v>1950</v>
      </c>
      <c r="F1664" t="s">
        <v>1299</v>
      </c>
      <c r="G1664" t="s">
        <v>1951</v>
      </c>
      <c r="H1664">
        <v>13</v>
      </c>
      <c r="I1664" t="s">
        <v>1952</v>
      </c>
    </row>
    <row r="1665" spans="1:9">
      <c r="A1665" t="s">
        <v>1500</v>
      </c>
      <c r="B1665" t="s">
        <v>1777</v>
      </c>
      <c r="C1665" t="s">
        <v>1781</v>
      </c>
      <c r="D1665" t="s">
        <v>1965</v>
      </c>
      <c r="E1665" t="s">
        <v>1950</v>
      </c>
      <c r="F1665" t="s">
        <v>1299</v>
      </c>
      <c r="G1665" t="s">
        <v>1951</v>
      </c>
      <c r="H1665">
        <v>14</v>
      </c>
      <c r="I1665" t="s">
        <v>1952</v>
      </c>
    </row>
    <row r="1666" spans="1:9">
      <c r="A1666" t="s">
        <v>1500</v>
      </c>
      <c r="B1666" t="s">
        <v>1777</v>
      </c>
      <c r="C1666" t="s">
        <v>1781</v>
      </c>
      <c r="D1666" t="s">
        <v>1966</v>
      </c>
      <c r="E1666" t="s">
        <v>1950</v>
      </c>
      <c r="F1666" t="s">
        <v>1299</v>
      </c>
      <c r="G1666" t="s">
        <v>1951</v>
      </c>
      <c r="H1666">
        <v>15</v>
      </c>
      <c r="I1666" t="s">
        <v>1952</v>
      </c>
    </row>
    <row r="1667" spans="1:9">
      <c r="A1667" t="s">
        <v>1500</v>
      </c>
      <c r="B1667" t="s">
        <v>1777</v>
      </c>
      <c r="C1667" t="s">
        <v>1781</v>
      </c>
      <c r="D1667" t="s">
        <v>1967</v>
      </c>
      <c r="E1667" t="s">
        <v>1950</v>
      </c>
      <c r="F1667" t="s">
        <v>1299</v>
      </c>
      <c r="G1667" t="s">
        <v>1951</v>
      </c>
      <c r="H1667">
        <v>16</v>
      </c>
      <c r="I1667" t="s">
        <v>1952</v>
      </c>
    </row>
    <row r="1668" spans="1:9">
      <c r="A1668" t="s">
        <v>1500</v>
      </c>
      <c r="B1668" t="s">
        <v>1777</v>
      </c>
      <c r="C1668" t="s">
        <v>1781</v>
      </c>
      <c r="D1668" t="s">
        <v>1968</v>
      </c>
      <c r="E1668" t="s">
        <v>1950</v>
      </c>
      <c r="F1668" t="s">
        <v>1297</v>
      </c>
      <c r="G1668" t="s">
        <v>1951</v>
      </c>
      <c r="H1668">
        <v>17</v>
      </c>
      <c r="I1668" t="s">
        <v>1958</v>
      </c>
    </row>
    <row r="1669" spans="1:9">
      <c r="A1669" t="s">
        <v>1500</v>
      </c>
      <c r="B1669" t="s">
        <v>1777</v>
      </c>
      <c r="C1669" t="s">
        <v>1781</v>
      </c>
      <c r="D1669" t="s">
        <v>1969</v>
      </c>
      <c r="E1669" t="s">
        <v>1950</v>
      </c>
      <c r="F1669" t="s">
        <v>1299</v>
      </c>
      <c r="G1669" t="s">
        <v>1951</v>
      </c>
      <c r="H1669">
        <v>18</v>
      </c>
      <c r="I1669" t="s">
        <v>1952</v>
      </c>
    </row>
    <row r="1670" spans="1:9">
      <c r="A1670" t="s">
        <v>1500</v>
      </c>
      <c r="B1670" t="s">
        <v>1777</v>
      </c>
      <c r="C1670" t="s">
        <v>1781</v>
      </c>
      <c r="D1670" t="s">
        <v>1970</v>
      </c>
      <c r="E1670" t="s">
        <v>1950</v>
      </c>
      <c r="F1670" t="s">
        <v>1299</v>
      </c>
      <c r="G1670" t="s">
        <v>1951</v>
      </c>
      <c r="H1670">
        <v>19</v>
      </c>
      <c r="I1670" t="s">
        <v>1952</v>
      </c>
    </row>
    <row r="1671" spans="1:9">
      <c r="A1671" t="s">
        <v>1500</v>
      </c>
      <c r="B1671" t="s">
        <v>1777</v>
      </c>
      <c r="C1671" t="s">
        <v>1781</v>
      </c>
      <c r="D1671" t="s">
        <v>1971</v>
      </c>
      <c r="E1671" t="s">
        <v>1950</v>
      </c>
      <c r="F1671" t="s">
        <v>1299</v>
      </c>
      <c r="G1671" t="s">
        <v>1951</v>
      </c>
      <c r="H1671">
        <v>20</v>
      </c>
      <c r="I1671" t="s">
        <v>1952</v>
      </c>
    </row>
    <row r="1672" spans="1:9">
      <c r="A1672" t="s">
        <v>1500</v>
      </c>
      <c r="B1672" t="s">
        <v>1777</v>
      </c>
      <c r="C1672" t="s">
        <v>1781</v>
      </c>
      <c r="D1672" t="s">
        <v>1972</v>
      </c>
      <c r="E1672" t="s">
        <v>1950</v>
      </c>
      <c r="F1672" t="s">
        <v>1299</v>
      </c>
      <c r="G1672" t="s">
        <v>1951</v>
      </c>
      <c r="H1672">
        <v>21</v>
      </c>
      <c r="I1672" t="s">
        <v>1952</v>
      </c>
    </row>
    <row r="1673" spans="1:9">
      <c r="A1673" t="s">
        <v>1500</v>
      </c>
      <c r="B1673" t="s">
        <v>1777</v>
      </c>
      <c r="C1673" t="s">
        <v>1781</v>
      </c>
      <c r="D1673" t="s">
        <v>1973</v>
      </c>
      <c r="E1673" t="s">
        <v>1950</v>
      </c>
      <c r="F1673" t="s">
        <v>1299</v>
      </c>
      <c r="G1673" t="s">
        <v>1951</v>
      </c>
      <c r="H1673">
        <v>22</v>
      </c>
      <c r="I1673" t="s">
        <v>1952</v>
      </c>
    </row>
    <row r="1674" spans="1:9">
      <c r="A1674" t="s">
        <v>1500</v>
      </c>
      <c r="B1674" t="s">
        <v>1777</v>
      </c>
      <c r="C1674" t="s">
        <v>1781</v>
      </c>
      <c r="D1674" t="s">
        <v>1974</v>
      </c>
      <c r="E1674" t="s">
        <v>1950</v>
      </c>
      <c r="F1674" t="s">
        <v>1299</v>
      </c>
      <c r="G1674" t="s">
        <v>1951</v>
      </c>
      <c r="H1674">
        <v>23</v>
      </c>
      <c r="I1674" t="s">
        <v>1952</v>
      </c>
    </row>
    <row r="1675" spans="1:9">
      <c r="A1675" t="s">
        <v>1500</v>
      </c>
      <c r="B1675" t="s">
        <v>1777</v>
      </c>
      <c r="C1675" t="s">
        <v>1781</v>
      </c>
      <c r="D1675" t="s">
        <v>1975</v>
      </c>
      <c r="E1675" t="s">
        <v>1950</v>
      </c>
      <c r="F1675" t="s">
        <v>1299</v>
      </c>
      <c r="G1675" t="s">
        <v>1951</v>
      </c>
      <c r="H1675">
        <v>24</v>
      </c>
      <c r="I1675" t="s">
        <v>1952</v>
      </c>
    </row>
    <row r="1676" spans="1:9">
      <c r="A1676" t="s">
        <v>1500</v>
      </c>
      <c r="B1676" t="s">
        <v>1777</v>
      </c>
      <c r="C1676" t="s">
        <v>1781</v>
      </c>
      <c r="D1676" t="s">
        <v>1976</v>
      </c>
      <c r="E1676" t="s">
        <v>1950</v>
      </c>
      <c r="F1676" t="s">
        <v>1299</v>
      </c>
      <c r="G1676" t="s">
        <v>1951</v>
      </c>
      <c r="H1676">
        <v>25</v>
      </c>
      <c r="I1676" t="s">
        <v>1952</v>
      </c>
    </row>
    <row r="1677" spans="1:9">
      <c r="A1677" t="s">
        <v>1500</v>
      </c>
      <c r="B1677" t="s">
        <v>1777</v>
      </c>
      <c r="C1677" t="s">
        <v>1781</v>
      </c>
      <c r="D1677" t="s">
        <v>1977</v>
      </c>
      <c r="E1677" t="s">
        <v>1950</v>
      </c>
      <c r="F1677" t="s">
        <v>1299</v>
      </c>
      <c r="G1677" t="s">
        <v>1951</v>
      </c>
      <c r="H1677">
        <v>26</v>
      </c>
      <c r="I1677" t="s">
        <v>1952</v>
      </c>
    </row>
    <row r="1678" spans="1:9">
      <c r="A1678" t="s">
        <v>1500</v>
      </c>
      <c r="B1678" t="s">
        <v>1777</v>
      </c>
      <c r="C1678" t="s">
        <v>1781</v>
      </c>
      <c r="D1678" t="s">
        <v>1978</v>
      </c>
      <c r="E1678" t="s">
        <v>1950</v>
      </c>
      <c r="F1678" t="s">
        <v>1297</v>
      </c>
      <c r="G1678" t="s">
        <v>1951</v>
      </c>
      <c r="H1678">
        <v>27</v>
      </c>
      <c r="I1678" t="s">
        <v>1958</v>
      </c>
    </row>
    <row r="1679" spans="1:9">
      <c r="A1679" t="s">
        <v>1500</v>
      </c>
      <c r="B1679" t="s">
        <v>1777</v>
      </c>
      <c r="C1679" t="s">
        <v>1781</v>
      </c>
      <c r="D1679" t="s">
        <v>1979</v>
      </c>
      <c r="E1679" t="s">
        <v>1950</v>
      </c>
      <c r="F1679" t="s">
        <v>1299</v>
      </c>
      <c r="G1679" t="s">
        <v>1951</v>
      </c>
      <c r="H1679">
        <v>28</v>
      </c>
      <c r="I1679" t="s">
        <v>1952</v>
      </c>
    </row>
    <row r="1680" spans="1:9">
      <c r="A1680" t="s">
        <v>1500</v>
      </c>
      <c r="B1680" t="s">
        <v>1777</v>
      </c>
      <c r="C1680" t="s">
        <v>1781</v>
      </c>
      <c r="D1680" t="s">
        <v>1980</v>
      </c>
      <c r="E1680" t="s">
        <v>1950</v>
      </c>
      <c r="F1680" t="s">
        <v>1299</v>
      </c>
      <c r="G1680" t="s">
        <v>1951</v>
      </c>
      <c r="H1680">
        <v>29</v>
      </c>
      <c r="I1680" t="s">
        <v>1952</v>
      </c>
    </row>
    <row r="1681" spans="1:9">
      <c r="A1681" t="s">
        <v>1500</v>
      </c>
      <c r="B1681" t="s">
        <v>1777</v>
      </c>
      <c r="C1681" t="s">
        <v>1781</v>
      </c>
      <c r="D1681" t="s">
        <v>1981</v>
      </c>
      <c r="E1681" t="s">
        <v>1950</v>
      </c>
      <c r="F1681" t="s">
        <v>1299</v>
      </c>
      <c r="G1681" t="s">
        <v>1951</v>
      </c>
      <c r="H1681">
        <v>30</v>
      </c>
      <c r="I1681" t="s">
        <v>1952</v>
      </c>
    </row>
    <row r="1682" spans="1:9">
      <c r="A1682" t="s">
        <v>1500</v>
      </c>
      <c r="B1682" t="s">
        <v>1777</v>
      </c>
      <c r="C1682" t="s">
        <v>1781</v>
      </c>
      <c r="D1682" t="s">
        <v>1982</v>
      </c>
      <c r="E1682" t="s">
        <v>1950</v>
      </c>
      <c r="F1682" t="s">
        <v>1299</v>
      </c>
      <c r="G1682" t="s">
        <v>1951</v>
      </c>
      <c r="H1682">
        <v>31</v>
      </c>
      <c r="I1682" t="s">
        <v>1952</v>
      </c>
    </row>
    <row r="1683" spans="1:9">
      <c r="A1683" t="s">
        <v>1500</v>
      </c>
      <c r="B1683" t="s">
        <v>1777</v>
      </c>
      <c r="C1683" t="s">
        <v>1781</v>
      </c>
      <c r="D1683" t="s">
        <v>1983</v>
      </c>
      <c r="E1683" t="s">
        <v>1950</v>
      </c>
      <c r="F1683" t="s">
        <v>1299</v>
      </c>
      <c r="G1683" t="s">
        <v>1951</v>
      </c>
      <c r="H1683">
        <v>32</v>
      </c>
      <c r="I1683" t="s">
        <v>1952</v>
      </c>
    </row>
    <row r="1684" spans="1:9">
      <c r="A1684" t="s">
        <v>1500</v>
      </c>
      <c r="B1684" t="s">
        <v>1777</v>
      </c>
      <c r="C1684" t="s">
        <v>1781</v>
      </c>
      <c r="D1684" t="s">
        <v>1984</v>
      </c>
      <c r="E1684" t="s">
        <v>1950</v>
      </c>
      <c r="F1684" t="s">
        <v>1299</v>
      </c>
      <c r="G1684" t="s">
        <v>1951</v>
      </c>
      <c r="H1684">
        <v>33</v>
      </c>
      <c r="I1684" t="s">
        <v>1952</v>
      </c>
    </row>
    <row r="1685" spans="1:9">
      <c r="A1685" t="s">
        <v>1500</v>
      </c>
      <c r="B1685" t="s">
        <v>1777</v>
      </c>
      <c r="C1685" t="s">
        <v>1781</v>
      </c>
      <c r="D1685" t="s">
        <v>1985</v>
      </c>
      <c r="E1685" t="s">
        <v>1950</v>
      </c>
      <c r="F1685" t="s">
        <v>1299</v>
      </c>
      <c r="G1685" t="s">
        <v>1951</v>
      </c>
      <c r="H1685">
        <v>34</v>
      </c>
      <c r="I1685" t="s">
        <v>1952</v>
      </c>
    </row>
    <row r="1686" spans="1:9">
      <c r="A1686" t="s">
        <v>1500</v>
      </c>
      <c r="B1686" t="s">
        <v>1777</v>
      </c>
      <c r="C1686" t="s">
        <v>1781</v>
      </c>
      <c r="D1686" t="s">
        <v>1986</v>
      </c>
      <c r="E1686" t="s">
        <v>1950</v>
      </c>
      <c r="F1686" t="s">
        <v>1299</v>
      </c>
      <c r="G1686" t="s">
        <v>1951</v>
      </c>
      <c r="H1686">
        <v>35</v>
      </c>
      <c r="I1686" t="s">
        <v>1952</v>
      </c>
    </row>
    <row r="1687" spans="1:9">
      <c r="A1687" t="s">
        <v>1500</v>
      </c>
      <c r="B1687" t="s">
        <v>1777</v>
      </c>
      <c r="C1687" t="s">
        <v>1781</v>
      </c>
      <c r="D1687" t="s">
        <v>1987</v>
      </c>
      <c r="E1687" t="s">
        <v>1950</v>
      </c>
      <c r="F1687" t="s">
        <v>1299</v>
      </c>
      <c r="G1687" t="s">
        <v>1951</v>
      </c>
      <c r="H1687">
        <v>36</v>
      </c>
      <c r="I1687" t="s">
        <v>1952</v>
      </c>
    </row>
    <row r="1688" spans="1:9">
      <c r="A1688" t="s">
        <v>1500</v>
      </c>
      <c r="B1688" t="s">
        <v>1777</v>
      </c>
      <c r="C1688" t="s">
        <v>1781</v>
      </c>
      <c r="D1688" t="s">
        <v>1988</v>
      </c>
      <c r="E1688" t="s">
        <v>1950</v>
      </c>
      <c r="F1688" t="s">
        <v>1297</v>
      </c>
      <c r="G1688" t="s">
        <v>1951</v>
      </c>
      <c r="H1688">
        <v>37</v>
      </c>
      <c r="I1688" t="s">
        <v>1958</v>
      </c>
    </row>
    <row r="1689" spans="1:9">
      <c r="A1689" t="s">
        <v>1500</v>
      </c>
      <c r="B1689" t="s">
        <v>1777</v>
      </c>
      <c r="C1689" t="s">
        <v>1781</v>
      </c>
      <c r="D1689" t="s">
        <v>1989</v>
      </c>
      <c r="E1689" t="s">
        <v>1950</v>
      </c>
      <c r="F1689" t="s">
        <v>1299</v>
      </c>
      <c r="G1689" t="s">
        <v>1951</v>
      </c>
      <c r="H1689">
        <v>38</v>
      </c>
      <c r="I1689" t="s">
        <v>1952</v>
      </c>
    </row>
    <row r="1690" spans="1:9">
      <c r="A1690" t="s">
        <v>1500</v>
      </c>
      <c r="B1690" t="s">
        <v>1777</v>
      </c>
      <c r="C1690" t="s">
        <v>1781</v>
      </c>
      <c r="D1690" t="s">
        <v>1990</v>
      </c>
      <c r="E1690" t="s">
        <v>1950</v>
      </c>
      <c r="F1690" t="s">
        <v>1299</v>
      </c>
      <c r="G1690" t="s">
        <v>1951</v>
      </c>
      <c r="H1690">
        <v>39</v>
      </c>
      <c r="I1690" t="s">
        <v>1952</v>
      </c>
    </row>
    <row r="1691" spans="1:9">
      <c r="A1691" t="s">
        <v>1500</v>
      </c>
      <c r="B1691" t="s">
        <v>1777</v>
      </c>
      <c r="C1691" t="s">
        <v>1781</v>
      </c>
      <c r="D1691" t="s">
        <v>1991</v>
      </c>
      <c r="E1691" t="s">
        <v>1950</v>
      </c>
      <c r="F1691" t="s">
        <v>1299</v>
      </c>
      <c r="G1691" t="s">
        <v>1951</v>
      </c>
      <c r="H1691">
        <v>40</v>
      </c>
      <c r="I1691" t="s">
        <v>1952</v>
      </c>
    </row>
    <row r="1692" spans="1:9">
      <c r="A1692" t="s">
        <v>1500</v>
      </c>
      <c r="B1692" t="s">
        <v>1777</v>
      </c>
      <c r="C1692" t="s">
        <v>1781</v>
      </c>
      <c r="D1692" t="s">
        <v>1992</v>
      </c>
      <c r="E1692" t="s">
        <v>1950</v>
      </c>
      <c r="F1692" t="s">
        <v>1299</v>
      </c>
      <c r="G1692" t="s">
        <v>1951</v>
      </c>
      <c r="H1692">
        <v>41</v>
      </c>
      <c r="I1692" t="s">
        <v>1952</v>
      </c>
    </row>
    <row r="1693" spans="1:9">
      <c r="A1693" t="s">
        <v>1500</v>
      </c>
      <c r="B1693" t="s">
        <v>1777</v>
      </c>
      <c r="C1693" t="s">
        <v>1781</v>
      </c>
      <c r="D1693" t="s">
        <v>1993</v>
      </c>
      <c r="E1693" t="s">
        <v>1950</v>
      </c>
      <c r="F1693" t="s">
        <v>1299</v>
      </c>
      <c r="G1693" t="s">
        <v>1951</v>
      </c>
      <c r="H1693">
        <v>42</v>
      </c>
      <c r="I1693" t="s">
        <v>1952</v>
      </c>
    </row>
    <row r="1694" spans="1:9">
      <c r="A1694" t="s">
        <v>1500</v>
      </c>
      <c r="B1694" t="s">
        <v>1777</v>
      </c>
      <c r="C1694" t="s">
        <v>1781</v>
      </c>
      <c r="D1694" t="s">
        <v>1994</v>
      </c>
      <c r="E1694" t="s">
        <v>1950</v>
      </c>
      <c r="F1694" t="s">
        <v>1299</v>
      </c>
      <c r="G1694" t="s">
        <v>1951</v>
      </c>
      <c r="H1694">
        <v>43</v>
      </c>
      <c r="I1694" t="s">
        <v>1952</v>
      </c>
    </row>
    <row r="1695" spans="1:9">
      <c r="A1695" t="s">
        <v>1500</v>
      </c>
      <c r="B1695" t="s">
        <v>1777</v>
      </c>
      <c r="C1695" t="s">
        <v>1781</v>
      </c>
      <c r="D1695" t="s">
        <v>1995</v>
      </c>
      <c r="E1695" t="s">
        <v>1950</v>
      </c>
      <c r="F1695" t="s">
        <v>1299</v>
      </c>
      <c r="G1695" t="s">
        <v>1951</v>
      </c>
      <c r="H1695">
        <v>44</v>
      </c>
      <c r="I1695" t="s">
        <v>1952</v>
      </c>
    </row>
    <row r="1696" spans="1:9">
      <c r="A1696" t="s">
        <v>1500</v>
      </c>
      <c r="B1696" t="s">
        <v>1777</v>
      </c>
      <c r="C1696" t="s">
        <v>1781</v>
      </c>
      <c r="D1696" t="s">
        <v>1996</v>
      </c>
      <c r="E1696" t="s">
        <v>1950</v>
      </c>
      <c r="F1696" t="s">
        <v>1299</v>
      </c>
      <c r="G1696" t="s">
        <v>1951</v>
      </c>
      <c r="H1696">
        <v>45</v>
      </c>
      <c r="I1696" t="s">
        <v>1952</v>
      </c>
    </row>
    <row r="1697" spans="1:9">
      <c r="A1697" t="s">
        <v>1500</v>
      </c>
      <c r="B1697" t="s">
        <v>1777</v>
      </c>
      <c r="C1697" t="s">
        <v>1781</v>
      </c>
      <c r="D1697" t="s">
        <v>1997</v>
      </c>
      <c r="E1697" t="s">
        <v>1950</v>
      </c>
      <c r="F1697" t="s">
        <v>1299</v>
      </c>
      <c r="G1697" t="s">
        <v>1951</v>
      </c>
      <c r="H1697">
        <v>46</v>
      </c>
      <c r="I1697" t="s">
        <v>1952</v>
      </c>
    </row>
    <row r="1698" spans="1:9">
      <c r="A1698" t="s">
        <v>1500</v>
      </c>
      <c r="B1698" t="s">
        <v>1777</v>
      </c>
      <c r="C1698" t="s">
        <v>1781</v>
      </c>
      <c r="D1698" t="s">
        <v>1998</v>
      </c>
      <c r="E1698" t="s">
        <v>1950</v>
      </c>
      <c r="F1698" t="s">
        <v>1297</v>
      </c>
      <c r="G1698" t="s">
        <v>1951</v>
      </c>
      <c r="H1698">
        <v>47</v>
      </c>
      <c r="I1698" t="s">
        <v>1958</v>
      </c>
    </row>
    <row r="1699" spans="1:9">
      <c r="A1699" t="s">
        <v>1500</v>
      </c>
      <c r="B1699" t="s">
        <v>1777</v>
      </c>
      <c r="C1699" t="s">
        <v>1781</v>
      </c>
      <c r="D1699" t="s">
        <v>1999</v>
      </c>
      <c r="E1699" t="s">
        <v>1950</v>
      </c>
      <c r="F1699" t="s">
        <v>1299</v>
      </c>
      <c r="G1699" t="s">
        <v>1951</v>
      </c>
      <c r="H1699">
        <v>48</v>
      </c>
      <c r="I1699" t="s">
        <v>1952</v>
      </c>
    </row>
    <row r="1700" spans="1:9">
      <c r="A1700" t="s">
        <v>1500</v>
      </c>
      <c r="B1700" t="s">
        <v>1777</v>
      </c>
      <c r="C1700" t="s">
        <v>1781</v>
      </c>
      <c r="D1700" t="s">
        <v>2000</v>
      </c>
      <c r="E1700" t="s">
        <v>1950</v>
      </c>
      <c r="F1700" t="s">
        <v>1299</v>
      </c>
      <c r="G1700" t="s">
        <v>1951</v>
      </c>
      <c r="H1700">
        <v>49</v>
      </c>
      <c r="I1700" t="s">
        <v>1952</v>
      </c>
    </row>
    <row r="1701" spans="1:9">
      <c r="A1701" t="s">
        <v>1500</v>
      </c>
      <c r="B1701" t="s">
        <v>1777</v>
      </c>
      <c r="C1701" t="s">
        <v>1781</v>
      </c>
      <c r="D1701" t="s">
        <v>2001</v>
      </c>
      <c r="E1701" t="s">
        <v>1950</v>
      </c>
      <c r="F1701" t="s">
        <v>1299</v>
      </c>
      <c r="G1701" t="s">
        <v>1951</v>
      </c>
      <c r="H1701">
        <v>50</v>
      </c>
      <c r="I1701" t="s">
        <v>1952</v>
      </c>
    </row>
    <row r="1702" spans="1:9">
      <c r="A1702" t="s">
        <v>1500</v>
      </c>
      <c r="B1702" t="s">
        <v>1777</v>
      </c>
      <c r="C1702" t="s">
        <v>1781</v>
      </c>
      <c r="D1702" t="s">
        <v>2002</v>
      </c>
      <c r="E1702" t="s">
        <v>1950</v>
      </c>
      <c r="F1702" t="s">
        <v>1299</v>
      </c>
      <c r="G1702" t="s">
        <v>1951</v>
      </c>
      <c r="H1702">
        <v>51</v>
      </c>
      <c r="I1702" t="s">
        <v>1952</v>
      </c>
    </row>
    <row r="1703" spans="1:9">
      <c r="A1703" t="s">
        <v>1500</v>
      </c>
      <c r="B1703" t="s">
        <v>1777</v>
      </c>
      <c r="C1703" t="s">
        <v>1781</v>
      </c>
      <c r="D1703" t="s">
        <v>2003</v>
      </c>
      <c r="E1703" t="s">
        <v>1950</v>
      </c>
      <c r="F1703" t="s">
        <v>1299</v>
      </c>
      <c r="G1703" t="s">
        <v>1951</v>
      </c>
      <c r="H1703">
        <v>52</v>
      </c>
      <c r="I1703" t="s">
        <v>1952</v>
      </c>
    </row>
    <row r="1704" spans="1:9">
      <c r="A1704" t="s">
        <v>1500</v>
      </c>
      <c r="B1704" t="s">
        <v>1777</v>
      </c>
      <c r="C1704" t="s">
        <v>1781</v>
      </c>
      <c r="D1704" t="s">
        <v>2004</v>
      </c>
      <c r="E1704" t="s">
        <v>1950</v>
      </c>
      <c r="F1704" t="s">
        <v>1299</v>
      </c>
      <c r="G1704" t="s">
        <v>1951</v>
      </c>
      <c r="H1704">
        <v>53</v>
      </c>
      <c r="I1704" t="s">
        <v>1952</v>
      </c>
    </row>
    <row r="1705" spans="1:9">
      <c r="A1705" t="s">
        <v>1500</v>
      </c>
      <c r="B1705" t="s">
        <v>1777</v>
      </c>
      <c r="C1705" t="s">
        <v>1781</v>
      </c>
      <c r="D1705" t="s">
        <v>2005</v>
      </c>
      <c r="E1705" t="s">
        <v>1950</v>
      </c>
      <c r="F1705" t="s">
        <v>1299</v>
      </c>
      <c r="G1705" t="s">
        <v>1951</v>
      </c>
      <c r="H1705">
        <v>54</v>
      </c>
      <c r="I1705" t="s">
        <v>1952</v>
      </c>
    </row>
    <row r="1706" spans="1:9">
      <c r="A1706" t="s">
        <v>1500</v>
      </c>
      <c r="B1706" t="s">
        <v>1777</v>
      </c>
      <c r="C1706" t="s">
        <v>1781</v>
      </c>
      <c r="D1706" t="s">
        <v>2006</v>
      </c>
      <c r="E1706" t="s">
        <v>1950</v>
      </c>
      <c r="F1706" t="s">
        <v>1299</v>
      </c>
      <c r="G1706" t="s">
        <v>1951</v>
      </c>
      <c r="H1706">
        <v>55</v>
      </c>
      <c r="I1706" t="s">
        <v>1952</v>
      </c>
    </row>
    <row r="1707" spans="1:9">
      <c r="A1707" t="s">
        <v>1500</v>
      </c>
      <c r="B1707" t="s">
        <v>1777</v>
      </c>
      <c r="C1707" t="s">
        <v>1781</v>
      </c>
      <c r="D1707" t="s">
        <v>2007</v>
      </c>
      <c r="E1707" t="s">
        <v>1950</v>
      </c>
      <c r="F1707" t="s">
        <v>1299</v>
      </c>
      <c r="G1707" t="s">
        <v>1951</v>
      </c>
      <c r="H1707">
        <v>56</v>
      </c>
      <c r="I1707" t="s">
        <v>1952</v>
      </c>
    </row>
    <row r="1708" spans="1:9">
      <c r="A1708" t="s">
        <v>1500</v>
      </c>
      <c r="B1708" t="s">
        <v>1777</v>
      </c>
      <c r="C1708" t="s">
        <v>1781</v>
      </c>
      <c r="D1708" t="s">
        <v>2008</v>
      </c>
      <c r="E1708" t="s">
        <v>1950</v>
      </c>
      <c r="F1708" t="s">
        <v>1299</v>
      </c>
      <c r="G1708" t="s">
        <v>1951</v>
      </c>
      <c r="H1708">
        <v>57</v>
      </c>
      <c r="I1708" t="s">
        <v>1952</v>
      </c>
    </row>
    <row r="1709" spans="1:9">
      <c r="A1709" t="s">
        <v>1500</v>
      </c>
      <c r="B1709" t="s">
        <v>1777</v>
      </c>
      <c r="C1709" t="s">
        <v>1781</v>
      </c>
      <c r="D1709" t="s">
        <v>2009</v>
      </c>
      <c r="E1709" t="s">
        <v>1950</v>
      </c>
      <c r="F1709" t="s">
        <v>1299</v>
      </c>
      <c r="G1709" t="s">
        <v>1951</v>
      </c>
      <c r="H1709">
        <v>58</v>
      </c>
      <c r="I1709" t="s">
        <v>1952</v>
      </c>
    </row>
    <row r="1710" spans="1:9">
      <c r="A1710" t="s">
        <v>1500</v>
      </c>
      <c r="B1710" t="s">
        <v>1777</v>
      </c>
      <c r="C1710" t="s">
        <v>1781</v>
      </c>
      <c r="D1710" t="s">
        <v>2010</v>
      </c>
      <c r="E1710" t="s">
        <v>1950</v>
      </c>
      <c r="F1710" t="s">
        <v>1299</v>
      </c>
      <c r="G1710" t="s">
        <v>1951</v>
      </c>
      <c r="H1710">
        <v>59</v>
      </c>
      <c r="I1710" t="s">
        <v>1952</v>
      </c>
    </row>
    <row r="1711" spans="1:9">
      <c r="A1711" t="s">
        <v>1500</v>
      </c>
      <c r="B1711" t="s">
        <v>1777</v>
      </c>
      <c r="C1711" t="s">
        <v>1781</v>
      </c>
      <c r="D1711" t="s">
        <v>2011</v>
      </c>
      <c r="E1711" t="s">
        <v>1950</v>
      </c>
      <c r="F1711" t="s">
        <v>1299</v>
      </c>
      <c r="G1711" t="s">
        <v>1951</v>
      </c>
      <c r="H1711">
        <v>60</v>
      </c>
      <c r="I1711" t="s">
        <v>1952</v>
      </c>
    </row>
    <row r="1712" spans="1:9">
      <c r="A1712" t="s">
        <v>1500</v>
      </c>
      <c r="B1712" t="s">
        <v>1777</v>
      </c>
      <c r="C1712" t="s">
        <v>1781</v>
      </c>
      <c r="D1712" t="s">
        <v>2012</v>
      </c>
      <c r="E1712" t="s">
        <v>1950</v>
      </c>
      <c r="F1712" t="s">
        <v>1299</v>
      </c>
      <c r="G1712" t="s">
        <v>1951</v>
      </c>
      <c r="H1712">
        <v>61</v>
      </c>
      <c r="I1712" t="s">
        <v>1952</v>
      </c>
    </row>
    <row r="1713" spans="1:9">
      <c r="A1713" t="s">
        <v>1500</v>
      </c>
      <c r="B1713" t="s">
        <v>1777</v>
      </c>
      <c r="C1713" t="s">
        <v>1868</v>
      </c>
      <c r="D1713" t="s">
        <v>2013</v>
      </c>
      <c r="E1713" t="s">
        <v>2014</v>
      </c>
      <c r="F1713" t="s">
        <v>1297</v>
      </c>
      <c r="G1713" t="s">
        <v>1951</v>
      </c>
      <c r="H1713">
        <v>62</v>
      </c>
      <c r="I1713" t="s">
        <v>2015</v>
      </c>
    </row>
    <row r="1714" spans="1:9">
      <c r="A1714" t="s">
        <v>1500</v>
      </c>
      <c r="B1714" t="s">
        <v>1777</v>
      </c>
      <c r="C1714" t="s">
        <v>1781</v>
      </c>
      <c r="D1714" t="s">
        <v>2016</v>
      </c>
      <c r="E1714" t="s">
        <v>2014</v>
      </c>
      <c r="F1714" t="s">
        <v>1297</v>
      </c>
      <c r="G1714" t="s">
        <v>1951</v>
      </c>
      <c r="H1714">
        <v>63</v>
      </c>
      <c r="I1714" t="s">
        <v>2017</v>
      </c>
    </row>
    <row r="1715" spans="1:9">
      <c r="A1715" t="s">
        <v>1500</v>
      </c>
      <c r="B1715" t="s">
        <v>1777</v>
      </c>
      <c r="C1715" t="s">
        <v>1781</v>
      </c>
      <c r="D1715" t="s">
        <v>2018</v>
      </c>
      <c r="E1715" t="s">
        <v>2014</v>
      </c>
      <c r="F1715" t="s">
        <v>1297</v>
      </c>
      <c r="G1715" t="s">
        <v>1951</v>
      </c>
      <c r="H1715">
        <v>64</v>
      </c>
      <c r="I1715" t="s">
        <v>2019</v>
      </c>
    </row>
    <row r="1716" spans="1:9">
      <c r="A1716" t="s">
        <v>1500</v>
      </c>
      <c r="B1716" t="s">
        <v>1777</v>
      </c>
      <c r="C1716" t="s">
        <v>1781</v>
      </c>
      <c r="D1716" t="s">
        <v>2020</v>
      </c>
      <c r="E1716" t="s">
        <v>2014</v>
      </c>
      <c r="F1716" t="s">
        <v>1297</v>
      </c>
      <c r="G1716" t="s">
        <v>1951</v>
      </c>
      <c r="H1716">
        <v>65</v>
      </c>
      <c r="I1716" t="s">
        <v>2021</v>
      </c>
    </row>
    <row r="1717" spans="1:9">
      <c r="A1717" t="s">
        <v>1500</v>
      </c>
      <c r="B1717" t="s">
        <v>1777</v>
      </c>
      <c r="C1717" t="s">
        <v>1781</v>
      </c>
      <c r="D1717" t="s">
        <v>2022</v>
      </c>
      <c r="E1717" t="s">
        <v>2014</v>
      </c>
      <c r="F1717" t="s">
        <v>1297</v>
      </c>
      <c r="G1717" t="s">
        <v>1951</v>
      </c>
      <c r="H1717">
        <v>66</v>
      </c>
      <c r="I1717" t="s">
        <v>2023</v>
      </c>
    </row>
    <row r="1718" spans="1:9">
      <c r="A1718" t="s">
        <v>1500</v>
      </c>
      <c r="B1718" t="s">
        <v>1777</v>
      </c>
      <c r="C1718" t="s">
        <v>1868</v>
      </c>
      <c r="D1718" t="s">
        <v>2024</v>
      </c>
      <c r="E1718" t="s">
        <v>2014</v>
      </c>
      <c r="F1718" t="s">
        <v>1297</v>
      </c>
      <c r="G1718" t="s">
        <v>1951</v>
      </c>
      <c r="H1718">
        <v>67</v>
      </c>
      <c r="I1718" t="s">
        <v>2025</v>
      </c>
    </row>
    <row r="1719" spans="1:9">
      <c r="A1719" t="s">
        <v>1500</v>
      </c>
      <c r="B1719" t="s">
        <v>1777</v>
      </c>
      <c r="C1719" t="s">
        <v>1781</v>
      </c>
      <c r="D1719" t="s">
        <v>2026</v>
      </c>
      <c r="E1719" t="s">
        <v>2027</v>
      </c>
      <c r="F1719" t="s">
        <v>1299</v>
      </c>
      <c r="G1719" t="s">
        <v>1951</v>
      </c>
      <c r="H1719">
        <v>68</v>
      </c>
      <c r="I1719" t="s">
        <v>2028</v>
      </c>
    </row>
    <row r="1720" spans="1:9">
      <c r="A1720" t="s">
        <v>1500</v>
      </c>
      <c r="B1720" t="s">
        <v>1777</v>
      </c>
      <c r="C1720" t="s">
        <v>1781</v>
      </c>
      <c r="D1720" t="s">
        <v>2029</v>
      </c>
      <c r="E1720" t="s">
        <v>2027</v>
      </c>
      <c r="F1720" t="s">
        <v>1299</v>
      </c>
      <c r="G1720" t="s">
        <v>1951</v>
      </c>
      <c r="H1720">
        <v>69</v>
      </c>
      <c r="I1720" t="s">
        <v>2028</v>
      </c>
    </row>
    <row r="1721" spans="1:9">
      <c r="A1721" t="s">
        <v>1500</v>
      </c>
      <c r="B1721" t="s">
        <v>1777</v>
      </c>
      <c r="C1721" t="s">
        <v>1781</v>
      </c>
      <c r="D1721" t="s">
        <v>2030</v>
      </c>
      <c r="E1721" t="s">
        <v>2027</v>
      </c>
      <c r="F1721" t="s">
        <v>1299</v>
      </c>
      <c r="G1721" t="s">
        <v>1951</v>
      </c>
      <c r="H1721">
        <v>70</v>
      </c>
      <c r="I1721" t="s">
        <v>2028</v>
      </c>
    </row>
    <row r="1722" spans="1:9">
      <c r="A1722" t="s">
        <v>1500</v>
      </c>
      <c r="B1722" t="s">
        <v>1777</v>
      </c>
      <c r="C1722" t="s">
        <v>1781</v>
      </c>
      <c r="D1722" t="s">
        <v>2031</v>
      </c>
      <c r="E1722" t="s">
        <v>2027</v>
      </c>
      <c r="F1722" t="s">
        <v>1299</v>
      </c>
      <c r="G1722" t="s">
        <v>1951</v>
      </c>
      <c r="H1722">
        <v>71</v>
      </c>
      <c r="I1722" t="s">
        <v>2028</v>
      </c>
    </row>
    <row r="1723" spans="1:9">
      <c r="A1723" t="s">
        <v>1500</v>
      </c>
      <c r="B1723" t="s">
        <v>1777</v>
      </c>
      <c r="C1723" t="s">
        <v>1781</v>
      </c>
      <c r="D1723" t="s">
        <v>2032</v>
      </c>
      <c r="E1723" t="s">
        <v>2027</v>
      </c>
      <c r="F1723" t="s">
        <v>1299</v>
      </c>
      <c r="G1723" t="s">
        <v>1951</v>
      </c>
      <c r="H1723">
        <v>72</v>
      </c>
      <c r="I1723" t="s">
        <v>2028</v>
      </c>
    </row>
    <row r="1724" spans="1:9">
      <c r="A1724" t="s">
        <v>1500</v>
      </c>
      <c r="B1724" t="s">
        <v>2033</v>
      </c>
      <c r="C1724" t="s">
        <v>2034</v>
      </c>
      <c r="F1724" t="s">
        <v>1354</v>
      </c>
      <c r="G1724" t="s">
        <v>2035</v>
      </c>
      <c r="H1724">
        <v>2</v>
      </c>
    </row>
    <row r="1725" spans="1:9">
      <c r="A1725" t="s">
        <v>1500</v>
      </c>
      <c r="B1725" t="s">
        <v>2033</v>
      </c>
      <c r="C1725" t="s">
        <v>2034</v>
      </c>
      <c r="F1725" t="s">
        <v>1354</v>
      </c>
      <c r="G1725" t="s">
        <v>2035</v>
      </c>
      <c r="H1725">
        <v>3</v>
      </c>
    </row>
    <row r="1726" spans="1:9">
      <c r="A1726" t="s">
        <v>1500</v>
      </c>
      <c r="B1726" t="s">
        <v>2033</v>
      </c>
      <c r="C1726" t="s">
        <v>2034</v>
      </c>
      <c r="F1726" t="s">
        <v>1354</v>
      </c>
      <c r="G1726" t="s">
        <v>2035</v>
      </c>
      <c r="H1726">
        <v>4</v>
      </c>
    </row>
    <row r="1727" spans="1:9">
      <c r="A1727" t="s">
        <v>1500</v>
      </c>
      <c r="B1727" t="s">
        <v>2033</v>
      </c>
      <c r="C1727" t="s">
        <v>2036</v>
      </c>
      <c r="F1727" t="s">
        <v>1354</v>
      </c>
      <c r="G1727" t="s">
        <v>2035</v>
      </c>
      <c r="H1727">
        <v>5</v>
      </c>
    </row>
    <row r="1728" spans="1:9">
      <c r="A1728" t="s">
        <v>1500</v>
      </c>
      <c r="B1728" t="s">
        <v>2033</v>
      </c>
      <c r="C1728" t="s">
        <v>2036</v>
      </c>
      <c r="F1728" t="s">
        <v>1354</v>
      </c>
      <c r="G1728" t="s">
        <v>2035</v>
      </c>
      <c r="H1728">
        <v>6</v>
      </c>
    </row>
    <row r="1729" spans="1:9">
      <c r="A1729" t="s">
        <v>1500</v>
      </c>
      <c r="B1729" t="s">
        <v>2033</v>
      </c>
      <c r="C1729" t="s">
        <v>2036</v>
      </c>
      <c r="F1729" t="s">
        <v>1354</v>
      </c>
      <c r="G1729" t="s">
        <v>2035</v>
      </c>
      <c r="H1729">
        <v>7</v>
      </c>
    </row>
    <row r="1730" spans="1:9">
      <c r="A1730" t="s">
        <v>1500</v>
      </c>
      <c r="B1730" t="s">
        <v>2033</v>
      </c>
      <c r="C1730" t="s">
        <v>2036</v>
      </c>
      <c r="F1730" t="s">
        <v>1354</v>
      </c>
      <c r="G1730" t="s">
        <v>2035</v>
      </c>
      <c r="H1730">
        <v>8</v>
      </c>
    </row>
    <row r="1731" spans="1:9">
      <c r="A1731" t="s">
        <v>1500</v>
      </c>
      <c r="B1731" t="s">
        <v>2033</v>
      </c>
      <c r="C1731" t="s">
        <v>2037</v>
      </c>
      <c r="F1731" t="s">
        <v>1354</v>
      </c>
      <c r="G1731" t="s">
        <v>2035</v>
      </c>
      <c r="H1731">
        <v>9</v>
      </c>
    </row>
    <row r="1732" spans="1:9">
      <c r="A1732" t="s">
        <v>1500</v>
      </c>
      <c r="B1732" t="s">
        <v>2033</v>
      </c>
      <c r="C1732" t="s">
        <v>2038</v>
      </c>
      <c r="F1732" t="s">
        <v>1354</v>
      </c>
      <c r="G1732" t="s">
        <v>2035</v>
      </c>
      <c r="H1732">
        <v>10</v>
      </c>
    </row>
    <row r="1733" spans="1:9">
      <c r="A1733" t="s">
        <v>1500</v>
      </c>
      <c r="B1733" t="s">
        <v>2033</v>
      </c>
      <c r="C1733" t="s">
        <v>2037</v>
      </c>
      <c r="D1733" t="s">
        <v>2039</v>
      </c>
      <c r="E1733" t="s">
        <v>2040</v>
      </c>
      <c r="F1733" t="s">
        <v>1299</v>
      </c>
      <c r="G1733" t="s">
        <v>2041</v>
      </c>
      <c r="H1733">
        <v>2</v>
      </c>
      <c r="I1733" t="s">
        <v>2042</v>
      </c>
    </row>
    <row r="1734" spans="1:9">
      <c r="A1734" t="s">
        <v>1500</v>
      </c>
      <c r="B1734" t="s">
        <v>2033</v>
      </c>
      <c r="C1734" t="s">
        <v>2037</v>
      </c>
      <c r="D1734" t="s">
        <v>2043</v>
      </c>
      <c r="E1734" t="s">
        <v>2040</v>
      </c>
      <c r="F1734" t="s">
        <v>1299</v>
      </c>
      <c r="G1734" t="s">
        <v>2041</v>
      </c>
      <c r="H1734">
        <v>3</v>
      </c>
      <c r="I1734" t="s">
        <v>2042</v>
      </c>
    </row>
    <row r="1735" spans="1:9">
      <c r="A1735" t="s">
        <v>1500</v>
      </c>
      <c r="B1735" t="s">
        <v>2033</v>
      </c>
      <c r="C1735" t="s">
        <v>2037</v>
      </c>
      <c r="D1735" t="s">
        <v>2044</v>
      </c>
      <c r="E1735" t="s">
        <v>2040</v>
      </c>
      <c r="F1735" t="s">
        <v>1299</v>
      </c>
      <c r="G1735" t="s">
        <v>2041</v>
      </c>
      <c r="H1735">
        <v>4</v>
      </c>
      <c r="I1735" t="s">
        <v>2042</v>
      </c>
    </row>
    <row r="1736" spans="1:9">
      <c r="A1736" t="s">
        <v>1500</v>
      </c>
      <c r="B1736" t="s">
        <v>2033</v>
      </c>
      <c r="C1736" t="s">
        <v>2037</v>
      </c>
      <c r="D1736" t="s">
        <v>2045</v>
      </c>
      <c r="E1736" t="s">
        <v>2040</v>
      </c>
      <c r="F1736" t="s">
        <v>1299</v>
      </c>
      <c r="G1736" t="s">
        <v>2041</v>
      </c>
      <c r="H1736">
        <v>5</v>
      </c>
      <c r="I1736" t="s">
        <v>2042</v>
      </c>
    </row>
    <row r="1737" spans="1:9">
      <c r="A1737" t="s">
        <v>1500</v>
      </c>
      <c r="B1737" t="s">
        <v>2033</v>
      </c>
      <c r="C1737" t="s">
        <v>2036</v>
      </c>
      <c r="D1737" t="s">
        <v>2046</v>
      </c>
      <c r="E1737" t="s">
        <v>2047</v>
      </c>
      <c r="F1737" t="s">
        <v>1299</v>
      </c>
      <c r="G1737" t="s">
        <v>2048</v>
      </c>
      <c r="H1737">
        <v>2</v>
      </c>
      <c r="I1737" t="s">
        <v>2049</v>
      </c>
    </row>
    <row r="1738" spans="1:9">
      <c r="A1738" t="s">
        <v>1500</v>
      </c>
      <c r="B1738" t="s">
        <v>2033</v>
      </c>
      <c r="C1738" t="s">
        <v>2036</v>
      </c>
      <c r="D1738" t="s">
        <v>2050</v>
      </c>
      <c r="E1738" t="s">
        <v>2047</v>
      </c>
      <c r="F1738" t="s">
        <v>1299</v>
      </c>
      <c r="G1738" t="s">
        <v>2048</v>
      </c>
      <c r="H1738">
        <v>3</v>
      </c>
      <c r="I1738" t="s">
        <v>2049</v>
      </c>
    </row>
    <row r="1739" spans="1:9">
      <c r="A1739" t="s">
        <v>1500</v>
      </c>
      <c r="B1739" t="s">
        <v>2033</v>
      </c>
      <c r="C1739" t="s">
        <v>2036</v>
      </c>
      <c r="D1739" t="s">
        <v>2051</v>
      </c>
      <c r="E1739" t="s">
        <v>2047</v>
      </c>
      <c r="F1739" t="s">
        <v>1299</v>
      </c>
      <c r="G1739" t="s">
        <v>2048</v>
      </c>
      <c r="H1739">
        <v>4</v>
      </c>
      <c r="I1739" t="s">
        <v>2049</v>
      </c>
    </row>
    <row r="1740" spans="1:9">
      <c r="A1740" t="s">
        <v>1500</v>
      </c>
      <c r="B1740" t="s">
        <v>2033</v>
      </c>
      <c r="C1740" t="s">
        <v>2036</v>
      </c>
      <c r="D1740" t="s">
        <v>2052</v>
      </c>
      <c r="E1740" t="s">
        <v>2047</v>
      </c>
      <c r="F1740" t="s">
        <v>1299</v>
      </c>
      <c r="G1740" t="s">
        <v>2048</v>
      </c>
      <c r="H1740">
        <v>5</v>
      </c>
      <c r="I1740" t="s">
        <v>2049</v>
      </c>
    </row>
    <row r="1741" spans="1:9">
      <c r="A1741" t="s">
        <v>1500</v>
      </c>
      <c r="B1741" t="s">
        <v>2033</v>
      </c>
      <c r="C1741" t="s">
        <v>2036</v>
      </c>
      <c r="D1741" t="s">
        <v>2053</v>
      </c>
      <c r="E1741" t="s">
        <v>2047</v>
      </c>
      <c r="F1741" t="s">
        <v>1299</v>
      </c>
      <c r="G1741" t="s">
        <v>2048</v>
      </c>
      <c r="H1741">
        <v>6</v>
      </c>
      <c r="I1741" t="s">
        <v>2049</v>
      </c>
    </row>
    <row r="1742" spans="1:9">
      <c r="A1742" t="s">
        <v>1500</v>
      </c>
      <c r="B1742" t="s">
        <v>2033</v>
      </c>
      <c r="C1742" t="s">
        <v>2036</v>
      </c>
      <c r="D1742" t="s">
        <v>2054</v>
      </c>
      <c r="E1742" t="s">
        <v>2047</v>
      </c>
      <c r="F1742" t="s">
        <v>1299</v>
      </c>
      <c r="G1742" t="s">
        <v>2048</v>
      </c>
      <c r="H1742">
        <v>7</v>
      </c>
      <c r="I1742" t="s">
        <v>2049</v>
      </c>
    </row>
    <row r="1743" spans="1:9">
      <c r="A1743" t="s">
        <v>1500</v>
      </c>
      <c r="B1743" t="s">
        <v>2033</v>
      </c>
      <c r="C1743" t="s">
        <v>2036</v>
      </c>
      <c r="D1743" t="s">
        <v>2055</v>
      </c>
      <c r="E1743" t="s">
        <v>2056</v>
      </c>
      <c r="F1743" t="s">
        <v>1297</v>
      </c>
      <c r="G1743" t="s">
        <v>2048</v>
      </c>
      <c r="H1743">
        <v>8</v>
      </c>
      <c r="I1743" t="s">
        <v>2057</v>
      </c>
    </row>
    <row r="1744" spans="1:9">
      <c r="A1744" t="s">
        <v>1500</v>
      </c>
      <c r="B1744" t="s">
        <v>2033</v>
      </c>
      <c r="C1744" t="s">
        <v>2036</v>
      </c>
      <c r="D1744" t="s">
        <v>2058</v>
      </c>
      <c r="E1744" t="s">
        <v>2056</v>
      </c>
      <c r="F1744" t="s">
        <v>1297</v>
      </c>
      <c r="G1744" t="s">
        <v>2048</v>
      </c>
      <c r="H1744">
        <v>9</v>
      </c>
      <c r="I1744" t="s">
        <v>2057</v>
      </c>
    </row>
    <row r="1745" spans="1:9">
      <c r="A1745" t="s">
        <v>1500</v>
      </c>
      <c r="B1745" t="s">
        <v>2033</v>
      </c>
      <c r="C1745" t="s">
        <v>2036</v>
      </c>
      <c r="D1745" t="s">
        <v>2059</v>
      </c>
      <c r="E1745" t="s">
        <v>2060</v>
      </c>
      <c r="F1745" t="s">
        <v>1299</v>
      </c>
      <c r="G1745" t="s">
        <v>2048</v>
      </c>
      <c r="H1745">
        <v>10</v>
      </c>
      <c r="I1745" t="s">
        <v>2061</v>
      </c>
    </row>
    <row r="1746" spans="1:9">
      <c r="A1746" t="s">
        <v>1500</v>
      </c>
      <c r="B1746" t="s">
        <v>2033</v>
      </c>
      <c r="C1746" t="s">
        <v>2036</v>
      </c>
      <c r="D1746" t="s">
        <v>2062</v>
      </c>
      <c r="E1746" t="s">
        <v>2060</v>
      </c>
      <c r="F1746" t="s">
        <v>1299</v>
      </c>
      <c r="G1746" t="s">
        <v>2048</v>
      </c>
      <c r="H1746">
        <v>11</v>
      </c>
      <c r="I1746" t="s">
        <v>2061</v>
      </c>
    </row>
    <row r="1747" spans="1:9">
      <c r="A1747" t="s">
        <v>1500</v>
      </c>
      <c r="B1747" t="s">
        <v>2033</v>
      </c>
      <c r="C1747" t="s">
        <v>2037</v>
      </c>
      <c r="D1747" t="s">
        <v>2063</v>
      </c>
      <c r="E1747" t="s">
        <v>2064</v>
      </c>
      <c r="F1747" t="s">
        <v>1299</v>
      </c>
      <c r="G1747" t="s">
        <v>2048</v>
      </c>
      <c r="H1747">
        <v>12</v>
      </c>
      <c r="I1747" t="s">
        <v>2065</v>
      </c>
    </row>
    <row r="1748" spans="1:9">
      <c r="A1748" t="s">
        <v>1500</v>
      </c>
      <c r="B1748" t="s">
        <v>2033</v>
      </c>
      <c r="C1748" t="s">
        <v>2037</v>
      </c>
      <c r="D1748" t="s">
        <v>2066</v>
      </c>
      <c r="E1748" t="s">
        <v>2064</v>
      </c>
      <c r="F1748" t="s">
        <v>1299</v>
      </c>
      <c r="G1748" t="s">
        <v>2048</v>
      </c>
      <c r="H1748">
        <v>13</v>
      </c>
      <c r="I1748" t="s">
        <v>2065</v>
      </c>
    </row>
    <row r="1749" spans="1:9">
      <c r="A1749" t="s">
        <v>1500</v>
      </c>
      <c r="B1749" t="s">
        <v>2033</v>
      </c>
      <c r="C1749" t="s">
        <v>2037</v>
      </c>
      <c r="D1749" t="s">
        <v>2067</v>
      </c>
      <c r="E1749" t="s">
        <v>2064</v>
      </c>
      <c r="F1749" t="s">
        <v>1299</v>
      </c>
      <c r="G1749" t="s">
        <v>2048</v>
      </c>
      <c r="H1749">
        <v>14</v>
      </c>
      <c r="I1749" t="s">
        <v>2065</v>
      </c>
    </row>
    <row r="1750" spans="1:9">
      <c r="A1750" t="s">
        <v>1500</v>
      </c>
      <c r="B1750" t="s">
        <v>2033</v>
      </c>
      <c r="C1750" t="s">
        <v>2037</v>
      </c>
      <c r="D1750" t="s">
        <v>2068</v>
      </c>
      <c r="E1750" t="s">
        <v>2064</v>
      </c>
      <c r="F1750" t="s">
        <v>1299</v>
      </c>
      <c r="G1750" t="s">
        <v>2048</v>
      </c>
      <c r="H1750">
        <v>15</v>
      </c>
      <c r="I1750" t="s">
        <v>2065</v>
      </c>
    </row>
    <row r="1751" spans="1:9">
      <c r="A1751" t="s">
        <v>1500</v>
      </c>
      <c r="B1751" t="s">
        <v>2033</v>
      </c>
      <c r="C1751" t="s">
        <v>2037</v>
      </c>
      <c r="D1751" t="s">
        <v>2069</v>
      </c>
      <c r="E1751" t="s">
        <v>2064</v>
      </c>
      <c r="F1751" t="s">
        <v>1299</v>
      </c>
      <c r="G1751" t="s">
        <v>2048</v>
      </c>
      <c r="H1751">
        <v>16</v>
      </c>
      <c r="I1751" t="s">
        <v>2065</v>
      </c>
    </row>
    <row r="1752" spans="1:9">
      <c r="A1752" t="s">
        <v>1500</v>
      </c>
      <c r="B1752" t="s">
        <v>2033</v>
      </c>
      <c r="C1752" t="s">
        <v>2037</v>
      </c>
      <c r="D1752" t="s">
        <v>2070</v>
      </c>
      <c r="E1752" t="s">
        <v>2064</v>
      </c>
      <c r="F1752" t="s">
        <v>1299</v>
      </c>
      <c r="G1752" t="s">
        <v>2048</v>
      </c>
      <c r="H1752">
        <v>17</v>
      </c>
      <c r="I1752" t="s">
        <v>2065</v>
      </c>
    </row>
    <row r="1753" spans="1:9">
      <c r="A1753" t="s">
        <v>1500</v>
      </c>
      <c r="B1753" t="s">
        <v>2033</v>
      </c>
      <c r="C1753" t="s">
        <v>2037</v>
      </c>
      <c r="D1753" t="s">
        <v>2071</v>
      </c>
      <c r="E1753" t="s">
        <v>2064</v>
      </c>
      <c r="F1753" t="s">
        <v>1299</v>
      </c>
      <c r="G1753" t="s">
        <v>2048</v>
      </c>
      <c r="H1753">
        <v>18</v>
      </c>
      <c r="I1753" t="s">
        <v>2065</v>
      </c>
    </row>
    <row r="1754" spans="1:9">
      <c r="A1754" t="s">
        <v>1500</v>
      </c>
      <c r="B1754" t="s">
        <v>2033</v>
      </c>
      <c r="C1754" t="s">
        <v>2037</v>
      </c>
      <c r="D1754" t="s">
        <v>2072</v>
      </c>
      <c r="E1754" t="s">
        <v>2064</v>
      </c>
      <c r="F1754" t="s">
        <v>1299</v>
      </c>
      <c r="G1754" t="s">
        <v>2048</v>
      </c>
      <c r="H1754">
        <v>19</v>
      </c>
      <c r="I1754" t="s">
        <v>2065</v>
      </c>
    </row>
    <row r="1755" spans="1:9">
      <c r="A1755" t="s">
        <v>1500</v>
      </c>
      <c r="B1755" t="s">
        <v>2033</v>
      </c>
      <c r="C1755" t="s">
        <v>2037</v>
      </c>
      <c r="D1755" t="s">
        <v>2073</v>
      </c>
      <c r="E1755" t="s">
        <v>2064</v>
      </c>
      <c r="F1755" t="s">
        <v>1299</v>
      </c>
      <c r="G1755" t="s">
        <v>2048</v>
      </c>
      <c r="H1755">
        <v>20</v>
      </c>
      <c r="I1755" t="s">
        <v>2065</v>
      </c>
    </row>
    <row r="1756" spans="1:9">
      <c r="A1756" t="s">
        <v>1500</v>
      </c>
      <c r="B1756" t="s">
        <v>2033</v>
      </c>
      <c r="C1756" t="s">
        <v>2074</v>
      </c>
      <c r="D1756" t="s">
        <v>2075</v>
      </c>
      <c r="E1756" t="s">
        <v>1478</v>
      </c>
      <c r="F1756" t="s">
        <v>2076</v>
      </c>
      <c r="G1756" t="s">
        <v>2077</v>
      </c>
      <c r="H1756">
        <v>2</v>
      </c>
      <c r="I1756" t="s">
        <v>2078</v>
      </c>
    </row>
    <row r="1757" spans="1:9">
      <c r="A1757" t="s">
        <v>1500</v>
      </c>
      <c r="B1757" t="s">
        <v>2033</v>
      </c>
      <c r="C1757" t="s">
        <v>2034</v>
      </c>
      <c r="D1757" t="s">
        <v>2079</v>
      </c>
      <c r="E1757" t="s">
        <v>2080</v>
      </c>
      <c r="F1757" t="s">
        <v>2081</v>
      </c>
      <c r="G1757" t="s">
        <v>2077</v>
      </c>
      <c r="H1757">
        <v>3</v>
      </c>
      <c r="I1757" t="s">
        <v>2082</v>
      </c>
    </row>
    <row r="1758" spans="1:9">
      <c r="A1758" t="s">
        <v>1500</v>
      </c>
      <c r="B1758" t="s">
        <v>2033</v>
      </c>
      <c r="C1758" t="s">
        <v>2036</v>
      </c>
      <c r="D1758" t="s">
        <v>2083</v>
      </c>
      <c r="E1758" t="s">
        <v>2084</v>
      </c>
      <c r="F1758" t="s">
        <v>2085</v>
      </c>
      <c r="G1758" t="s">
        <v>2077</v>
      </c>
      <c r="H1758">
        <v>4</v>
      </c>
      <c r="I1758" t="s">
        <v>2086</v>
      </c>
    </row>
    <row r="1759" spans="1:9">
      <c r="A1759" t="s">
        <v>1500</v>
      </c>
      <c r="B1759" t="s">
        <v>2033</v>
      </c>
      <c r="C1759" t="s">
        <v>2038</v>
      </c>
      <c r="D1759" t="s">
        <v>2087</v>
      </c>
      <c r="E1759" t="s">
        <v>2088</v>
      </c>
      <c r="F1759" t="s">
        <v>2089</v>
      </c>
      <c r="G1759" t="s">
        <v>2077</v>
      </c>
      <c r="H1759">
        <v>5</v>
      </c>
      <c r="I1759" t="s">
        <v>2090</v>
      </c>
    </row>
    <row r="1760" spans="1:9">
      <c r="A1760" t="s">
        <v>1500</v>
      </c>
      <c r="B1760" t="s">
        <v>2033</v>
      </c>
      <c r="C1760" t="s">
        <v>2034</v>
      </c>
      <c r="D1760" t="s">
        <v>2091</v>
      </c>
      <c r="E1760" t="s">
        <v>2092</v>
      </c>
      <c r="F1760" t="s">
        <v>1299</v>
      </c>
      <c r="G1760" t="s">
        <v>2093</v>
      </c>
      <c r="H1760">
        <v>2</v>
      </c>
      <c r="I1760" t="s">
        <v>2094</v>
      </c>
    </row>
    <row r="1761" spans="1:9">
      <c r="A1761" t="s">
        <v>1500</v>
      </c>
      <c r="B1761" t="s">
        <v>2033</v>
      </c>
      <c r="C1761" t="s">
        <v>2034</v>
      </c>
      <c r="D1761" t="s">
        <v>2095</v>
      </c>
      <c r="E1761" t="s">
        <v>2096</v>
      </c>
      <c r="F1761" t="s">
        <v>1299</v>
      </c>
      <c r="G1761" t="s">
        <v>2093</v>
      </c>
      <c r="H1761">
        <v>3</v>
      </c>
      <c r="I1761" t="s">
        <v>2097</v>
      </c>
    </row>
    <row r="1762" spans="1:9">
      <c r="A1762" t="s">
        <v>1500</v>
      </c>
      <c r="B1762" t="s">
        <v>2033</v>
      </c>
      <c r="C1762" t="s">
        <v>2098</v>
      </c>
      <c r="D1762" t="s">
        <v>2099</v>
      </c>
      <c r="E1762" t="s">
        <v>2100</v>
      </c>
      <c r="F1762" t="s">
        <v>1299</v>
      </c>
      <c r="G1762" t="s">
        <v>2093</v>
      </c>
      <c r="H1762">
        <v>4</v>
      </c>
      <c r="I1762" t="s">
        <v>2101</v>
      </c>
    </row>
    <row r="1763" spans="1:9">
      <c r="A1763" t="s">
        <v>1500</v>
      </c>
      <c r="B1763" t="s">
        <v>2033</v>
      </c>
      <c r="C1763" t="s">
        <v>2034</v>
      </c>
      <c r="D1763" t="s">
        <v>2102</v>
      </c>
      <c r="E1763" t="s">
        <v>2103</v>
      </c>
      <c r="F1763" t="s">
        <v>1297</v>
      </c>
      <c r="G1763" t="s">
        <v>2104</v>
      </c>
      <c r="H1763">
        <v>2</v>
      </c>
      <c r="I1763" t="s">
        <v>2105</v>
      </c>
    </row>
    <row r="1764" spans="1:9">
      <c r="A1764" t="s">
        <v>1500</v>
      </c>
      <c r="B1764" t="s">
        <v>2033</v>
      </c>
      <c r="C1764" t="s">
        <v>2034</v>
      </c>
      <c r="D1764" t="s">
        <v>2106</v>
      </c>
      <c r="E1764" t="s">
        <v>2103</v>
      </c>
      <c r="F1764" t="s">
        <v>1297</v>
      </c>
      <c r="G1764" t="s">
        <v>2104</v>
      </c>
      <c r="H1764">
        <v>3</v>
      </c>
      <c r="I1764" t="s">
        <v>2105</v>
      </c>
    </row>
    <row r="1765" spans="1:9">
      <c r="A1765" t="s">
        <v>1500</v>
      </c>
      <c r="B1765" t="s">
        <v>2033</v>
      </c>
      <c r="C1765" t="s">
        <v>2034</v>
      </c>
      <c r="D1765" t="s">
        <v>2107</v>
      </c>
      <c r="E1765" t="s">
        <v>2103</v>
      </c>
      <c r="F1765" t="s">
        <v>1297</v>
      </c>
      <c r="G1765" t="s">
        <v>2104</v>
      </c>
      <c r="H1765">
        <v>4</v>
      </c>
      <c r="I1765" t="s">
        <v>2105</v>
      </c>
    </row>
    <row r="1766" spans="1:9">
      <c r="A1766" t="s">
        <v>1500</v>
      </c>
      <c r="B1766" t="s">
        <v>2033</v>
      </c>
      <c r="C1766" t="s">
        <v>2034</v>
      </c>
      <c r="D1766" t="s">
        <v>2108</v>
      </c>
      <c r="E1766" t="s">
        <v>2103</v>
      </c>
      <c r="F1766" t="s">
        <v>1297</v>
      </c>
      <c r="G1766" t="s">
        <v>2104</v>
      </c>
      <c r="H1766">
        <v>5</v>
      </c>
      <c r="I1766" t="s">
        <v>2105</v>
      </c>
    </row>
    <row r="1767" spans="1:9">
      <c r="A1767" t="s">
        <v>1500</v>
      </c>
      <c r="B1767" t="s">
        <v>2033</v>
      </c>
      <c r="C1767" t="s">
        <v>2034</v>
      </c>
      <c r="D1767" t="s">
        <v>2109</v>
      </c>
      <c r="E1767" t="s">
        <v>2103</v>
      </c>
      <c r="F1767" t="s">
        <v>1297</v>
      </c>
      <c r="G1767" t="s">
        <v>2104</v>
      </c>
      <c r="H1767">
        <v>6</v>
      </c>
      <c r="I1767" t="s">
        <v>2105</v>
      </c>
    </row>
    <row r="1768" spans="1:9">
      <c r="A1768" t="s">
        <v>1500</v>
      </c>
      <c r="B1768" t="s">
        <v>2033</v>
      </c>
      <c r="C1768" t="s">
        <v>2034</v>
      </c>
      <c r="D1768" t="s">
        <v>2110</v>
      </c>
      <c r="E1768" t="s">
        <v>2111</v>
      </c>
      <c r="F1768" t="s">
        <v>1297</v>
      </c>
      <c r="G1768" t="s">
        <v>2104</v>
      </c>
      <c r="H1768">
        <v>7</v>
      </c>
      <c r="I1768" t="s">
        <v>2112</v>
      </c>
    </row>
    <row r="1769" spans="1:9">
      <c r="A1769" t="s">
        <v>1500</v>
      </c>
      <c r="B1769" t="s">
        <v>2033</v>
      </c>
      <c r="C1769" t="s">
        <v>2034</v>
      </c>
      <c r="D1769" t="s">
        <v>2113</v>
      </c>
      <c r="E1769" t="s">
        <v>2111</v>
      </c>
      <c r="F1769" t="s">
        <v>1297</v>
      </c>
      <c r="G1769" t="s">
        <v>2104</v>
      </c>
      <c r="H1769">
        <v>8</v>
      </c>
      <c r="I1769" t="s">
        <v>2112</v>
      </c>
    </row>
    <row r="1770" spans="1:9">
      <c r="A1770" t="s">
        <v>1500</v>
      </c>
      <c r="B1770" t="s">
        <v>2033</v>
      </c>
      <c r="C1770" t="s">
        <v>2034</v>
      </c>
      <c r="D1770" t="s">
        <v>2114</v>
      </c>
      <c r="E1770" t="s">
        <v>2111</v>
      </c>
      <c r="F1770" t="s">
        <v>1297</v>
      </c>
      <c r="G1770" t="s">
        <v>2104</v>
      </c>
      <c r="H1770">
        <v>9</v>
      </c>
      <c r="I1770" t="s">
        <v>2112</v>
      </c>
    </row>
    <row r="1771" spans="1:9">
      <c r="A1771" t="s">
        <v>1500</v>
      </c>
      <c r="B1771" t="s">
        <v>2033</v>
      </c>
      <c r="C1771" t="s">
        <v>2034</v>
      </c>
      <c r="D1771" t="s">
        <v>2115</v>
      </c>
      <c r="E1771" t="s">
        <v>2111</v>
      </c>
      <c r="F1771" t="s">
        <v>1297</v>
      </c>
      <c r="G1771" t="s">
        <v>2104</v>
      </c>
      <c r="H1771">
        <v>10</v>
      </c>
      <c r="I1771" t="s">
        <v>2112</v>
      </c>
    </row>
    <row r="1772" spans="1:9">
      <c r="A1772" t="s">
        <v>1500</v>
      </c>
      <c r="B1772" t="s">
        <v>2033</v>
      </c>
      <c r="C1772" t="s">
        <v>2034</v>
      </c>
      <c r="D1772" t="s">
        <v>2116</v>
      </c>
      <c r="E1772" t="s">
        <v>2111</v>
      </c>
      <c r="F1772" t="s">
        <v>1297</v>
      </c>
      <c r="G1772" t="s">
        <v>2104</v>
      </c>
      <c r="H1772">
        <v>11</v>
      </c>
      <c r="I1772" t="s">
        <v>2112</v>
      </c>
    </row>
    <row r="1773" spans="1:9">
      <c r="A1773" t="s">
        <v>1500</v>
      </c>
      <c r="B1773" t="s">
        <v>2033</v>
      </c>
      <c r="C1773" t="s">
        <v>2098</v>
      </c>
      <c r="D1773" t="s">
        <v>2117</v>
      </c>
      <c r="E1773" t="s">
        <v>2118</v>
      </c>
      <c r="F1773" t="s">
        <v>1299</v>
      </c>
      <c r="G1773" t="s">
        <v>2104</v>
      </c>
      <c r="H1773">
        <v>12</v>
      </c>
      <c r="I1773" t="s">
        <v>2119</v>
      </c>
    </row>
    <row r="1774" spans="1:9">
      <c r="A1774" t="s">
        <v>1500</v>
      </c>
      <c r="B1774" t="s">
        <v>2033</v>
      </c>
      <c r="C1774" t="s">
        <v>2098</v>
      </c>
      <c r="D1774" t="s">
        <v>2120</v>
      </c>
      <c r="E1774" t="s">
        <v>2118</v>
      </c>
      <c r="F1774" t="s">
        <v>1299</v>
      </c>
      <c r="G1774" t="s">
        <v>2104</v>
      </c>
      <c r="H1774">
        <v>13</v>
      </c>
      <c r="I1774" t="s">
        <v>2119</v>
      </c>
    </row>
    <row r="1775" spans="1:9">
      <c r="A1775" t="s">
        <v>1500</v>
      </c>
      <c r="B1775" t="s">
        <v>2033</v>
      </c>
      <c r="C1775" t="s">
        <v>2098</v>
      </c>
      <c r="D1775" t="s">
        <v>2121</v>
      </c>
      <c r="E1775" t="s">
        <v>2118</v>
      </c>
      <c r="F1775" t="s">
        <v>1299</v>
      </c>
      <c r="G1775" t="s">
        <v>2104</v>
      </c>
      <c r="H1775">
        <v>14</v>
      </c>
      <c r="I1775" t="s">
        <v>2119</v>
      </c>
    </row>
    <row r="1776" spans="1:9">
      <c r="A1776" t="s">
        <v>1500</v>
      </c>
      <c r="B1776" t="s">
        <v>2033</v>
      </c>
      <c r="C1776" t="s">
        <v>2098</v>
      </c>
      <c r="D1776" t="s">
        <v>2122</v>
      </c>
      <c r="E1776" t="s">
        <v>2118</v>
      </c>
      <c r="F1776" t="s">
        <v>1299</v>
      </c>
      <c r="G1776" t="s">
        <v>2104</v>
      </c>
      <c r="H1776">
        <v>15</v>
      </c>
      <c r="I1776" t="s">
        <v>2119</v>
      </c>
    </row>
    <row r="1777" spans="1:9">
      <c r="A1777" t="s">
        <v>1500</v>
      </c>
      <c r="B1777" t="s">
        <v>2033</v>
      </c>
      <c r="C1777" t="s">
        <v>2098</v>
      </c>
      <c r="D1777" t="s">
        <v>2123</v>
      </c>
      <c r="E1777" t="s">
        <v>2118</v>
      </c>
      <c r="F1777" t="s">
        <v>1299</v>
      </c>
      <c r="G1777" t="s">
        <v>2104</v>
      </c>
      <c r="H1777">
        <v>16</v>
      </c>
      <c r="I1777" t="s">
        <v>2119</v>
      </c>
    </row>
    <row r="1778" spans="1:9">
      <c r="A1778" t="s">
        <v>1500</v>
      </c>
      <c r="B1778" t="s">
        <v>2033</v>
      </c>
      <c r="C1778" t="s">
        <v>2098</v>
      </c>
      <c r="D1778" t="s">
        <v>2124</v>
      </c>
      <c r="E1778" t="s">
        <v>2118</v>
      </c>
      <c r="F1778" t="s">
        <v>1299</v>
      </c>
      <c r="G1778" t="s">
        <v>2104</v>
      </c>
      <c r="H1778">
        <v>17</v>
      </c>
      <c r="I1778" t="s">
        <v>2119</v>
      </c>
    </row>
    <row r="1779" spans="1:9">
      <c r="A1779" t="s">
        <v>1500</v>
      </c>
      <c r="B1779" t="s">
        <v>2033</v>
      </c>
      <c r="C1779" t="s">
        <v>2098</v>
      </c>
      <c r="D1779" t="s">
        <v>2125</v>
      </c>
      <c r="E1779" t="s">
        <v>2118</v>
      </c>
      <c r="F1779" t="s">
        <v>1299</v>
      </c>
      <c r="G1779" t="s">
        <v>2104</v>
      </c>
      <c r="H1779">
        <v>18</v>
      </c>
      <c r="I1779" t="s">
        <v>2119</v>
      </c>
    </row>
    <row r="1780" spans="1:9">
      <c r="A1780" t="s">
        <v>1500</v>
      </c>
      <c r="B1780" t="s">
        <v>2033</v>
      </c>
      <c r="C1780" t="s">
        <v>2098</v>
      </c>
      <c r="D1780" t="s">
        <v>2126</v>
      </c>
      <c r="E1780" t="s">
        <v>2118</v>
      </c>
      <c r="F1780" t="s">
        <v>1299</v>
      </c>
      <c r="G1780" t="s">
        <v>2104</v>
      </c>
      <c r="H1780">
        <v>19</v>
      </c>
      <c r="I1780" t="s">
        <v>2119</v>
      </c>
    </row>
    <row r="1781" spans="1:9">
      <c r="A1781" t="s">
        <v>1500</v>
      </c>
      <c r="B1781" t="s">
        <v>2033</v>
      </c>
      <c r="C1781" t="s">
        <v>2098</v>
      </c>
      <c r="D1781" t="s">
        <v>2127</v>
      </c>
      <c r="E1781" t="s">
        <v>2118</v>
      </c>
      <c r="F1781" t="s">
        <v>1299</v>
      </c>
      <c r="G1781" t="s">
        <v>2104</v>
      </c>
      <c r="H1781">
        <v>20</v>
      </c>
      <c r="I1781" t="s">
        <v>2119</v>
      </c>
    </row>
    <row r="1782" spans="1:9">
      <c r="A1782" t="s">
        <v>2128</v>
      </c>
      <c r="B1782" t="s">
        <v>326</v>
      </c>
      <c r="C1782" t="s">
        <v>2129</v>
      </c>
      <c r="D1782" t="s">
        <v>2130</v>
      </c>
      <c r="E1782" t="s">
        <v>2131</v>
      </c>
      <c r="G1782" t="s">
        <v>2132</v>
      </c>
      <c r="H1782">
        <v>2</v>
      </c>
    </row>
    <row r="1783" spans="1:9">
      <c r="A1783" t="s">
        <v>2128</v>
      </c>
      <c r="B1783" t="s">
        <v>326</v>
      </c>
      <c r="C1783" t="s">
        <v>2133</v>
      </c>
      <c r="D1783" t="s">
        <v>2134</v>
      </c>
      <c r="E1783" t="s">
        <v>2135</v>
      </c>
      <c r="G1783" t="s">
        <v>2132</v>
      </c>
      <c r="H1783">
        <v>3</v>
      </c>
    </row>
    <row r="1784" spans="1:9">
      <c r="A1784" t="s">
        <v>2128</v>
      </c>
      <c r="B1784" t="s">
        <v>326</v>
      </c>
      <c r="C1784" t="s">
        <v>2136</v>
      </c>
      <c r="D1784" t="s">
        <v>2137</v>
      </c>
      <c r="E1784" t="s">
        <v>2138</v>
      </c>
      <c r="G1784" t="s">
        <v>2132</v>
      </c>
      <c r="H1784">
        <v>4</v>
      </c>
    </row>
    <row r="1785" spans="1:9">
      <c r="A1785" t="s">
        <v>2128</v>
      </c>
      <c r="B1785" t="s">
        <v>2139</v>
      </c>
      <c r="C1785" t="s">
        <v>2140</v>
      </c>
      <c r="D1785" t="s">
        <v>2141</v>
      </c>
      <c r="F1785" t="s">
        <v>2142</v>
      </c>
      <c r="G1785" t="s">
        <v>2143</v>
      </c>
      <c r="H1785">
        <v>2</v>
      </c>
      <c r="I1785" t="s">
        <v>2144</v>
      </c>
    </row>
    <row r="1786" spans="1:9">
      <c r="A1786" t="s">
        <v>2128</v>
      </c>
      <c r="B1786" t="s">
        <v>2139</v>
      </c>
      <c r="C1786" t="s">
        <v>2145</v>
      </c>
      <c r="D1786" t="s">
        <v>2146</v>
      </c>
      <c r="F1786" t="s">
        <v>1311</v>
      </c>
      <c r="G1786" t="s">
        <v>2143</v>
      </c>
      <c r="H1786">
        <v>3</v>
      </c>
      <c r="I1786" t="s">
        <v>2147</v>
      </c>
    </row>
    <row r="1787" spans="1:9">
      <c r="A1787" t="s">
        <v>2128</v>
      </c>
      <c r="B1787" t="s">
        <v>2139</v>
      </c>
      <c r="C1787" t="s">
        <v>2148</v>
      </c>
      <c r="D1787" t="s">
        <v>2149</v>
      </c>
      <c r="F1787" t="s">
        <v>2150</v>
      </c>
      <c r="G1787" t="s">
        <v>2143</v>
      </c>
      <c r="H1787">
        <v>4</v>
      </c>
      <c r="I1787" t="s">
        <v>2151</v>
      </c>
    </row>
    <row r="1788" spans="1:9">
      <c r="A1788" t="s">
        <v>2128</v>
      </c>
      <c r="B1788" t="s">
        <v>1326</v>
      </c>
      <c r="C1788" t="s">
        <v>2152</v>
      </c>
      <c r="D1788" t="s">
        <v>2153</v>
      </c>
      <c r="G1788" t="s">
        <v>2154</v>
      </c>
      <c r="H1788">
        <v>2</v>
      </c>
      <c r="I1788" t="s">
        <v>2155</v>
      </c>
    </row>
    <row r="1789" spans="1:9">
      <c r="A1789" t="s">
        <v>2128</v>
      </c>
      <c r="B1789" t="s">
        <v>1326</v>
      </c>
      <c r="C1789" t="s">
        <v>2156</v>
      </c>
      <c r="D1789" t="s">
        <v>2157</v>
      </c>
      <c r="G1789" t="s">
        <v>2154</v>
      </c>
      <c r="H1789">
        <v>3</v>
      </c>
      <c r="I1789" t="s">
        <v>2158</v>
      </c>
    </row>
    <row r="1790" spans="1:9">
      <c r="A1790" t="s">
        <v>2128</v>
      </c>
      <c r="B1790" t="s">
        <v>1326</v>
      </c>
      <c r="C1790" t="s">
        <v>2159</v>
      </c>
      <c r="D1790" t="s">
        <v>2160</v>
      </c>
      <c r="G1790" t="s">
        <v>2154</v>
      </c>
      <c r="H1790">
        <v>4</v>
      </c>
      <c r="I1790" t="s">
        <v>2161</v>
      </c>
    </row>
    <row r="1791" spans="1:9">
      <c r="A1791" t="s">
        <v>2162</v>
      </c>
      <c r="B1791" t="s">
        <v>2163</v>
      </c>
      <c r="D1791" t="s">
        <v>2164</v>
      </c>
      <c r="E1791" t="s">
        <v>2165</v>
      </c>
      <c r="F1791" t="s">
        <v>1292</v>
      </c>
      <c r="G1791" t="s">
        <v>2166</v>
      </c>
      <c r="H1791">
        <v>2</v>
      </c>
      <c r="I1791" t="s">
        <v>2167</v>
      </c>
    </row>
    <row r="1792" spans="1:9">
      <c r="A1792" t="s">
        <v>2162</v>
      </c>
      <c r="B1792" t="s">
        <v>2163</v>
      </c>
      <c r="D1792" t="s">
        <v>2168</v>
      </c>
      <c r="E1792" t="s">
        <v>2165</v>
      </c>
      <c r="F1792" t="s">
        <v>1292</v>
      </c>
      <c r="G1792" t="s">
        <v>2166</v>
      </c>
      <c r="H1792">
        <v>3</v>
      </c>
      <c r="I1792" t="s">
        <v>2169</v>
      </c>
    </row>
    <row r="1793" spans="1:9">
      <c r="A1793" t="s">
        <v>2162</v>
      </c>
      <c r="B1793" t="s">
        <v>2163</v>
      </c>
      <c r="D1793" t="s">
        <v>2170</v>
      </c>
      <c r="E1793" t="s">
        <v>2165</v>
      </c>
      <c r="F1793" t="s">
        <v>1292</v>
      </c>
      <c r="G1793" t="s">
        <v>2166</v>
      </c>
      <c r="H1793">
        <v>4</v>
      </c>
      <c r="I1793" t="s">
        <v>2171</v>
      </c>
    </row>
    <row r="1794" spans="1:9">
      <c r="A1794" t="s">
        <v>2162</v>
      </c>
      <c r="B1794" t="s">
        <v>2163</v>
      </c>
      <c r="D1794" t="s">
        <v>2172</v>
      </c>
      <c r="E1794" t="s">
        <v>2165</v>
      </c>
      <c r="F1794" t="s">
        <v>1292</v>
      </c>
      <c r="G1794" t="s">
        <v>2166</v>
      </c>
      <c r="H1794">
        <v>5</v>
      </c>
      <c r="I1794" t="s">
        <v>2173</v>
      </c>
    </row>
    <row r="1795" spans="1:9">
      <c r="A1795" t="s">
        <v>2162</v>
      </c>
      <c r="B1795" t="s">
        <v>2174</v>
      </c>
      <c r="D1795" t="s">
        <v>2175</v>
      </c>
      <c r="E1795" t="s">
        <v>2165</v>
      </c>
      <c r="F1795" t="s">
        <v>1292</v>
      </c>
      <c r="G1795" t="s">
        <v>2176</v>
      </c>
      <c r="H1795">
        <v>2</v>
      </c>
      <c r="I1795" t="s">
        <v>2177</v>
      </c>
    </row>
    <row r="1796" spans="1:9">
      <c r="A1796" t="s">
        <v>2162</v>
      </c>
      <c r="B1796" t="s">
        <v>2174</v>
      </c>
      <c r="D1796" t="s">
        <v>2178</v>
      </c>
      <c r="E1796" t="s">
        <v>2165</v>
      </c>
      <c r="F1796" t="s">
        <v>1292</v>
      </c>
      <c r="G1796" t="s">
        <v>2176</v>
      </c>
      <c r="H1796">
        <v>3</v>
      </c>
      <c r="I1796" t="s">
        <v>2179</v>
      </c>
    </row>
    <row r="1797" spans="1:9">
      <c r="A1797" t="s">
        <v>2162</v>
      </c>
      <c r="B1797" t="s">
        <v>2174</v>
      </c>
      <c r="D1797" t="s">
        <v>180</v>
      </c>
      <c r="E1797" t="s">
        <v>2165</v>
      </c>
      <c r="F1797" t="s">
        <v>1292</v>
      </c>
      <c r="G1797" t="s">
        <v>2176</v>
      </c>
      <c r="H1797">
        <v>4</v>
      </c>
      <c r="I1797" t="s">
        <v>2180</v>
      </c>
    </row>
    <row r="1798" spans="1:9">
      <c r="A1798" t="s">
        <v>2162</v>
      </c>
      <c r="B1798" t="s">
        <v>2174</v>
      </c>
      <c r="D1798" t="s">
        <v>2181</v>
      </c>
      <c r="E1798" t="s">
        <v>2165</v>
      </c>
      <c r="F1798" t="s">
        <v>1292</v>
      </c>
      <c r="G1798" t="s">
        <v>2176</v>
      </c>
      <c r="H1798">
        <v>5</v>
      </c>
      <c r="I1798" t="s">
        <v>2182</v>
      </c>
    </row>
    <row r="1799" spans="1:9">
      <c r="A1799" t="s">
        <v>2162</v>
      </c>
      <c r="B1799" t="s">
        <v>2174</v>
      </c>
      <c r="D1799" t="s">
        <v>2183</v>
      </c>
      <c r="E1799" t="s">
        <v>2165</v>
      </c>
      <c r="F1799" t="s">
        <v>1292</v>
      </c>
      <c r="G1799" t="s">
        <v>2176</v>
      </c>
      <c r="H1799">
        <v>6</v>
      </c>
      <c r="I1799" t="s">
        <v>2184</v>
      </c>
    </row>
    <row r="1800" spans="1:9">
      <c r="A1800" t="s">
        <v>2162</v>
      </c>
      <c r="B1800" t="s">
        <v>2174</v>
      </c>
      <c r="D1800" t="s">
        <v>2185</v>
      </c>
      <c r="E1800" t="s">
        <v>2165</v>
      </c>
      <c r="F1800" t="s">
        <v>1292</v>
      </c>
      <c r="G1800" t="s">
        <v>2176</v>
      </c>
      <c r="H1800">
        <v>7</v>
      </c>
      <c r="I1800" t="s">
        <v>2186</v>
      </c>
    </row>
    <row r="1801" spans="1:9">
      <c r="A1801" t="s">
        <v>2162</v>
      </c>
      <c r="B1801" t="s">
        <v>2187</v>
      </c>
      <c r="D1801" t="s">
        <v>2188</v>
      </c>
      <c r="E1801" t="s">
        <v>2189</v>
      </c>
      <c r="F1801" t="s">
        <v>1292</v>
      </c>
      <c r="G1801" t="s">
        <v>2190</v>
      </c>
      <c r="H1801">
        <v>2</v>
      </c>
      <c r="I1801" t="s">
        <v>2191</v>
      </c>
    </row>
    <row r="1802" spans="1:9">
      <c r="A1802" t="s">
        <v>2162</v>
      </c>
      <c r="B1802" t="s">
        <v>2187</v>
      </c>
      <c r="D1802" t="s">
        <v>2192</v>
      </c>
      <c r="E1802" t="s">
        <v>2189</v>
      </c>
      <c r="F1802" t="s">
        <v>1292</v>
      </c>
      <c r="G1802" t="s">
        <v>2190</v>
      </c>
      <c r="H1802">
        <v>3</v>
      </c>
      <c r="I1802" t="s">
        <v>2193</v>
      </c>
    </row>
    <row r="1803" spans="1:9">
      <c r="A1803" t="s">
        <v>2162</v>
      </c>
      <c r="B1803" t="s">
        <v>2187</v>
      </c>
      <c r="D1803" t="s">
        <v>2194</v>
      </c>
      <c r="E1803" t="s">
        <v>2189</v>
      </c>
      <c r="F1803" t="s">
        <v>1292</v>
      </c>
      <c r="G1803" t="s">
        <v>2190</v>
      </c>
      <c r="H1803">
        <v>4</v>
      </c>
      <c r="I1803" t="s">
        <v>2195</v>
      </c>
    </row>
    <row r="1804" spans="1:9">
      <c r="A1804" t="s">
        <v>2162</v>
      </c>
      <c r="B1804" t="s">
        <v>2196</v>
      </c>
      <c r="D1804" t="s">
        <v>2197</v>
      </c>
      <c r="F1804" t="s">
        <v>1292</v>
      </c>
      <c r="G1804" t="s">
        <v>2198</v>
      </c>
      <c r="H1804">
        <v>2</v>
      </c>
      <c r="I1804" t="s">
        <v>2199</v>
      </c>
    </row>
    <row r="1805" spans="1:9">
      <c r="A1805" t="s">
        <v>2162</v>
      </c>
      <c r="B1805" t="s">
        <v>2196</v>
      </c>
      <c r="D1805" t="s">
        <v>2200</v>
      </c>
      <c r="F1805" t="s">
        <v>1292</v>
      </c>
      <c r="G1805" t="s">
        <v>2198</v>
      </c>
      <c r="H1805">
        <v>3</v>
      </c>
      <c r="I1805" t="s">
        <v>2201</v>
      </c>
    </row>
    <row r="1806" spans="1:9">
      <c r="A1806" t="s">
        <v>2162</v>
      </c>
      <c r="B1806" t="s">
        <v>2196</v>
      </c>
      <c r="D1806" t="s">
        <v>2202</v>
      </c>
      <c r="F1806" t="s">
        <v>1292</v>
      </c>
      <c r="G1806" t="s">
        <v>2198</v>
      </c>
      <c r="H1806">
        <v>4</v>
      </c>
      <c r="I1806" t="s">
        <v>2203</v>
      </c>
    </row>
    <row r="1807" spans="1:9">
      <c r="A1807" t="s">
        <v>2162</v>
      </c>
      <c r="B1807" t="s">
        <v>2196</v>
      </c>
      <c r="D1807" t="s">
        <v>2204</v>
      </c>
      <c r="F1807" t="s">
        <v>1292</v>
      </c>
      <c r="G1807" t="s">
        <v>2198</v>
      </c>
      <c r="H1807">
        <v>5</v>
      </c>
      <c r="I1807" t="s">
        <v>2205</v>
      </c>
    </row>
    <row r="1808" spans="1:9">
      <c r="A1808" t="s">
        <v>2162</v>
      </c>
      <c r="B1808" t="s">
        <v>2196</v>
      </c>
      <c r="D1808" t="s">
        <v>2206</v>
      </c>
      <c r="F1808" t="s">
        <v>1292</v>
      </c>
      <c r="G1808" t="s">
        <v>2198</v>
      </c>
      <c r="H1808">
        <v>6</v>
      </c>
      <c r="I1808" t="s">
        <v>2207</v>
      </c>
    </row>
    <row r="1809" spans="1:9">
      <c r="A1809" t="s">
        <v>2162</v>
      </c>
      <c r="B1809" t="s">
        <v>2196</v>
      </c>
      <c r="D1809" t="s">
        <v>2208</v>
      </c>
      <c r="F1809" t="s">
        <v>1292</v>
      </c>
      <c r="G1809" t="s">
        <v>2198</v>
      </c>
      <c r="H1809">
        <v>7</v>
      </c>
      <c r="I1809" t="s">
        <v>2209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20"/>
  <sheetViews>
    <sheetView showGridLines="0" workbookViewId="0">
      <pane ySplit="3" topLeftCell="A4" activePane="bottomLeft" state="frozen"/>
      <selection pane="bottomLeft"/>
    </sheetView>
  </sheetViews>
  <sheetFormatPr defaultRowHeight="13.8"/>
  <cols>
    <col min="1" max="1" width="11.8984375" customWidth="1"/>
    <col min="2" max="2" width="22.59765625" customWidth="1"/>
    <col min="3" max="3" width="49.19921875" customWidth="1"/>
    <col min="4" max="4" width="9.59765625" customWidth="1"/>
    <col min="5" max="5" width="18.3984375" customWidth="1"/>
    <col min="6" max="6" width="17.796875" customWidth="1"/>
    <col min="7" max="7" width="12.59765625" customWidth="1"/>
    <col min="8" max="8" width="37" customWidth="1"/>
    <col min="9" max="9" width="15" customWidth="1"/>
    <col min="10" max="10" width="37" customWidth="1"/>
    <col min="11" max="11" width="11.796875" customWidth="1"/>
    <col min="12" max="12" width="15.3984375" customWidth="1"/>
    <col min="13" max="13" width="24.8984375" customWidth="1"/>
    <col min="14" max="14" width="20.19921875" customWidth="1"/>
    <col min="15" max="15" width="14.796875" customWidth="1"/>
    <col min="16" max="16" width="19" customWidth="1"/>
    <col min="17" max="17" width="14.796875" customWidth="1"/>
    <col min="18" max="18" width="13.8984375" customWidth="1"/>
    <col min="19" max="19" width="21" customWidth="1"/>
    <col min="20" max="20" width="12.796875" customWidth="1"/>
    <col min="21" max="21" width="159.09765625" customWidth="1"/>
  </cols>
  <sheetData>
    <row r="1" spans="1:21" ht="17.399999999999999">
      <c r="A1" s="17" t="s">
        <v>2210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5" t="s">
        <v>2211</v>
      </c>
      <c r="B2" s="16" t="str">
        <f>IF(COUNT(O4:O120)=0,"",SUM(O4:O120))</f>
        <v/>
      </c>
      <c r="C2" s="15" t="s">
        <v>2212</v>
      </c>
      <c r="D2" s="16" t="str">
        <f>IF(COUNT(T4:T120)=0,"",SUM(T4:T120))</f>
        <v/>
      </c>
    </row>
    <row r="3" spans="1:21" ht="24">
      <c r="A3" s="18" t="s">
        <v>165</v>
      </c>
      <c r="B3" s="18" t="s">
        <v>166</v>
      </c>
      <c r="C3" s="18" t="s">
        <v>167</v>
      </c>
      <c r="D3" s="18" t="s">
        <v>168</v>
      </c>
      <c r="E3" s="18" t="s">
        <v>2213</v>
      </c>
      <c r="F3" s="18" t="s">
        <v>2214</v>
      </c>
      <c r="G3" s="18" t="s">
        <v>179</v>
      </c>
      <c r="H3" s="18" t="s">
        <v>2215</v>
      </c>
      <c r="I3" s="18" t="s">
        <v>2216</v>
      </c>
      <c r="J3" s="18" t="s">
        <v>2217</v>
      </c>
      <c r="K3" s="18" t="s">
        <v>178</v>
      </c>
      <c r="L3" s="18" t="s">
        <v>2218</v>
      </c>
      <c r="M3" s="18" t="s">
        <v>2219</v>
      </c>
      <c r="N3" s="18" t="s">
        <v>2220</v>
      </c>
      <c r="O3" s="18" t="s">
        <v>2221</v>
      </c>
      <c r="P3" s="18" t="s">
        <v>2222</v>
      </c>
      <c r="Q3" s="18" t="s">
        <v>2223</v>
      </c>
      <c r="R3" s="18" t="s">
        <v>2224</v>
      </c>
      <c r="S3" s="18" t="s">
        <v>2225</v>
      </c>
      <c r="T3" s="18" t="s">
        <v>2226</v>
      </c>
      <c r="U3" s="18" t="s">
        <v>2227</v>
      </c>
    </row>
    <row r="4" spans="1:21">
      <c r="A4" s="19" t="s">
        <v>415</v>
      </c>
      <c r="B4" s="19" t="s">
        <v>2228</v>
      </c>
      <c r="C4" s="19" t="s">
        <v>2229</v>
      </c>
      <c r="D4" s="19" t="s">
        <v>194</v>
      </c>
      <c r="E4" s="19" t="s">
        <v>2230</v>
      </c>
      <c r="F4" s="21">
        <v>0</v>
      </c>
      <c r="G4" s="19">
        <v>100</v>
      </c>
      <c r="H4" s="19" t="s">
        <v>2231</v>
      </c>
      <c r="I4" s="21"/>
      <c r="J4" s="19" t="s">
        <v>2231</v>
      </c>
      <c r="K4" s="19">
        <v>0.83620000000000005</v>
      </c>
      <c r="L4" s="19">
        <v>306461.98545048182</v>
      </c>
      <c r="M4" s="19" t="str">
        <f t="shared" ref="M4:M35" si="0">IF(OR(F4&lt;&gt;1,I4="",G4="",L4="",K4=""),"",L4*(I4/G4)^K4)</f>
        <v/>
      </c>
      <c r="N4" s="21">
        <v>1</v>
      </c>
      <c r="O4" s="19" t="str">
        <f t="shared" ref="O4:O35" si="1">IF(OR(F4&lt;&gt;1,M4="",N4=""),"",M4*N4)</f>
        <v/>
      </c>
      <c r="P4" s="21"/>
      <c r="Q4" s="21"/>
      <c r="R4" s="21"/>
      <c r="S4" s="21"/>
      <c r="T4" s="19" t="str">
        <f t="shared" ref="T4:T35" si="2">IF(OR(F4&lt;&gt;1,Q4="",S4=""),"",Q4*S4)</f>
        <v/>
      </c>
      <c r="U4" s="19" t="s">
        <v>2232</v>
      </c>
    </row>
    <row r="5" spans="1:21">
      <c r="A5" s="19" t="s">
        <v>415</v>
      </c>
      <c r="B5" s="19" t="s">
        <v>2228</v>
      </c>
      <c r="C5" s="19" t="s">
        <v>2233</v>
      </c>
      <c r="D5" s="19" t="s">
        <v>194</v>
      </c>
      <c r="E5" s="19" t="s">
        <v>2230</v>
      </c>
      <c r="F5" s="21">
        <v>0</v>
      </c>
      <c r="G5" s="19">
        <v>633</v>
      </c>
      <c r="H5" s="19" t="s">
        <v>2231</v>
      </c>
      <c r="I5" s="21"/>
      <c r="J5" s="19" t="s">
        <v>2231</v>
      </c>
      <c r="K5" s="19">
        <v>0.83620000000000005</v>
      </c>
      <c r="L5" s="19">
        <v>1897761.61784024</v>
      </c>
      <c r="M5" s="19" t="str">
        <f t="shared" si="0"/>
        <v/>
      </c>
      <c r="N5" s="21">
        <v>1</v>
      </c>
      <c r="O5" s="19" t="str">
        <f t="shared" si="1"/>
        <v/>
      </c>
      <c r="P5" s="21"/>
      <c r="Q5" s="21"/>
      <c r="R5" s="21"/>
      <c r="S5" s="21"/>
      <c r="T5" s="19" t="str">
        <f t="shared" si="2"/>
        <v/>
      </c>
      <c r="U5" s="19" t="s">
        <v>2232</v>
      </c>
    </row>
    <row r="6" spans="1:21">
      <c r="A6" s="19" t="s">
        <v>415</v>
      </c>
      <c r="B6" s="19" t="s">
        <v>2228</v>
      </c>
      <c r="C6" s="19" t="s">
        <v>2234</v>
      </c>
      <c r="D6" s="19" t="s">
        <v>194</v>
      </c>
      <c r="E6" s="19" t="s">
        <v>2230</v>
      </c>
      <c r="F6" s="21">
        <v>0</v>
      </c>
      <c r="G6" s="19">
        <v>1121</v>
      </c>
      <c r="H6" s="19" t="s">
        <v>2231</v>
      </c>
      <c r="I6" s="21"/>
      <c r="J6" s="19" t="s">
        <v>2231</v>
      </c>
      <c r="K6" s="19">
        <v>0.83620000000000005</v>
      </c>
      <c r="L6" s="19">
        <v>2802844.2535948842</v>
      </c>
      <c r="M6" s="19" t="str">
        <f t="shared" si="0"/>
        <v/>
      </c>
      <c r="N6" s="21">
        <v>1</v>
      </c>
      <c r="O6" s="19" t="str">
        <f t="shared" si="1"/>
        <v/>
      </c>
      <c r="P6" s="21"/>
      <c r="Q6" s="21"/>
      <c r="R6" s="21"/>
      <c r="S6" s="21"/>
      <c r="T6" s="19" t="str">
        <f t="shared" si="2"/>
        <v/>
      </c>
      <c r="U6" s="19" t="s">
        <v>2232</v>
      </c>
    </row>
    <row r="7" spans="1:21">
      <c r="A7" s="19" t="s">
        <v>415</v>
      </c>
      <c r="B7" s="19" t="s">
        <v>2228</v>
      </c>
      <c r="C7" s="19" t="s">
        <v>2235</v>
      </c>
      <c r="D7" s="19" t="s">
        <v>194</v>
      </c>
      <c r="E7" s="19" t="s">
        <v>2230</v>
      </c>
      <c r="F7" s="21">
        <v>0</v>
      </c>
      <c r="G7" s="19">
        <v>3326</v>
      </c>
      <c r="H7" s="19" t="s">
        <v>2231</v>
      </c>
      <c r="I7" s="21"/>
      <c r="J7" s="19" t="s">
        <v>2231</v>
      </c>
      <c r="K7" s="19">
        <v>0.83620000000000005</v>
      </c>
      <c r="L7" s="19">
        <v>6330158.300201905</v>
      </c>
      <c r="M7" s="19" t="str">
        <f t="shared" si="0"/>
        <v/>
      </c>
      <c r="N7" s="21">
        <v>1</v>
      </c>
      <c r="O7" s="19" t="str">
        <f t="shared" si="1"/>
        <v/>
      </c>
      <c r="P7" s="21"/>
      <c r="Q7" s="21"/>
      <c r="R7" s="21"/>
      <c r="S7" s="21"/>
      <c r="T7" s="19" t="str">
        <f t="shared" si="2"/>
        <v/>
      </c>
      <c r="U7" s="19" t="s">
        <v>2232</v>
      </c>
    </row>
    <row r="8" spans="1:21">
      <c r="A8" s="19" t="s">
        <v>415</v>
      </c>
      <c r="B8" s="19" t="s">
        <v>2228</v>
      </c>
      <c r="C8" s="19" t="s">
        <v>2236</v>
      </c>
      <c r="D8" s="19" t="s">
        <v>194</v>
      </c>
      <c r="E8" s="19" t="s">
        <v>2230</v>
      </c>
      <c r="F8" s="21">
        <v>0</v>
      </c>
      <c r="G8" s="19">
        <v>9341</v>
      </c>
      <c r="H8" s="19" t="s">
        <v>2231</v>
      </c>
      <c r="I8" s="21"/>
      <c r="J8" s="19" t="s">
        <v>2231</v>
      </c>
      <c r="K8" s="19">
        <v>0.83620000000000005</v>
      </c>
      <c r="L8" s="19">
        <v>14145495.84459033</v>
      </c>
      <c r="M8" s="19" t="str">
        <f t="shared" si="0"/>
        <v/>
      </c>
      <c r="N8" s="21">
        <v>1</v>
      </c>
      <c r="O8" s="19" t="str">
        <f t="shared" si="1"/>
        <v/>
      </c>
      <c r="P8" s="21"/>
      <c r="Q8" s="21"/>
      <c r="R8" s="21"/>
      <c r="S8" s="21"/>
      <c r="T8" s="19" t="str">
        <f t="shared" si="2"/>
        <v/>
      </c>
      <c r="U8" s="19" t="s">
        <v>2232</v>
      </c>
    </row>
    <row r="9" spans="1:21">
      <c r="A9" s="19" t="s">
        <v>415</v>
      </c>
      <c r="B9" s="19" t="s">
        <v>2228</v>
      </c>
      <c r="C9" s="19" t="s">
        <v>2237</v>
      </c>
      <c r="D9" s="19" t="s">
        <v>194</v>
      </c>
      <c r="E9" s="19" t="s">
        <v>2230</v>
      </c>
      <c r="F9" s="21">
        <v>0</v>
      </c>
      <c r="G9" s="19">
        <v>3304</v>
      </c>
      <c r="H9" s="19" t="s">
        <v>2231</v>
      </c>
      <c r="I9" s="21"/>
      <c r="J9" s="19" t="s">
        <v>2231</v>
      </c>
      <c r="K9" s="19">
        <v>0.64049999999999996</v>
      </c>
      <c r="L9" s="19">
        <v>11455785.73160363</v>
      </c>
      <c r="M9" s="19" t="str">
        <f t="shared" si="0"/>
        <v/>
      </c>
      <c r="N9" s="21">
        <v>1</v>
      </c>
      <c r="O9" s="19" t="str">
        <f t="shared" si="1"/>
        <v/>
      </c>
      <c r="P9" s="21"/>
      <c r="Q9" s="21"/>
      <c r="R9" s="21"/>
      <c r="S9" s="21"/>
      <c r="T9" s="19" t="str">
        <f t="shared" si="2"/>
        <v/>
      </c>
      <c r="U9" s="19" t="s">
        <v>2232</v>
      </c>
    </row>
    <row r="10" spans="1:21">
      <c r="A10" s="19" t="s">
        <v>415</v>
      </c>
      <c r="B10" s="19" t="s">
        <v>2228</v>
      </c>
      <c r="C10" s="19" t="s">
        <v>2238</v>
      </c>
      <c r="D10" s="19" t="s">
        <v>194</v>
      </c>
      <c r="E10" s="19" t="s">
        <v>2230</v>
      </c>
      <c r="F10" s="21">
        <v>0</v>
      </c>
      <c r="G10" s="19">
        <v>7038</v>
      </c>
      <c r="H10" s="19" t="s">
        <v>2231</v>
      </c>
      <c r="I10" s="21"/>
      <c r="J10" s="19" t="s">
        <v>2231</v>
      </c>
      <c r="K10" s="19">
        <v>0.64049999999999996</v>
      </c>
      <c r="L10" s="19">
        <v>15470031.943065589</v>
      </c>
      <c r="M10" s="19" t="str">
        <f t="shared" si="0"/>
        <v/>
      </c>
      <c r="N10" s="21">
        <v>1</v>
      </c>
      <c r="O10" s="19" t="str">
        <f t="shared" si="1"/>
        <v/>
      </c>
      <c r="P10" s="21"/>
      <c r="Q10" s="21"/>
      <c r="R10" s="21"/>
      <c r="S10" s="21"/>
      <c r="T10" s="19" t="str">
        <f t="shared" si="2"/>
        <v/>
      </c>
      <c r="U10" s="19" t="s">
        <v>2232</v>
      </c>
    </row>
    <row r="11" spans="1:21">
      <c r="A11" s="19" t="s">
        <v>415</v>
      </c>
      <c r="B11" s="19" t="s">
        <v>2228</v>
      </c>
      <c r="C11" s="19" t="s">
        <v>2239</v>
      </c>
      <c r="D11" s="19" t="s">
        <v>194</v>
      </c>
      <c r="E11" s="19" t="s">
        <v>2230</v>
      </c>
      <c r="F11" s="21">
        <v>0</v>
      </c>
      <c r="G11" s="19">
        <v>9950</v>
      </c>
      <c r="H11" s="19" t="s">
        <v>2231</v>
      </c>
      <c r="I11" s="21"/>
      <c r="J11" s="19" t="s">
        <v>2231</v>
      </c>
      <c r="K11" s="19">
        <v>0.64049999999999996</v>
      </c>
      <c r="L11" s="19">
        <v>20777277.20116901</v>
      </c>
      <c r="M11" s="19" t="str">
        <f t="shared" si="0"/>
        <v/>
      </c>
      <c r="N11" s="21">
        <v>1</v>
      </c>
      <c r="O11" s="19" t="str">
        <f t="shared" si="1"/>
        <v/>
      </c>
      <c r="P11" s="21"/>
      <c r="Q11" s="21"/>
      <c r="R11" s="21"/>
      <c r="S11" s="21"/>
      <c r="T11" s="19" t="str">
        <f t="shared" si="2"/>
        <v/>
      </c>
      <c r="U11" s="19" t="s">
        <v>2232</v>
      </c>
    </row>
    <row r="12" spans="1:21">
      <c r="A12" s="19" t="s">
        <v>415</v>
      </c>
      <c r="B12" s="19" t="s">
        <v>2228</v>
      </c>
      <c r="C12" s="19" t="s">
        <v>2240</v>
      </c>
      <c r="D12" s="19" t="s">
        <v>194</v>
      </c>
      <c r="E12" s="19" t="s">
        <v>2230</v>
      </c>
      <c r="F12" s="21">
        <v>0</v>
      </c>
      <c r="G12" s="19">
        <v>20336</v>
      </c>
      <c r="H12" s="19" t="s">
        <v>2231</v>
      </c>
      <c r="I12" s="21"/>
      <c r="J12" s="19" t="s">
        <v>2231</v>
      </c>
      <c r="K12" s="19">
        <v>0.64049999999999996</v>
      </c>
      <c r="L12" s="19">
        <v>32622400.693212658</v>
      </c>
      <c r="M12" s="19" t="str">
        <f t="shared" si="0"/>
        <v/>
      </c>
      <c r="N12" s="21">
        <v>1</v>
      </c>
      <c r="O12" s="19" t="str">
        <f t="shared" si="1"/>
        <v/>
      </c>
      <c r="P12" s="21"/>
      <c r="Q12" s="21"/>
      <c r="R12" s="21"/>
      <c r="S12" s="21"/>
      <c r="T12" s="19" t="str">
        <f t="shared" si="2"/>
        <v/>
      </c>
      <c r="U12" s="19" t="s">
        <v>2232</v>
      </c>
    </row>
    <row r="13" spans="1:21">
      <c r="A13" s="19" t="s">
        <v>415</v>
      </c>
      <c r="B13" s="19" t="s">
        <v>2228</v>
      </c>
      <c r="C13" s="19" t="s">
        <v>2241</v>
      </c>
      <c r="D13" s="19" t="s">
        <v>194</v>
      </c>
      <c r="E13" s="19" t="s">
        <v>2230</v>
      </c>
      <c r="F13" s="21">
        <v>0</v>
      </c>
      <c r="G13" s="19">
        <v>44488</v>
      </c>
      <c r="H13" s="19" t="s">
        <v>2231</v>
      </c>
      <c r="I13" s="21"/>
      <c r="J13" s="19" t="s">
        <v>2231</v>
      </c>
      <c r="K13" s="19">
        <v>0.64049999999999996</v>
      </c>
      <c r="L13" s="19">
        <v>58672700.859599471</v>
      </c>
      <c r="M13" s="19" t="str">
        <f t="shared" si="0"/>
        <v/>
      </c>
      <c r="N13" s="21">
        <v>1</v>
      </c>
      <c r="O13" s="19" t="str">
        <f t="shared" si="1"/>
        <v/>
      </c>
      <c r="P13" s="21"/>
      <c r="Q13" s="21"/>
      <c r="R13" s="21"/>
      <c r="S13" s="21"/>
      <c r="T13" s="19" t="str">
        <f t="shared" si="2"/>
        <v/>
      </c>
      <c r="U13" s="19" t="s">
        <v>2232</v>
      </c>
    </row>
    <row r="14" spans="1:21">
      <c r="A14" s="19" t="s">
        <v>415</v>
      </c>
      <c r="B14" s="19" t="s">
        <v>2228</v>
      </c>
      <c r="C14" s="19" t="s">
        <v>2242</v>
      </c>
      <c r="D14" s="19" t="s">
        <v>194</v>
      </c>
      <c r="E14" s="19" t="s">
        <v>2230</v>
      </c>
      <c r="F14" s="21">
        <v>0</v>
      </c>
      <c r="G14" s="19">
        <v>28</v>
      </c>
      <c r="H14" s="19" t="s">
        <v>2231</v>
      </c>
      <c r="I14" s="21"/>
      <c r="J14" s="19" t="s">
        <v>2231</v>
      </c>
      <c r="K14" s="19">
        <v>0.8</v>
      </c>
      <c r="L14" s="19">
        <v>127234.5622353034</v>
      </c>
      <c r="M14" s="19" t="str">
        <f t="shared" si="0"/>
        <v/>
      </c>
      <c r="N14" s="21">
        <v>1</v>
      </c>
      <c r="O14" s="19" t="str">
        <f t="shared" si="1"/>
        <v/>
      </c>
      <c r="P14" s="21"/>
      <c r="Q14" s="21"/>
      <c r="R14" s="21"/>
      <c r="S14" s="21"/>
      <c r="T14" s="19" t="str">
        <f t="shared" si="2"/>
        <v/>
      </c>
      <c r="U14" s="19" t="s">
        <v>2232</v>
      </c>
    </row>
    <row r="15" spans="1:21">
      <c r="A15" s="19" t="s">
        <v>415</v>
      </c>
      <c r="B15" s="19" t="s">
        <v>2228</v>
      </c>
      <c r="C15" s="19" t="s">
        <v>2243</v>
      </c>
      <c r="D15" s="19" t="s">
        <v>194</v>
      </c>
      <c r="E15" s="19" t="s">
        <v>2230</v>
      </c>
      <c r="F15" s="21">
        <v>0</v>
      </c>
      <c r="G15" s="19">
        <v>950</v>
      </c>
      <c r="H15" s="19" t="s">
        <v>2231</v>
      </c>
      <c r="I15" s="21"/>
      <c r="J15" s="19" t="s">
        <v>2231</v>
      </c>
      <c r="K15" s="19">
        <v>0.8</v>
      </c>
      <c r="L15" s="19">
        <v>2509817.9842927381</v>
      </c>
      <c r="M15" s="19" t="str">
        <f t="shared" si="0"/>
        <v/>
      </c>
      <c r="N15" s="21">
        <v>1</v>
      </c>
      <c r="O15" s="19" t="str">
        <f t="shared" si="1"/>
        <v/>
      </c>
      <c r="P15" s="21"/>
      <c r="Q15" s="21"/>
      <c r="R15" s="21"/>
      <c r="S15" s="21"/>
      <c r="T15" s="19" t="str">
        <f t="shared" si="2"/>
        <v/>
      </c>
      <c r="U15" s="19" t="s">
        <v>2232</v>
      </c>
    </row>
    <row r="16" spans="1:21">
      <c r="A16" s="19" t="s">
        <v>351</v>
      </c>
      <c r="B16" s="19" t="s">
        <v>2244</v>
      </c>
      <c r="C16" s="19" t="s">
        <v>2245</v>
      </c>
      <c r="D16" s="19" t="s">
        <v>194</v>
      </c>
      <c r="E16" s="19" t="s">
        <v>2230</v>
      </c>
      <c r="F16" s="21">
        <v>0</v>
      </c>
      <c r="G16" s="19">
        <v>1000</v>
      </c>
      <c r="H16" s="19" t="s">
        <v>2246</v>
      </c>
      <c r="I16" s="21"/>
      <c r="J16" s="19" t="s">
        <v>2246</v>
      </c>
      <c r="K16" s="19">
        <v>0.6</v>
      </c>
      <c r="L16" s="19">
        <v>2930000</v>
      </c>
      <c r="M16" s="19" t="str">
        <f t="shared" si="0"/>
        <v/>
      </c>
      <c r="N16" s="21">
        <v>1</v>
      </c>
      <c r="O16" s="19" t="str">
        <f t="shared" si="1"/>
        <v/>
      </c>
      <c r="P16" s="21"/>
      <c r="Q16" s="21"/>
      <c r="R16" s="21"/>
      <c r="S16" s="21"/>
      <c r="T16" s="19" t="str">
        <f t="shared" si="2"/>
        <v/>
      </c>
      <c r="U16" s="19" t="s">
        <v>2247</v>
      </c>
    </row>
    <row r="17" spans="1:21">
      <c r="A17" s="19" t="s">
        <v>428</v>
      </c>
      <c r="B17" s="19" t="s">
        <v>2248</v>
      </c>
      <c r="C17" s="19" t="s">
        <v>2249</v>
      </c>
      <c r="D17" s="19" t="s">
        <v>194</v>
      </c>
      <c r="E17" s="19" t="s">
        <v>2230</v>
      </c>
      <c r="F17" s="21">
        <v>0</v>
      </c>
      <c r="G17" s="19">
        <v>2</v>
      </c>
      <c r="H17" s="19" t="s">
        <v>2250</v>
      </c>
      <c r="I17" s="21"/>
      <c r="J17" s="19" t="s">
        <v>2250</v>
      </c>
      <c r="K17" s="19"/>
      <c r="L17" s="19">
        <v>86333</v>
      </c>
      <c r="M17" s="19" t="str">
        <f t="shared" si="0"/>
        <v/>
      </c>
      <c r="N17" s="21"/>
      <c r="O17" s="19" t="str">
        <f t="shared" si="1"/>
        <v/>
      </c>
      <c r="P17" s="21"/>
      <c r="Q17" s="21"/>
      <c r="R17" s="21"/>
      <c r="S17" s="21"/>
      <c r="T17" s="19" t="str">
        <f t="shared" si="2"/>
        <v/>
      </c>
      <c r="U17" s="19" t="s">
        <v>2251</v>
      </c>
    </row>
    <row r="18" spans="1:21">
      <c r="A18" s="19" t="s">
        <v>428</v>
      </c>
      <c r="B18" s="19" t="s">
        <v>2248</v>
      </c>
      <c r="C18" s="19" t="s">
        <v>2252</v>
      </c>
      <c r="D18" s="19" t="s">
        <v>194</v>
      </c>
      <c r="E18" s="19" t="s">
        <v>2230</v>
      </c>
      <c r="F18" s="21">
        <v>0</v>
      </c>
      <c r="G18" s="19">
        <v>5</v>
      </c>
      <c r="H18" s="19" t="s">
        <v>2250</v>
      </c>
      <c r="I18" s="21"/>
      <c r="J18" s="19" t="s">
        <v>2250</v>
      </c>
      <c r="K18" s="19"/>
      <c r="L18" s="19">
        <v>93321</v>
      </c>
      <c r="M18" s="19" t="str">
        <f t="shared" si="0"/>
        <v/>
      </c>
      <c r="N18" s="21"/>
      <c r="O18" s="19" t="str">
        <f t="shared" si="1"/>
        <v/>
      </c>
      <c r="P18" s="21"/>
      <c r="Q18" s="21"/>
      <c r="R18" s="21"/>
      <c r="S18" s="21"/>
      <c r="T18" s="19" t="str">
        <f t="shared" si="2"/>
        <v/>
      </c>
      <c r="U18" s="19" t="s">
        <v>2253</v>
      </c>
    </row>
    <row r="19" spans="1:21">
      <c r="A19" s="19" t="s">
        <v>428</v>
      </c>
      <c r="B19" s="19" t="s">
        <v>2248</v>
      </c>
      <c r="C19" s="19" t="s">
        <v>2254</v>
      </c>
      <c r="D19" s="19" t="s">
        <v>194</v>
      </c>
      <c r="E19" s="19" t="s">
        <v>2230</v>
      </c>
      <c r="F19" s="21">
        <v>0</v>
      </c>
      <c r="G19" s="19">
        <v>7</v>
      </c>
      <c r="H19" s="19" t="s">
        <v>2250</v>
      </c>
      <c r="I19" s="21"/>
      <c r="J19" s="19" t="s">
        <v>2250</v>
      </c>
      <c r="K19" s="19"/>
      <c r="L19" s="19">
        <v>155000</v>
      </c>
      <c r="M19" s="19" t="str">
        <f t="shared" si="0"/>
        <v/>
      </c>
      <c r="N19" s="21"/>
      <c r="O19" s="19" t="str">
        <f t="shared" si="1"/>
        <v/>
      </c>
      <c r="P19" s="21"/>
      <c r="Q19" s="21"/>
      <c r="R19" s="21"/>
      <c r="S19" s="21"/>
      <c r="T19" s="19" t="str">
        <f t="shared" si="2"/>
        <v/>
      </c>
      <c r="U19" s="19" t="s">
        <v>2253</v>
      </c>
    </row>
    <row r="20" spans="1:21">
      <c r="A20" s="19" t="s">
        <v>428</v>
      </c>
      <c r="B20" s="19" t="s">
        <v>2248</v>
      </c>
      <c r="C20" s="19" t="s">
        <v>2255</v>
      </c>
      <c r="D20" s="19" t="s">
        <v>194</v>
      </c>
      <c r="E20" s="19" t="s">
        <v>2230</v>
      </c>
      <c r="F20" s="21">
        <v>0</v>
      </c>
      <c r="G20" s="19">
        <v>8</v>
      </c>
      <c r="H20" s="19" t="s">
        <v>2250</v>
      </c>
      <c r="I20" s="21"/>
      <c r="J20" s="19" t="s">
        <v>2250</v>
      </c>
      <c r="K20" s="19"/>
      <c r="L20" s="19">
        <v>81535</v>
      </c>
      <c r="M20" s="19" t="str">
        <f t="shared" si="0"/>
        <v/>
      </c>
      <c r="N20" s="21"/>
      <c r="O20" s="19" t="str">
        <f t="shared" si="1"/>
        <v/>
      </c>
      <c r="P20" s="21"/>
      <c r="Q20" s="21"/>
      <c r="R20" s="21"/>
      <c r="S20" s="21"/>
      <c r="T20" s="19" t="str">
        <f t="shared" si="2"/>
        <v/>
      </c>
      <c r="U20" s="19" t="s">
        <v>2253</v>
      </c>
    </row>
    <row r="21" spans="1:21">
      <c r="A21" s="19" t="s">
        <v>428</v>
      </c>
      <c r="B21" s="19" t="s">
        <v>2248</v>
      </c>
      <c r="C21" s="19" t="s">
        <v>2256</v>
      </c>
      <c r="D21" s="19" t="s">
        <v>194</v>
      </c>
      <c r="E21" s="19" t="s">
        <v>2230</v>
      </c>
      <c r="F21" s="21">
        <v>0</v>
      </c>
      <c r="G21" s="19">
        <v>12</v>
      </c>
      <c r="H21" s="19" t="s">
        <v>2250</v>
      </c>
      <c r="I21" s="21"/>
      <c r="J21" s="19" t="s">
        <v>2250</v>
      </c>
      <c r="K21" s="19"/>
      <c r="L21" s="19">
        <v>81535</v>
      </c>
      <c r="M21" s="19" t="str">
        <f t="shared" si="0"/>
        <v/>
      </c>
      <c r="N21" s="21"/>
      <c r="O21" s="19" t="str">
        <f t="shared" si="1"/>
        <v/>
      </c>
      <c r="P21" s="21"/>
      <c r="Q21" s="21"/>
      <c r="R21" s="21"/>
      <c r="S21" s="21"/>
      <c r="T21" s="19" t="str">
        <f t="shared" si="2"/>
        <v/>
      </c>
      <c r="U21" s="19" t="s">
        <v>2253</v>
      </c>
    </row>
    <row r="22" spans="1:21">
      <c r="A22" s="19" t="s">
        <v>428</v>
      </c>
      <c r="B22" s="19" t="s">
        <v>2248</v>
      </c>
      <c r="C22" s="19" t="s">
        <v>2257</v>
      </c>
      <c r="D22" s="19" t="s">
        <v>194</v>
      </c>
      <c r="E22" s="19" t="s">
        <v>2230</v>
      </c>
      <c r="F22" s="21">
        <v>0</v>
      </c>
      <c r="G22" s="19">
        <v>15</v>
      </c>
      <c r="H22" s="19" t="s">
        <v>2250</v>
      </c>
      <c r="I22" s="21"/>
      <c r="J22" s="19" t="s">
        <v>2250</v>
      </c>
      <c r="K22" s="19"/>
      <c r="L22" s="19">
        <v>145000</v>
      </c>
      <c r="M22" s="19" t="str">
        <f t="shared" si="0"/>
        <v/>
      </c>
      <c r="N22" s="21"/>
      <c r="O22" s="19" t="str">
        <f t="shared" si="1"/>
        <v/>
      </c>
      <c r="P22" s="21"/>
      <c r="Q22" s="21"/>
      <c r="R22" s="21"/>
      <c r="S22" s="21"/>
      <c r="T22" s="19" t="str">
        <f t="shared" si="2"/>
        <v/>
      </c>
      <c r="U22" s="19" t="s">
        <v>2253</v>
      </c>
    </row>
    <row r="23" spans="1:21">
      <c r="A23" s="19" t="s">
        <v>428</v>
      </c>
      <c r="B23" s="19" t="s">
        <v>2248</v>
      </c>
      <c r="C23" s="19" t="s">
        <v>2258</v>
      </c>
      <c r="D23" s="19" t="s">
        <v>194</v>
      </c>
      <c r="E23" s="19" t="s">
        <v>2230</v>
      </c>
      <c r="F23" s="21">
        <v>0</v>
      </c>
      <c r="G23" s="19">
        <v>20</v>
      </c>
      <c r="H23" s="19" t="s">
        <v>2250</v>
      </c>
      <c r="I23" s="21"/>
      <c r="J23" s="19" t="s">
        <v>2250</v>
      </c>
      <c r="K23" s="19"/>
      <c r="L23" s="19">
        <v>100000</v>
      </c>
      <c r="M23" s="19" t="str">
        <f t="shared" si="0"/>
        <v/>
      </c>
      <c r="N23" s="21"/>
      <c r="O23" s="19" t="str">
        <f t="shared" si="1"/>
        <v/>
      </c>
      <c r="P23" s="21"/>
      <c r="Q23" s="21"/>
      <c r="R23" s="21"/>
      <c r="S23" s="21"/>
      <c r="T23" s="19" t="str">
        <f t="shared" si="2"/>
        <v/>
      </c>
      <c r="U23" s="19" t="s">
        <v>2253</v>
      </c>
    </row>
    <row r="24" spans="1:21">
      <c r="A24" s="19" t="s">
        <v>428</v>
      </c>
      <c r="B24" s="19" t="s">
        <v>2248</v>
      </c>
      <c r="C24" s="19" t="s">
        <v>2259</v>
      </c>
      <c r="D24" s="19" t="s">
        <v>194</v>
      </c>
      <c r="E24" s="19" t="s">
        <v>2230</v>
      </c>
      <c r="F24" s="21">
        <v>0</v>
      </c>
      <c r="G24" s="19">
        <v>30</v>
      </c>
      <c r="H24" s="19" t="s">
        <v>2250</v>
      </c>
      <c r="I24" s="21"/>
      <c r="J24" s="19" t="s">
        <v>2250</v>
      </c>
      <c r="K24" s="19"/>
      <c r="L24" s="19">
        <v>171667</v>
      </c>
      <c r="M24" s="19" t="str">
        <f t="shared" si="0"/>
        <v/>
      </c>
      <c r="N24" s="21"/>
      <c r="O24" s="19" t="str">
        <f t="shared" si="1"/>
        <v/>
      </c>
      <c r="P24" s="21"/>
      <c r="Q24" s="21"/>
      <c r="R24" s="21"/>
      <c r="S24" s="21"/>
      <c r="T24" s="19" t="str">
        <f t="shared" si="2"/>
        <v/>
      </c>
      <c r="U24" s="19" t="s">
        <v>2253</v>
      </c>
    </row>
    <row r="25" spans="1:21">
      <c r="A25" s="19" t="s">
        <v>428</v>
      </c>
      <c r="B25" s="19" t="s">
        <v>2248</v>
      </c>
      <c r="C25" s="19" t="s">
        <v>2260</v>
      </c>
      <c r="D25" s="19" t="s">
        <v>194</v>
      </c>
      <c r="E25" s="19" t="s">
        <v>2230</v>
      </c>
      <c r="F25" s="21">
        <v>0</v>
      </c>
      <c r="G25" s="19">
        <v>50</v>
      </c>
      <c r="H25" s="19" t="s">
        <v>2250</v>
      </c>
      <c r="I25" s="21"/>
      <c r="J25" s="19" t="s">
        <v>2250</v>
      </c>
      <c r="K25" s="19"/>
      <c r="L25" s="19">
        <v>250000</v>
      </c>
      <c r="M25" s="19" t="str">
        <f t="shared" si="0"/>
        <v/>
      </c>
      <c r="N25" s="21"/>
      <c r="O25" s="19" t="str">
        <f t="shared" si="1"/>
        <v/>
      </c>
      <c r="P25" s="21"/>
      <c r="Q25" s="21"/>
      <c r="R25" s="21"/>
      <c r="S25" s="21"/>
      <c r="T25" s="19" t="str">
        <f t="shared" si="2"/>
        <v/>
      </c>
      <c r="U25" s="19" t="s">
        <v>2253</v>
      </c>
    </row>
    <row r="26" spans="1:21">
      <c r="A26" s="19" t="s">
        <v>428</v>
      </c>
      <c r="B26" s="19" t="s">
        <v>2248</v>
      </c>
      <c r="C26" s="19" t="s">
        <v>2261</v>
      </c>
      <c r="D26" s="19" t="s">
        <v>194</v>
      </c>
      <c r="E26" s="19" t="s">
        <v>2230</v>
      </c>
      <c r="F26" s="21">
        <v>0</v>
      </c>
      <c r="G26" s="19">
        <v>90</v>
      </c>
      <c r="H26" s="19" t="s">
        <v>2250</v>
      </c>
      <c r="I26" s="21"/>
      <c r="J26" s="19" t="s">
        <v>2250</v>
      </c>
      <c r="K26" s="19"/>
      <c r="L26" s="19">
        <v>300000</v>
      </c>
      <c r="M26" s="19" t="str">
        <f t="shared" si="0"/>
        <v/>
      </c>
      <c r="N26" s="21"/>
      <c r="O26" s="19" t="str">
        <f t="shared" si="1"/>
        <v/>
      </c>
      <c r="P26" s="21"/>
      <c r="Q26" s="21"/>
      <c r="R26" s="21"/>
      <c r="S26" s="21"/>
      <c r="T26" s="19" t="str">
        <f t="shared" si="2"/>
        <v/>
      </c>
      <c r="U26" s="19" t="s">
        <v>2253</v>
      </c>
    </row>
    <row r="27" spans="1:21">
      <c r="A27" s="19" t="s">
        <v>436</v>
      </c>
      <c r="B27" s="19" t="s">
        <v>2262</v>
      </c>
      <c r="C27" s="19" t="s">
        <v>2263</v>
      </c>
      <c r="D27" s="19" t="s">
        <v>194</v>
      </c>
      <c r="E27" s="19" t="s">
        <v>2230</v>
      </c>
      <c r="F27" s="21">
        <v>0</v>
      </c>
      <c r="G27" s="19">
        <v>3</v>
      </c>
      <c r="H27" s="19" t="s">
        <v>443</v>
      </c>
      <c r="I27" s="21"/>
      <c r="J27" s="19" t="s">
        <v>443</v>
      </c>
      <c r="K27" s="19">
        <v>0.65</v>
      </c>
      <c r="L27" s="19">
        <v>300000</v>
      </c>
      <c r="M27" s="19" t="str">
        <f t="shared" si="0"/>
        <v/>
      </c>
      <c r="N27" s="21"/>
      <c r="O27" s="19" t="str">
        <f t="shared" si="1"/>
        <v/>
      </c>
      <c r="P27" s="21"/>
      <c r="Q27" s="21"/>
      <c r="R27" s="21"/>
      <c r="S27" s="21"/>
      <c r="T27" s="19" t="str">
        <f t="shared" si="2"/>
        <v/>
      </c>
      <c r="U27" s="19" t="s">
        <v>2264</v>
      </c>
    </row>
    <row r="28" spans="1:21">
      <c r="A28" s="19" t="s">
        <v>436</v>
      </c>
      <c r="B28" s="19" t="s">
        <v>2262</v>
      </c>
      <c r="C28" s="19" t="s">
        <v>2265</v>
      </c>
      <c r="D28" s="19" t="s">
        <v>194</v>
      </c>
      <c r="E28" s="19" t="s">
        <v>2230</v>
      </c>
      <c r="F28" s="21">
        <v>0</v>
      </c>
      <c r="G28" s="19">
        <v>8</v>
      </c>
      <c r="H28" s="19" t="s">
        <v>443</v>
      </c>
      <c r="I28" s="21"/>
      <c r="J28" s="19" t="s">
        <v>443</v>
      </c>
      <c r="K28" s="19">
        <v>0.65</v>
      </c>
      <c r="L28" s="19">
        <v>550000</v>
      </c>
      <c r="M28" s="19" t="str">
        <f t="shared" si="0"/>
        <v/>
      </c>
      <c r="N28" s="21"/>
      <c r="O28" s="19" t="str">
        <f t="shared" si="1"/>
        <v/>
      </c>
      <c r="P28" s="21"/>
      <c r="Q28" s="21"/>
      <c r="R28" s="21"/>
      <c r="S28" s="21"/>
      <c r="T28" s="19" t="str">
        <f t="shared" si="2"/>
        <v/>
      </c>
      <c r="U28" s="19" t="s">
        <v>2264</v>
      </c>
    </row>
    <row r="29" spans="1:21">
      <c r="A29" s="19" t="s">
        <v>436</v>
      </c>
      <c r="B29" s="19" t="s">
        <v>2262</v>
      </c>
      <c r="C29" s="19" t="s">
        <v>2266</v>
      </c>
      <c r="D29" s="19" t="s">
        <v>605</v>
      </c>
      <c r="E29" s="19" t="s">
        <v>2230</v>
      </c>
      <c r="F29" s="21">
        <v>0</v>
      </c>
      <c r="G29" s="19"/>
      <c r="H29" s="19"/>
      <c r="I29" s="21"/>
      <c r="J29" s="19"/>
      <c r="K29" s="19"/>
      <c r="L29" s="19"/>
      <c r="M29" s="19" t="str">
        <f t="shared" si="0"/>
        <v/>
      </c>
      <c r="N29" s="21"/>
      <c r="O29" s="19" t="str">
        <f t="shared" si="1"/>
        <v/>
      </c>
      <c r="P29" s="21"/>
      <c r="Q29" s="21"/>
      <c r="R29" s="21"/>
      <c r="S29" s="21"/>
      <c r="T29" s="19" t="str">
        <f t="shared" si="2"/>
        <v/>
      </c>
      <c r="U29" s="19" t="s">
        <v>2267</v>
      </c>
    </row>
    <row r="30" spans="1:21">
      <c r="A30" s="19" t="s">
        <v>401</v>
      </c>
      <c r="B30" s="19" t="s">
        <v>761</v>
      </c>
      <c r="C30" s="19" t="s">
        <v>2268</v>
      </c>
      <c r="D30" s="19" t="s">
        <v>194</v>
      </c>
      <c r="E30" s="19" t="s">
        <v>2230</v>
      </c>
      <c r="F30" s="21">
        <v>0</v>
      </c>
      <c r="G30" s="19">
        <v>1000</v>
      </c>
      <c r="H30" s="19" t="s">
        <v>2269</v>
      </c>
      <c r="I30" s="21"/>
      <c r="J30" s="19" t="s">
        <v>2269</v>
      </c>
      <c r="K30" s="19">
        <v>0.65</v>
      </c>
      <c r="L30" s="19">
        <v>1840800</v>
      </c>
      <c r="M30" s="19" t="str">
        <f t="shared" si="0"/>
        <v/>
      </c>
      <c r="N30" s="21"/>
      <c r="O30" s="19" t="str">
        <f t="shared" si="1"/>
        <v/>
      </c>
      <c r="P30" s="21"/>
      <c r="Q30" s="21"/>
      <c r="R30" s="21"/>
      <c r="S30" s="21"/>
      <c r="T30" s="19" t="str">
        <f t="shared" si="2"/>
        <v/>
      </c>
      <c r="U30" s="19" t="s">
        <v>2270</v>
      </c>
    </row>
    <row r="31" spans="1:21">
      <c r="A31" s="19" t="s">
        <v>401</v>
      </c>
      <c r="B31" s="19" t="s">
        <v>761</v>
      </c>
      <c r="C31" s="19" t="s">
        <v>2271</v>
      </c>
      <c r="D31" s="19" t="s">
        <v>567</v>
      </c>
      <c r="E31" s="19" t="s">
        <v>2230</v>
      </c>
      <c r="F31" s="21">
        <v>0</v>
      </c>
      <c r="G31" s="19">
        <v>1000</v>
      </c>
      <c r="H31" s="19" t="s">
        <v>2269</v>
      </c>
      <c r="I31" s="21"/>
      <c r="J31" s="19" t="s">
        <v>2269</v>
      </c>
      <c r="K31" s="19"/>
      <c r="L31" s="19">
        <v>539100</v>
      </c>
      <c r="M31" s="19" t="str">
        <f t="shared" si="0"/>
        <v/>
      </c>
      <c r="N31" s="21"/>
      <c r="O31" s="19" t="str">
        <f t="shared" si="1"/>
        <v/>
      </c>
      <c r="P31" s="21"/>
      <c r="Q31" s="21"/>
      <c r="R31" s="21"/>
      <c r="S31" s="21"/>
      <c r="T31" s="19" t="str">
        <f t="shared" si="2"/>
        <v/>
      </c>
      <c r="U31" s="19" t="s">
        <v>2272</v>
      </c>
    </row>
    <row r="32" spans="1:21">
      <c r="A32" s="19" t="s">
        <v>401</v>
      </c>
      <c r="B32" s="19" t="s">
        <v>761</v>
      </c>
      <c r="C32" s="19" t="s">
        <v>2273</v>
      </c>
      <c r="D32" s="19" t="s">
        <v>605</v>
      </c>
      <c r="E32" s="19" t="s">
        <v>2230</v>
      </c>
      <c r="F32" s="21">
        <v>0</v>
      </c>
      <c r="G32" s="19"/>
      <c r="H32" s="19"/>
      <c r="I32" s="21"/>
      <c r="J32" s="19"/>
      <c r="K32" s="19"/>
      <c r="L32" s="19">
        <v>0.22</v>
      </c>
      <c r="M32" s="19" t="str">
        <f t="shared" si="0"/>
        <v/>
      </c>
      <c r="N32" s="21"/>
      <c r="O32" s="19" t="str">
        <f t="shared" si="1"/>
        <v/>
      </c>
      <c r="P32" s="21"/>
      <c r="Q32" s="21"/>
      <c r="R32" s="21"/>
      <c r="S32" s="21"/>
      <c r="T32" s="19" t="str">
        <f t="shared" si="2"/>
        <v/>
      </c>
      <c r="U32" s="19" t="s">
        <v>2274</v>
      </c>
    </row>
    <row r="33" spans="1:21">
      <c r="A33" s="19" t="s">
        <v>401</v>
      </c>
      <c r="B33" s="19" t="s">
        <v>761</v>
      </c>
      <c r="C33" s="19" t="s">
        <v>2275</v>
      </c>
      <c r="D33" s="19" t="s">
        <v>194</v>
      </c>
      <c r="E33" s="19" t="s">
        <v>2230</v>
      </c>
      <c r="F33" s="21">
        <v>0</v>
      </c>
      <c r="G33" s="19">
        <v>100</v>
      </c>
      <c r="H33" s="19" t="s">
        <v>2269</v>
      </c>
      <c r="I33" s="21"/>
      <c r="J33" s="19" t="s">
        <v>2269</v>
      </c>
      <c r="K33" s="19">
        <v>0.65</v>
      </c>
      <c r="L33" s="19">
        <v>400000</v>
      </c>
      <c r="M33" s="19" t="str">
        <f t="shared" si="0"/>
        <v/>
      </c>
      <c r="N33" s="21"/>
      <c r="O33" s="19" t="str">
        <f t="shared" si="1"/>
        <v/>
      </c>
      <c r="P33" s="21"/>
      <c r="Q33" s="21"/>
      <c r="R33" s="21"/>
      <c r="S33" s="21"/>
      <c r="T33" s="19" t="str">
        <f t="shared" si="2"/>
        <v/>
      </c>
      <c r="U33" s="19" t="s">
        <v>2276</v>
      </c>
    </row>
    <row r="34" spans="1:21">
      <c r="A34" s="19" t="s">
        <v>401</v>
      </c>
      <c r="B34" s="19" t="s">
        <v>761</v>
      </c>
      <c r="C34" s="19" t="s">
        <v>2277</v>
      </c>
      <c r="D34" s="19" t="s">
        <v>194</v>
      </c>
      <c r="E34" s="19" t="s">
        <v>2230</v>
      </c>
      <c r="F34" s="21">
        <v>0</v>
      </c>
      <c r="G34" s="19">
        <v>600</v>
      </c>
      <c r="H34" s="19" t="s">
        <v>2269</v>
      </c>
      <c r="I34" s="21"/>
      <c r="J34" s="19" t="s">
        <v>2269</v>
      </c>
      <c r="K34" s="19">
        <v>0.65</v>
      </c>
      <c r="L34" s="19">
        <v>800000</v>
      </c>
      <c r="M34" s="19" t="str">
        <f t="shared" si="0"/>
        <v/>
      </c>
      <c r="N34" s="21"/>
      <c r="O34" s="19" t="str">
        <f t="shared" si="1"/>
        <v/>
      </c>
      <c r="P34" s="21"/>
      <c r="Q34" s="21"/>
      <c r="R34" s="21"/>
      <c r="S34" s="21"/>
      <c r="T34" s="19" t="str">
        <f t="shared" si="2"/>
        <v/>
      </c>
      <c r="U34" s="19" t="s">
        <v>2276</v>
      </c>
    </row>
    <row r="35" spans="1:21">
      <c r="A35" s="19" t="s">
        <v>401</v>
      </c>
      <c r="B35" s="19" t="s">
        <v>2278</v>
      </c>
      <c r="C35" s="19" t="s">
        <v>2279</v>
      </c>
      <c r="D35" s="19" t="s">
        <v>605</v>
      </c>
      <c r="E35" s="19" t="s">
        <v>2230</v>
      </c>
      <c r="F35" s="21">
        <v>0</v>
      </c>
      <c r="G35" s="19"/>
      <c r="H35" s="19"/>
      <c r="I35" s="21"/>
      <c r="J35" s="19"/>
      <c r="K35" s="19"/>
      <c r="L35" s="19"/>
      <c r="M35" s="19" t="str">
        <f t="shared" si="0"/>
        <v/>
      </c>
      <c r="N35" s="21"/>
      <c r="O35" s="19" t="str">
        <f t="shared" si="1"/>
        <v/>
      </c>
      <c r="P35" s="21"/>
      <c r="Q35" s="21"/>
      <c r="R35" s="21"/>
      <c r="S35" s="21"/>
      <c r="T35" s="19" t="str">
        <f t="shared" si="2"/>
        <v/>
      </c>
      <c r="U35" s="19" t="s">
        <v>2280</v>
      </c>
    </row>
    <row r="36" spans="1:21">
      <c r="A36" s="19" t="s">
        <v>222</v>
      </c>
      <c r="B36" s="19" t="s">
        <v>2281</v>
      </c>
      <c r="C36" s="19" t="s">
        <v>2282</v>
      </c>
      <c r="D36" s="19" t="s">
        <v>194</v>
      </c>
      <c r="E36" s="19" t="s">
        <v>2230</v>
      </c>
      <c r="F36" s="21">
        <v>0</v>
      </c>
      <c r="G36" s="19">
        <v>1</v>
      </c>
      <c r="H36" s="19" t="s">
        <v>229</v>
      </c>
      <c r="I36" s="21"/>
      <c r="J36" s="19" t="s">
        <v>229</v>
      </c>
      <c r="K36" s="19">
        <v>0.85</v>
      </c>
      <c r="L36" s="19"/>
      <c r="M36" s="19" t="str">
        <f t="shared" ref="M36:M67" si="3">IF(OR(F36&lt;&gt;1,I36="",G36="",L36="",K36=""),"",L36*(I36/G36)^K36)</f>
        <v/>
      </c>
      <c r="N36" s="21"/>
      <c r="O36" s="19" t="str">
        <f t="shared" ref="O36:O67" si="4">IF(OR(F36&lt;&gt;1,M36="",N36=""),"",M36*N36)</f>
        <v/>
      </c>
      <c r="P36" s="21"/>
      <c r="Q36" s="21"/>
      <c r="R36" s="21"/>
      <c r="S36" s="21"/>
      <c r="T36" s="19" t="str">
        <f t="shared" ref="T36:T67" si="5">IF(OR(F36&lt;&gt;1,Q36="",S36=""),"",Q36*S36)</f>
        <v/>
      </c>
      <c r="U36" s="19" t="s">
        <v>2283</v>
      </c>
    </row>
    <row r="37" spans="1:21">
      <c r="A37" s="19" t="s">
        <v>222</v>
      </c>
      <c r="B37" s="19" t="s">
        <v>2281</v>
      </c>
      <c r="C37" s="19" t="s">
        <v>2284</v>
      </c>
      <c r="D37" s="19" t="s">
        <v>194</v>
      </c>
      <c r="E37" s="19" t="s">
        <v>2230</v>
      </c>
      <c r="F37" s="21">
        <v>0</v>
      </c>
      <c r="G37" s="19">
        <v>1</v>
      </c>
      <c r="H37" s="19" t="s">
        <v>229</v>
      </c>
      <c r="I37" s="21"/>
      <c r="J37" s="19" t="s">
        <v>229</v>
      </c>
      <c r="K37" s="19">
        <v>0.7</v>
      </c>
      <c r="L37" s="19"/>
      <c r="M37" s="19" t="str">
        <f t="shared" si="3"/>
        <v/>
      </c>
      <c r="N37" s="21"/>
      <c r="O37" s="19" t="str">
        <f t="shared" si="4"/>
        <v/>
      </c>
      <c r="P37" s="21"/>
      <c r="Q37" s="21"/>
      <c r="R37" s="21"/>
      <c r="S37" s="21"/>
      <c r="T37" s="19" t="str">
        <f t="shared" si="5"/>
        <v/>
      </c>
      <c r="U37" s="19" t="s">
        <v>2283</v>
      </c>
    </row>
    <row r="38" spans="1:21">
      <c r="A38" s="19" t="s">
        <v>222</v>
      </c>
      <c r="B38" s="19" t="s">
        <v>2281</v>
      </c>
      <c r="C38" s="19" t="s">
        <v>1497</v>
      </c>
      <c r="D38" s="19" t="s">
        <v>194</v>
      </c>
      <c r="E38" s="19" t="s">
        <v>2230</v>
      </c>
      <c r="F38" s="21">
        <v>0</v>
      </c>
      <c r="G38" s="19">
        <v>1</v>
      </c>
      <c r="H38" s="19" t="s">
        <v>2250</v>
      </c>
      <c r="I38" s="21"/>
      <c r="J38" s="19" t="s">
        <v>2250</v>
      </c>
      <c r="K38" s="19">
        <v>0.6</v>
      </c>
      <c r="L38" s="19"/>
      <c r="M38" s="19" t="str">
        <f t="shared" si="3"/>
        <v/>
      </c>
      <c r="N38" s="21"/>
      <c r="O38" s="19" t="str">
        <f t="shared" si="4"/>
        <v/>
      </c>
      <c r="P38" s="21"/>
      <c r="Q38" s="21"/>
      <c r="R38" s="21"/>
      <c r="S38" s="21"/>
      <c r="T38" s="19" t="str">
        <f t="shared" si="5"/>
        <v/>
      </c>
      <c r="U38" s="19" t="s">
        <v>2283</v>
      </c>
    </row>
    <row r="39" spans="1:21">
      <c r="A39" s="19" t="s">
        <v>222</v>
      </c>
      <c r="B39" s="19" t="s">
        <v>2281</v>
      </c>
      <c r="C39" s="19" t="s">
        <v>2285</v>
      </c>
      <c r="D39" s="19" t="s">
        <v>194</v>
      </c>
      <c r="E39" s="19" t="s">
        <v>2230</v>
      </c>
      <c r="F39" s="21">
        <v>0</v>
      </c>
      <c r="G39" s="19">
        <v>1</v>
      </c>
      <c r="H39" s="19" t="s">
        <v>2286</v>
      </c>
      <c r="I39" s="21"/>
      <c r="J39" s="19" t="s">
        <v>2286</v>
      </c>
      <c r="K39" s="19">
        <v>0.6</v>
      </c>
      <c r="L39" s="19"/>
      <c r="M39" s="19" t="str">
        <f t="shared" si="3"/>
        <v/>
      </c>
      <c r="N39" s="21"/>
      <c r="O39" s="19" t="str">
        <f t="shared" si="4"/>
        <v/>
      </c>
      <c r="P39" s="21"/>
      <c r="Q39" s="21"/>
      <c r="R39" s="21"/>
      <c r="S39" s="21"/>
      <c r="T39" s="19" t="str">
        <f t="shared" si="5"/>
        <v/>
      </c>
      <c r="U39" s="19" t="s">
        <v>2283</v>
      </c>
    </row>
    <row r="40" spans="1:21">
      <c r="A40" s="19" t="s">
        <v>222</v>
      </c>
      <c r="B40" s="19" t="s">
        <v>2281</v>
      </c>
      <c r="C40" s="19" t="s">
        <v>2287</v>
      </c>
      <c r="D40" s="19" t="s">
        <v>194</v>
      </c>
      <c r="E40" s="19" t="s">
        <v>2230</v>
      </c>
      <c r="F40" s="21">
        <v>0</v>
      </c>
      <c r="G40" s="19">
        <v>1</v>
      </c>
      <c r="H40" s="19" t="s">
        <v>2288</v>
      </c>
      <c r="I40" s="21"/>
      <c r="J40" s="19" t="s">
        <v>2288</v>
      </c>
      <c r="K40" s="19">
        <v>0.6</v>
      </c>
      <c r="L40" s="19"/>
      <c r="M40" s="19" t="str">
        <f t="shared" si="3"/>
        <v/>
      </c>
      <c r="N40" s="21"/>
      <c r="O40" s="19" t="str">
        <f t="shared" si="4"/>
        <v/>
      </c>
      <c r="P40" s="21"/>
      <c r="Q40" s="21"/>
      <c r="R40" s="21"/>
      <c r="S40" s="21"/>
      <c r="T40" s="19" t="str">
        <f t="shared" si="5"/>
        <v/>
      </c>
      <c r="U40" s="19" t="s">
        <v>2283</v>
      </c>
    </row>
    <row r="41" spans="1:21">
      <c r="A41" s="19" t="s">
        <v>276</v>
      </c>
      <c r="B41" s="19" t="s">
        <v>2281</v>
      </c>
      <c r="C41" s="19" t="s">
        <v>2289</v>
      </c>
      <c r="D41" s="19" t="s">
        <v>194</v>
      </c>
      <c r="E41" s="19" t="s">
        <v>2230</v>
      </c>
      <c r="F41" s="21">
        <v>0</v>
      </c>
      <c r="G41" s="19">
        <v>1</v>
      </c>
      <c r="H41" s="19" t="s">
        <v>294</v>
      </c>
      <c r="I41" s="21"/>
      <c r="J41" s="19" t="s">
        <v>294</v>
      </c>
      <c r="K41" s="19">
        <v>0.6</v>
      </c>
      <c r="L41" s="19"/>
      <c r="M41" s="19" t="str">
        <f t="shared" si="3"/>
        <v/>
      </c>
      <c r="N41" s="21"/>
      <c r="O41" s="19" t="str">
        <f t="shared" si="4"/>
        <v/>
      </c>
      <c r="P41" s="21"/>
      <c r="Q41" s="21"/>
      <c r="R41" s="21"/>
      <c r="S41" s="21"/>
      <c r="T41" s="19" t="str">
        <f t="shared" si="5"/>
        <v/>
      </c>
      <c r="U41" s="19" t="s">
        <v>2290</v>
      </c>
    </row>
    <row r="42" spans="1:21">
      <c r="A42" s="19" t="s">
        <v>289</v>
      </c>
      <c r="B42" s="19" t="s">
        <v>2281</v>
      </c>
      <c r="C42" s="19" t="s">
        <v>2291</v>
      </c>
      <c r="D42" s="19" t="s">
        <v>194</v>
      </c>
      <c r="E42" s="19" t="s">
        <v>2230</v>
      </c>
      <c r="F42" s="21">
        <v>0</v>
      </c>
      <c r="G42" s="19">
        <v>1</v>
      </c>
      <c r="H42" s="19" t="s">
        <v>294</v>
      </c>
      <c r="I42" s="21"/>
      <c r="J42" s="19" t="s">
        <v>294</v>
      </c>
      <c r="K42" s="19">
        <v>0.7</v>
      </c>
      <c r="L42" s="19"/>
      <c r="M42" s="19" t="str">
        <f t="shared" si="3"/>
        <v/>
      </c>
      <c r="N42" s="21"/>
      <c r="O42" s="19" t="str">
        <f t="shared" si="4"/>
        <v/>
      </c>
      <c r="P42" s="21"/>
      <c r="Q42" s="21"/>
      <c r="R42" s="21"/>
      <c r="S42" s="21"/>
      <c r="T42" s="19" t="str">
        <f t="shared" si="5"/>
        <v/>
      </c>
      <c r="U42" s="19" t="s">
        <v>2292</v>
      </c>
    </row>
    <row r="43" spans="1:21">
      <c r="A43" s="19" t="s">
        <v>289</v>
      </c>
      <c r="B43" s="19" t="s">
        <v>2281</v>
      </c>
      <c r="C43" s="19" t="s">
        <v>1418</v>
      </c>
      <c r="D43" s="19" t="s">
        <v>194</v>
      </c>
      <c r="E43" s="19" t="s">
        <v>2230</v>
      </c>
      <c r="F43" s="21">
        <v>0</v>
      </c>
      <c r="G43" s="19">
        <v>1</v>
      </c>
      <c r="H43" s="19" t="s">
        <v>2250</v>
      </c>
      <c r="I43" s="21"/>
      <c r="J43" s="19" t="s">
        <v>2250</v>
      </c>
      <c r="K43" s="19">
        <v>0.6</v>
      </c>
      <c r="L43" s="19"/>
      <c r="M43" s="19" t="str">
        <f t="shared" si="3"/>
        <v/>
      </c>
      <c r="N43" s="21"/>
      <c r="O43" s="19" t="str">
        <f t="shared" si="4"/>
        <v/>
      </c>
      <c r="P43" s="21"/>
      <c r="Q43" s="21"/>
      <c r="R43" s="21"/>
      <c r="S43" s="21"/>
      <c r="T43" s="19" t="str">
        <f t="shared" si="5"/>
        <v/>
      </c>
      <c r="U43" s="19" t="s">
        <v>2292</v>
      </c>
    </row>
    <row r="44" spans="1:21">
      <c r="A44" s="19" t="s">
        <v>289</v>
      </c>
      <c r="B44" s="19" t="s">
        <v>2281</v>
      </c>
      <c r="C44" s="19" t="s">
        <v>2293</v>
      </c>
      <c r="D44" s="19" t="s">
        <v>194</v>
      </c>
      <c r="E44" s="19" t="s">
        <v>2230</v>
      </c>
      <c r="F44" s="21">
        <v>0</v>
      </c>
      <c r="G44" s="19">
        <v>1</v>
      </c>
      <c r="H44" s="19" t="s">
        <v>2294</v>
      </c>
      <c r="I44" s="21"/>
      <c r="J44" s="19" t="s">
        <v>2294</v>
      </c>
      <c r="K44" s="19">
        <v>0.7</v>
      </c>
      <c r="L44" s="19"/>
      <c r="M44" s="19" t="str">
        <f t="shared" si="3"/>
        <v/>
      </c>
      <c r="N44" s="21"/>
      <c r="O44" s="19" t="str">
        <f t="shared" si="4"/>
        <v/>
      </c>
      <c r="P44" s="21"/>
      <c r="Q44" s="21"/>
      <c r="R44" s="21"/>
      <c r="S44" s="21"/>
      <c r="T44" s="19" t="str">
        <f t="shared" si="5"/>
        <v/>
      </c>
      <c r="U44" s="19" t="s">
        <v>2292</v>
      </c>
    </row>
    <row r="45" spans="1:21">
      <c r="A45" s="19" t="s">
        <v>289</v>
      </c>
      <c r="B45" s="19" t="s">
        <v>2281</v>
      </c>
      <c r="C45" s="19" t="s">
        <v>2295</v>
      </c>
      <c r="D45" s="19" t="s">
        <v>194</v>
      </c>
      <c r="E45" s="19" t="s">
        <v>2230</v>
      </c>
      <c r="F45" s="21">
        <v>0</v>
      </c>
      <c r="G45" s="19">
        <v>1</v>
      </c>
      <c r="H45" s="19" t="s">
        <v>2296</v>
      </c>
      <c r="I45" s="21"/>
      <c r="J45" s="19" t="s">
        <v>2296</v>
      </c>
      <c r="K45" s="19">
        <v>0.7</v>
      </c>
      <c r="L45" s="19"/>
      <c r="M45" s="19" t="str">
        <f t="shared" si="3"/>
        <v/>
      </c>
      <c r="N45" s="21"/>
      <c r="O45" s="19" t="str">
        <f t="shared" si="4"/>
        <v/>
      </c>
      <c r="P45" s="21"/>
      <c r="Q45" s="21"/>
      <c r="R45" s="21"/>
      <c r="S45" s="21"/>
      <c r="T45" s="19" t="str">
        <f t="shared" si="5"/>
        <v/>
      </c>
      <c r="U45" s="19" t="s">
        <v>2292</v>
      </c>
    </row>
    <row r="46" spans="1:21">
      <c r="A46" s="19" t="s">
        <v>289</v>
      </c>
      <c r="B46" s="19" t="s">
        <v>2281</v>
      </c>
      <c r="C46" s="19" t="s">
        <v>2297</v>
      </c>
      <c r="D46" s="19" t="s">
        <v>194</v>
      </c>
      <c r="E46" s="19" t="s">
        <v>2230</v>
      </c>
      <c r="F46" s="21">
        <v>0</v>
      </c>
      <c r="G46" s="19">
        <v>1</v>
      </c>
      <c r="H46" s="19" t="s">
        <v>344</v>
      </c>
      <c r="I46" s="21"/>
      <c r="J46" s="19" t="s">
        <v>344</v>
      </c>
      <c r="K46" s="19">
        <v>0.7</v>
      </c>
      <c r="L46" s="19"/>
      <c r="M46" s="19" t="str">
        <f t="shared" si="3"/>
        <v/>
      </c>
      <c r="N46" s="21"/>
      <c r="O46" s="19" t="str">
        <f t="shared" si="4"/>
        <v/>
      </c>
      <c r="P46" s="21"/>
      <c r="Q46" s="21"/>
      <c r="R46" s="21"/>
      <c r="S46" s="21"/>
      <c r="T46" s="19" t="str">
        <f t="shared" si="5"/>
        <v/>
      </c>
      <c r="U46" s="19" t="s">
        <v>2292</v>
      </c>
    </row>
    <row r="47" spans="1:21">
      <c r="A47" s="19" t="s">
        <v>351</v>
      </c>
      <c r="B47" s="19" t="s">
        <v>2281</v>
      </c>
      <c r="C47" s="19" t="s">
        <v>2298</v>
      </c>
      <c r="D47" s="19" t="s">
        <v>194</v>
      </c>
      <c r="E47" s="19" t="s">
        <v>2230</v>
      </c>
      <c r="F47" s="21">
        <v>0</v>
      </c>
      <c r="G47" s="19">
        <v>1</v>
      </c>
      <c r="H47" s="19" t="s">
        <v>294</v>
      </c>
      <c r="I47" s="21"/>
      <c r="J47" s="19" t="s">
        <v>294</v>
      </c>
      <c r="K47" s="19">
        <v>0.7</v>
      </c>
      <c r="L47" s="19"/>
      <c r="M47" s="19" t="str">
        <f t="shared" si="3"/>
        <v/>
      </c>
      <c r="N47" s="21"/>
      <c r="O47" s="19" t="str">
        <f t="shared" si="4"/>
        <v/>
      </c>
      <c r="P47" s="21"/>
      <c r="Q47" s="21"/>
      <c r="R47" s="21"/>
      <c r="S47" s="21"/>
      <c r="T47" s="19" t="str">
        <f t="shared" si="5"/>
        <v/>
      </c>
      <c r="U47" s="19" t="s">
        <v>2299</v>
      </c>
    </row>
    <row r="48" spans="1:21">
      <c r="A48" s="19" t="s">
        <v>351</v>
      </c>
      <c r="B48" s="19" t="s">
        <v>2281</v>
      </c>
      <c r="C48" s="19" t="s">
        <v>2300</v>
      </c>
      <c r="D48" s="19" t="s">
        <v>194</v>
      </c>
      <c r="E48" s="19" t="s">
        <v>2230</v>
      </c>
      <c r="F48" s="21">
        <v>0</v>
      </c>
      <c r="G48" s="19">
        <v>1</v>
      </c>
      <c r="H48" s="19" t="s">
        <v>294</v>
      </c>
      <c r="I48" s="21"/>
      <c r="J48" s="19" t="s">
        <v>294</v>
      </c>
      <c r="K48" s="19">
        <v>0.5</v>
      </c>
      <c r="L48" s="19"/>
      <c r="M48" s="19" t="str">
        <f t="shared" si="3"/>
        <v/>
      </c>
      <c r="N48" s="21"/>
      <c r="O48" s="19" t="str">
        <f t="shared" si="4"/>
        <v/>
      </c>
      <c r="P48" s="21"/>
      <c r="Q48" s="21"/>
      <c r="R48" s="21"/>
      <c r="S48" s="21"/>
      <c r="T48" s="19" t="str">
        <f t="shared" si="5"/>
        <v/>
      </c>
      <c r="U48" s="19" t="s">
        <v>2299</v>
      </c>
    </row>
    <row r="49" spans="1:21">
      <c r="A49" s="19" t="s">
        <v>351</v>
      </c>
      <c r="B49" s="19" t="s">
        <v>2281</v>
      </c>
      <c r="C49" s="19" t="s">
        <v>2301</v>
      </c>
      <c r="D49" s="19" t="s">
        <v>194</v>
      </c>
      <c r="E49" s="19" t="s">
        <v>2230</v>
      </c>
      <c r="F49" s="21">
        <v>0</v>
      </c>
      <c r="G49" s="19">
        <v>1</v>
      </c>
      <c r="H49" s="19" t="s">
        <v>2302</v>
      </c>
      <c r="I49" s="21"/>
      <c r="J49" s="19" t="s">
        <v>2302</v>
      </c>
      <c r="K49" s="19">
        <v>0.52</v>
      </c>
      <c r="L49" s="19"/>
      <c r="M49" s="19" t="str">
        <f t="shared" si="3"/>
        <v/>
      </c>
      <c r="N49" s="21"/>
      <c r="O49" s="19" t="str">
        <f t="shared" si="4"/>
        <v/>
      </c>
      <c r="P49" s="21"/>
      <c r="Q49" s="21"/>
      <c r="R49" s="21"/>
      <c r="S49" s="21"/>
      <c r="T49" s="19" t="str">
        <f t="shared" si="5"/>
        <v/>
      </c>
      <c r="U49" s="19" t="s">
        <v>2299</v>
      </c>
    </row>
    <row r="50" spans="1:21">
      <c r="A50" s="19" t="s">
        <v>401</v>
      </c>
      <c r="B50" s="19" t="s">
        <v>2281</v>
      </c>
      <c r="C50" s="19" t="s">
        <v>2303</v>
      </c>
      <c r="D50" s="19" t="s">
        <v>194</v>
      </c>
      <c r="E50" s="19" t="s">
        <v>2230</v>
      </c>
      <c r="F50" s="21">
        <v>0</v>
      </c>
      <c r="G50" s="19">
        <v>1</v>
      </c>
      <c r="H50" s="19" t="s">
        <v>71</v>
      </c>
      <c r="I50" s="21"/>
      <c r="J50" s="19" t="s">
        <v>71</v>
      </c>
      <c r="K50" s="19">
        <v>0.7</v>
      </c>
      <c r="L50" s="19"/>
      <c r="M50" s="19" t="str">
        <f t="shared" si="3"/>
        <v/>
      </c>
      <c r="N50" s="21"/>
      <c r="O50" s="19" t="str">
        <f t="shared" si="4"/>
        <v/>
      </c>
      <c r="P50" s="21"/>
      <c r="Q50" s="21"/>
      <c r="R50" s="21"/>
      <c r="S50" s="21"/>
      <c r="T50" s="19" t="str">
        <f t="shared" si="5"/>
        <v/>
      </c>
      <c r="U50" s="19" t="s">
        <v>2304</v>
      </c>
    </row>
    <row r="51" spans="1:21">
      <c r="A51" s="19" t="s">
        <v>401</v>
      </c>
      <c r="B51" s="19" t="s">
        <v>2281</v>
      </c>
      <c r="C51" s="19" t="s">
        <v>2305</v>
      </c>
      <c r="D51" s="19" t="s">
        <v>194</v>
      </c>
      <c r="E51" s="19" t="s">
        <v>2230</v>
      </c>
      <c r="F51" s="21">
        <v>0</v>
      </c>
      <c r="G51" s="19">
        <v>1</v>
      </c>
      <c r="H51" s="19" t="s">
        <v>2269</v>
      </c>
      <c r="I51" s="21"/>
      <c r="J51" s="19" t="s">
        <v>2269</v>
      </c>
      <c r="K51" s="19">
        <v>0.65</v>
      </c>
      <c r="L51" s="19"/>
      <c r="M51" s="19" t="str">
        <f t="shared" si="3"/>
        <v/>
      </c>
      <c r="N51" s="21"/>
      <c r="O51" s="19" t="str">
        <f t="shared" si="4"/>
        <v/>
      </c>
      <c r="P51" s="21"/>
      <c r="Q51" s="21"/>
      <c r="R51" s="21"/>
      <c r="S51" s="21"/>
      <c r="T51" s="19" t="str">
        <f t="shared" si="5"/>
        <v/>
      </c>
      <c r="U51" s="19" t="s">
        <v>2304</v>
      </c>
    </row>
    <row r="52" spans="1:21">
      <c r="A52" s="19" t="s">
        <v>436</v>
      </c>
      <c r="B52" s="19" t="s">
        <v>2281</v>
      </c>
      <c r="C52" s="19" t="s">
        <v>2306</v>
      </c>
      <c r="D52" s="19" t="s">
        <v>194</v>
      </c>
      <c r="E52" s="19" t="s">
        <v>2230</v>
      </c>
      <c r="F52" s="21">
        <v>0</v>
      </c>
      <c r="G52" s="19">
        <v>1</v>
      </c>
      <c r="H52" s="19" t="s">
        <v>2307</v>
      </c>
      <c r="I52" s="21"/>
      <c r="J52" s="19" t="s">
        <v>2307</v>
      </c>
      <c r="K52" s="19">
        <v>0.6</v>
      </c>
      <c r="L52" s="19"/>
      <c r="M52" s="19" t="str">
        <f t="shared" si="3"/>
        <v/>
      </c>
      <c r="N52" s="21"/>
      <c r="O52" s="19" t="str">
        <f t="shared" si="4"/>
        <v/>
      </c>
      <c r="P52" s="21"/>
      <c r="Q52" s="21"/>
      <c r="R52" s="21"/>
      <c r="S52" s="21"/>
      <c r="T52" s="19" t="str">
        <f t="shared" si="5"/>
        <v/>
      </c>
      <c r="U52" s="19" t="s">
        <v>2308</v>
      </c>
    </row>
    <row r="53" spans="1:21">
      <c r="A53" s="19" t="s">
        <v>436</v>
      </c>
      <c r="B53" s="19" t="s">
        <v>2281</v>
      </c>
      <c r="C53" s="19" t="s">
        <v>2309</v>
      </c>
      <c r="D53" s="19" t="s">
        <v>194</v>
      </c>
      <c r="E53" s="19" t="s">
        <v>2230</v>
      </c>
      <c r="F53" s="21">
        <v>0</v>
      </c>
      <c r="G53" s="19">
        <v>1</v>
      </c>
      <c r="H53" s="19" t="s">
        <v>2310</v>
      </c>
      <c r="I53" s="21"/>
      <c r="J53" s="19" t="s">
        <v>2310</v>
      </c>
      <c r="K53" s="19">
        <v>0.7</v>
      </c>
      <c r="L53" s="19"/>
      <c r="M53" s="19" t="str">
        <f t="shared" si="3"/>
        <v/>
      </c>
      <c r="N53" s="21"/>
      <c r="O53" s="19" t="str">
        <f t="shared" si="4"/>
        <v/>
      </c>
      <c r="P53" s="21"/>
      <c r="Q53" s="21"/>
      <c r="R53" s="21"/>
      <c r="S53" s="21"/>
      <c r="T53" s="19" t="str">
        <f t="shared" si="5"/>
        <v/>
      </c>
      <c r="U53" s="19" t="s">
        <v>2308</v>
      </c>
    </row>
    <row r="54" spans="1:21">
      <c r="A54" s="19" t="s">
        <v>436</v>
      </c>
      <c r="B54" s="19" t="s">
        <v>2281</v>
      </c>
      <c r="C54" s="19" t="s">
        <v>2311</v>
      </c>
      <c r="D54" s="19" t="s">
        <v>194</v>
      </c>
      <c r="E54" s="19" t="s">
        <v>2230</v>
      </c>
      <c r="F54" s="21">
        <v>0</v>
      </c>
      <c r="G54" s="19">
        <v>1</v>
      </c>
      <c r="H54" s="19" t="s">
        <v>2296</v>
      </c>
      <c r="I54" s="21"/>
      <c r="J54" s="19" t="s">
        <v>2296</v>
      </c>
      <c r="K54" s="19">
        <v>0.65</v>
      </c>
      <c r="L54" s="19"/>
      <c r="M54" s="19" t="str">
        <f t="shared" si="3"/>
        <v/>
      </c>
      <c r="N54" s="21"/>
      <c r="O54" s="19" t="str">
        <f t="shared" si="4"/>
        <v/>
      </c>
      <c r="P54" s="21"/>
      <c r="Q54" s="21"/>
      <c r="R54" s="21"/>
      <c r="S54" s="21"/>
      <c r="T54" s="19" t="str">
        <f t="shared" si="5"/>
        <v/>
      </c>
      <c r="U54" s="19" t="s">
        <v>2308</v>
      </c>
    </row>
    <row r="55" spans="1:21">
      <c r="A55" s="19" t="s">
        <v>436</v>
      </c>
      <c r="B55" s="19" t="s">
        <v>2281</v>
      </c>
      <c r="C55" s="19" t="s">
        <v>2312</v>
      </c>
      <c r="D55" s="19" t="s">
        <v>194</v>
      </c>
      <c r="E55" s="19" t="s">
        <v>2230</v>
      </c>
      <c r="F55" s="21">
        <v>0</v>
      </c>
      <c r="G55" s="19">
        <v>1</v>
      </c>
      <c r="H55" s="19" t="s">
        <v>2313</v>
      </c>
      <c r="I55" s="21"/>
      <c r="J55" s="19" t="s">
        <v>2313</v>
      </c>
      <c r="K55" s="19">
        <v>0.7</v>
      </c>
      <c r="L55" s="19"/>
      <c r="M55" s="19" t="str">
        <f t="shared" si="3"/>
        <v/>
      </c>
      <c r="N55" s="21"/>
      <c r="O55" s="19" t="str">
        <f t="shared" si="4"/>
        <v/>
      </c>
      <c r="P55" s="21"/>
      <c r="Q55" s="21"/>
      <c r="R55" s="21"/>
      <c r="S55" s="21"/>
      <c r="T55" s="19" t="str">
        <f t="shared" si="5"/>
        <v/>
      </c>
      <c r="U55" s="19" t="s">
        <v>2308</v>
      </c>
    </row>
    <row r="56" spans="1:21">
      <c r="A56" s="19" t="s">
        <v>582</v>
      </c>
      <c r="B56" s="19" t="s">
        <v>2314</v>
      </c>
      <c r="C56" s="19" t="s">
        <v>2315</v>
      </c>
      <c r="D56" s="19" t="s">
        <v>194</v>
      </c>
      <c r="E56" s="19" t="s">
        <v>2230</v>
      </c>
      <c r="F56" s="21">
        <v>0</v>
      </c>
      <c r="G56" s="19"/>
      <c r="H56" s="19" t="s">
        <v>2316</v>
      </c>
      <c r="I56" s="21"/>
      <c r="J56" s="19" t="s">
        <v>2316</v>
      </c>
      <c r="K56" s="19"/>
      <c r="L56" s="19"/>
      <c r="M56" s="19" t="str">
        <f t="shared" si="3"/>
        <v/>
      </c>
      <c r="N56" s="21"/>
      <c r="O56" s="19" t="str">
        <f t="shared" si="4"/>
        <v/>
      </c>
      <c r="P56" s="21"/>
      <c r="Q56" s="21"/>
      <c r="R56" s="21"/>
      <c r="S56" s="21"/>
      <c r="T56" s="19" t="str">
        <f t="shared" si="5"/>
        <v/>
      </c>
      <c r="U56" s="19" t="s">
        <v>2317</v>
      </c>
    </row>
    <row r="57" spans="1:21">
      <c r="A57" s="19" t="s">
        <v>208</v>
      </c>
      <c r="B57" s="19" t="s">
        <v>1169</v>
      </c>
      <c r="C57" s="19" t="s">
        <v>2318</v>
      </c>
      <c r="D57" s="19" t="s">
        <v>194</v>
      </c>
      <c r="E57" s="19" t="s">
        <v>2230</v>
      </c>
      <c r="F57" s="21">
        <v>0</v>
      </c>
      <c r="G57" s="19"/>
      <c r="H57" s="19" t="s">
        <v>2319</v>
      </c>
      <c r="I57" s="21"/>
      <c r="J57" s="19" t="s">
        <v>2319</v>
      </c>
      <c r="K57" s="19"/>
      <c r="L57" s="19"/>
      <c r="M57" s="19" t="str">
        <f t="shared" si="3"/>
        <v/>
      </c>
      <c r="N57" s="21"/>
      <c r="O57" s="19" t="str">
        <f t="shared" si="4"/>
        <v/>
      </c>
      <c r="P57" s="21"/>
      <c r="Q57" s="21"/>
      <c r="R57" s="21"/>
      <c r="S57" s="21"/>
      <c r="T57" s="19" t="str">
        <f t="shared" si="5"/>
        <v/>
      </c>
      <c r="U57" s="19" t="s">
        <v>2320</v>
      </c>
    </row>
    <row r="58" spans="1:21">
      <c r="A58" s="19" t="s">
        <v>222</v>
      </c>
      <c r="B58" s="19" t="s">
        <v>2321</v>
      </c>
      <c r="C58" s="19" t="s">
        <v>2322</v>
      </c>
      <c r="D58" s="19" t="s">
        <v>194</v>
      </c>
      <c r="E58" s="19" t="s">
        <v>2230</v>
      </c>
      <c r="F58" s="21">
        <v>0</v>
      </c>
      <c r="G58" s="19"/>
      <c r="H58" s="19" t="s">
        <v>2323</v>
      </c>
      <c r="I58" s="21"/>
      <c r="J58" s="19" t="s">
        <v>2323</v>
      </c>
      <c r="K58" s="19"/>
      <c r="L58" s="19"/>
      <c r="M58" s="19" t="str">
        <f t="shared" si="3"/>
        <v/>
      </c>
      <c r="N58" s="21"/>
      <c r="O58" s="19" t="str">
        <f t="shared" si="4"/>
        <v/>
      </c>
      <c r="P58" s="21"/>
      <c r="Q58" s="21"/>
      <c r="R58" s="21"/>
      <c r="S58" s="21"/>
      <c r="T58" s="19" t="str">
        <f t="shared" si="5"/>
        <v/>
      </c>
      <c r="U58" s="19" t="s">
        <v>2324</v>
      </c>
    </row>
    <row r="59" spans="1:21">
      <c r="A59" s="19" t="s">
        <v>222</v>
      </c>
      <c r="B59" s="19" t="s">
        <v>2325</v>
      </c>
      <c r="C59" s="19" t="s">
        <v>2326</v>
      </c>
      <c r="D59" s="19" t="s">
        <v>194</v>
      </c>
      <c r="E59" s="19" t="s">
        <v>2230</v>
      </c>
      <c r="F59" s="21">
        <v>0</v>
      </c>
      <c r="G59" s="19"/>
      <c r="H59" s="19" t="s">
        <v>2327</v>
      </c>
      <c r="I59" s="21"/>
      <c r="J59" s="19" t="s">
        <v>2327</v>
      </c>
      <c r="K59" s="19"/>
      <c r="L59" s="19"/>
      <c r="M59" s="19" t="str">
        <f t="shared" si="3"/>
        <v/>
      </c>
      <c r="N59" s="21"/>
      <c r="O59" s="19" t="str">
        <f t="shared" si="4"/>
        <v/>
      </c>
      <c r="P59" s="21"/>
      <c r="Q59" s="21"/>
      <c r="R59" s="21"/>
      <c r="S59" s="21"/>
      <c r="T59" s="19" t="str">
        <f t="shared" si="5"/>
        <v/>
      </c>
      <c r="U59" s="19" t="s">
        <v>2328</v>
      </c>
    </row>
    <row r="60" spans="1:21">
      <c r="A60" s="19" t="s">
        <v>222</v>
      </c>
      <c r="B60" s="19" t="s">
        <v>1248</v>
      </c>
      <c r="C60" s="19" t="s">
        <v>237</v>
      </c>
      <c r="D60" s="19" t="s">
        <v>194</v>
      </c>
      <c r="E60" s="19" t="s">
        <v>2230</v>
      </c>
      <c r="F60" s="21">
        <v>0</v>
      </c>
      <c r="G60" s="19"/>
      <c r="H60" s="19" t="s">
        <v>2329</v>
      </c>
      <c r="I60" s="21"/>
      <c r="J60" s="19" t="s">
        <v>2329</v>
      </c>
      <c r="K60" s="19"/>
      <c r="L60" s="19"/>
      <c r="M60" s="19" t="str">
        <f t="shared" si="3"/>
        <v/>
      </c>
      <c r="N60" s="21"/>
      <c r="O60" s="19" t="str">
        <f t="shared" si="4"/>
        <v/>
      </c>
      <c r="P60" s="21"/>
      <c r="Q60" s="21"/>
      <c r="R60" s="21"/>
      <c r="S60" s="21"/>
      <c r="T60" s="19" t="str">
        <f t="shared" si="5"/>
        <v/>
      </c>
      <c r="U60" s="19" t="s">
        <v>2330</v>
      </c>
    </row>
    <row r="61" spans="1:21">
      <c r="A61" s="19" t="s">
        <v>222</v>
      </c>
      <c r="B61" s="19" t="s">
        <v>249</v>
      </c>
      <c r="C61" s="19" t="s">
        <v>2331</v>
      </c>
      <c r="D61" s="19" t="s">
        <v>194</v>
      </c>
      <c r="E61" s="19" t="s">
        <v>2230</v>
      </c>
      <c r="F61" s="21">
        <v>0</v>
      </c>
      <c r="G61" s="19"/>
      <c r="H61" s="19" t="s">
        <v>2332</v>
      </c>
      <c r="I61" s="21"/>
      <c r="J61" s="19" t="s">
        <v>2332</v>
      </c>
      <c r="K61" s="19"/>
      <c r="L61" s="19"/>
      <c r="M61" s="19" t="str">
        <f t="shared" si="3"/>
        <v/>
      </c>
      <c r="N61" s="21"/>
      <c r="O61" s="19" t="str">
        <f t="shared" si="4"/>
        <v/>
      </c>
      <c r="P61" s="21"/>
      <c r="Q61" s="21"/>
      <c r="R61" s="21"/>
      <c r="S61" s="21"/>
      <c r="T61" s="19" t="str">
        <f t="shared" si="5"/>
        <v/>
      </c>
      <c r="U61" s="19" t="s">
        <v>2333</v>
      </c>
    </row>
    <row r="62" spans="1:21">
      <c r="A62" s="19" t="s">
        <v>222</v>
      </c>
      <c r="B62" s="19" t="s">
        <v>1873</v>
      </c>
      <c r="C62" s="19" t="s">
        <v>2334</v>
      </c>
      <c r="D62" s="19" t="s">
        <v>194</v>
      </c>
      <c r="E62" s="19" t="s">
        <v>2230</v>
      </c>
      <c r="F62" s="21">
        <v>0</v>
      </c>
      <c r="G62" s="19"/>
      <c r="H62" s="19" t="s">
        <v>2335</v>
      </c>
      <c r="I62" s="21"/>
      <c r="J62" s="19" t="s">
        <v>2335</v>
      </c>
      <c r="K62" s="19"/>
      <c r="L62" s="19"/>
      <c r="M62" s="19" t="str">
        <f t="shared" si="3"/>
        <v/>
      </c>
      <c r="N62" s="21"/>
      <c r="O62" s="19" t="str">
        <f t="shared" si="4"/>
        <v/>
      </c>
      <c r="P62" s="21"/>
      <c r="Q62" s="21"/>
      <c r="R62" s="21"/>
      <c r="S62" s="21"/>
      <c r="T62" s="19" t="str">
        <f t="shared" si="5"/>
        <v/>
      </c>
      <c r="U62" s="19" t="s">
        <v>2336</v>
      </c>
    </row>
    <row r="63" spans="1:21">
      <c r="A63" s="19" t="s">
        <v>222</v>
      </c>
      <c r="B63" s="19" t="s">
        <v>2337</v>
      </c>
      <c r="C63" s="19" t="s">
        <v>2338</v>
      </c>
      <c r="D63" s="19" t="s">
        <v>194</v>
      </c>
      <c r="E63" s="19" t="s">
        <v>2230</v>
      </c>
      <c r="F63" s="21">
        <v>0</v>
      </c>
      <c r="G63" s="19"/>
      <c r="H63" s="19" t="s">
        <v>2339</v>
      </c>
      <c r="I63" s="21"/>
      <c r="J63" s="19" t="s">
        <v>2339</v>
      </c>
      <c r="K63" s="19"/>
      <c r="L63" s="19"/>
      <c r="M63" s="19" t="str">
        <f t="shared" si="3"/>
        <v/>
      </c>
      <c r="N63" s="21"/>
      <c r="O63" s="19" t="str">
        <f t="shared" si="4"/>
        <v/>
      </c>
      <c r="P63" s="21"/>
      <c r="Q63" s="21"/>
      <c r="R63" s="21"/>
      <c r="S63" s="21"/>
      <c r="T63" s="19" t="str">
        <f t="shared" si="5"/>
        <v/>
      </c>
      <c r="U63" s="19" t="s">
        <v>2340</v>
      </c>
    </row>
    <row r="64" spans="1:21">
      <c r="A64" s="19" t="s">
        <v>289</v>
      </c>
      <c r="B64" s="19" t="s">
        <v>2341</v>
      </c>
      <c r="C64" s="19" t="s">
        <v>291</v>
      </c>
      <c r="D64" s="19" t="s">
        <v>194</v>
      </c>
      <c r="E64" s="19" t="s">
        <v>2230</v>
      </c>
      <c r="F64" s="21">
        <v>0</v>
      </c>
      <c r="G64" s="19"/>
      <c r="H64" s="19" t="s">
        <v>2342</v>
      </c>
      <c r="I64" s="21"/>
      <c r="J64" s="19" t="s">
        <v>2342</v>
      </c>
      <c r="K64" s="19"/>
      <c r="L64" s="19"/>
      <c r="M64" s="19" t="str">
        <f t="shared" si="3"/>
        <v/>
      </c>
      <c r="N64" s="21"/>
      <c r="O64" s="19" t="str">
        <f t="shared" si="4"/>
        <v/>
      </c>
      <c r="P64" s="21"/>
      <c r="Q64" s="21"/>
      <c r="R64" s="21"/>
      <c r="S64" s="21"/>
      <c r="T64" s="19" t="str">
        <f t="shared" si="5"/>
        <v/>
      </c>
      <c r="U64" s="19" t="s">
        <v>2343</v>
      </c>
    </row>
    <row r="65" spans="1:21">
      <c r="A65" s="19" t="s">
        <v>289</v>
      </c>
      <c r="B65" s="19" t="s">
        <v>1423</v>
      </c>
      <c r="C65" s="19" t="s">
        <v>2344</v>
      </c>
      <c r="D65" s="19" t="s">
        <v>194</v>
      </c>
      <c r="E65" s="19" t="s">
        <v>2230</v>
      </c>
      <c r="F65" s="21">
        <v>0</v>
      </c>
      <c r="G65" s="19"/>
      <c r="H65" s="19" t="s">
        <v>2345</v>
      </c>
      <c r="I65" s="21"/>
      <c r="J65" s="19" t="s">
        <v>2345</v>
      </c>
      <c r="K65" s="19"/>
      <c r="L65" s="19"/>
      <c r="M65" s="19" t="str">
        <f t="shared" si="3"/>
        <v/>
      </c>
      <c r="N65" s="21"/>
      <c r="O65" s="19" t="str">
        <f t="shared" si="4"/>
        <v/>
      </c>
      <c r="P65" s="21"/>
      <c r="Q65" s="21"/>
      <c r="R65" s="21"/>
      <c r="S65" s="21"/>
      <c r="T65" s="19" t="str">
        <f t="shared" si="5"/>
        <v/>
      </c>
      <c r="U65" s="19" t="s">
        <v>2346</v>
      </c>
    </row>
    <row r="66" spans="1:21">
      <c r="A66" s="19" t="s">
        <v>289</v>
      </c>
      <c r="B66" s="19" t="s">
        <v>2347</v>
      </c>
      <c r="C66" s="19" t="s">
        <v>314</v>
      </c>
      <c r="D66" s="19" t="s">
        <v>194</v>
      </c>
      <c r="E66" s="19" t="s">
        <v>2230</v>
      </c>
      <c r="F66" s="21">
        <v>0</v>
      </c>
      <c r="G66" s="19"/>
      <c r="H66" s="19" t="s">
        <v>2348</v>
      </c>
      <c r="I66" s="21"/>
      <c r="J66" s="19" t="s">
        <v>2348</v>
      </c>
      <c r="K66" s="19"/>
      <c r="L66" s="19"/>
      <c r="M66" s="19" t="str">
        <f t="shared" si="3"/>
        <v/>
      </c>
      <c r="N66" s="21"/>
      <c r="O66" s="19" t="str">
        <f t="shared" si="4"/>
        <v/>
      </c>
      <c r="P66" s="21"/>
      <c r="Q66" s="21"/>
      <c r="R66" s="21"/>
      <c r="S66" s="21"/>
      <c r="T66" s="19" t="str">
        <f t="shared" si="5"/>
        <v/>
      </c>
      <c r="U66" s="19" t="s">
        <v>2349</v>
      </c>
    </row>
    <row r="67" spans="1:21">
      <c r="A67" s="19" t="s">
        <v>289</v>
      </c>
      <c r="B67" s="19" t="s">
        <v>2350</v>
      </c>
      <c r="C67" s="19" t="s">
        <v>2351</v>
      </c>
      <c r="D67" s="19" t="s">
        <v>194</v>
      </c>
      <c r="E67" s="19" t="s">
        <v>2230</v>
      </c>
      <c r="F67" s="21">
        <v>0</v>
      </c>
      <c r="G67" s="19"/>
      <c r="H67" s="19" t="s">
        <v>2352</v>
      </c>
      <c r="I67" s="21"/>
      <c r="J67" s="19" t="s">
        <v>2352</v>
      </c>
      <c r="K67" s="19"/>
      <c r="L67" s="19"/>
      <c r="M67" s="19" t="str">
        <f t="shared" si="3"/>
        <v/>
      </c>
      <c r="N67" s="21"/>
      <c r="O67" s="19" t="str">
        <f t="shared" si="4"/>
        <v/>
      </c>
      <c r="P67" s="21"/>
      <c r="Q67" s="21"/>
      <c r="R67" s="21"/>
      <c r="S67" s="21"/>
      <c r="T67" s="19" t="str">
        <f t="shared" si="5"/>
        <v/>
      </c>
      <c r="U67" s="19" t="s">
        <v>2353</v>
      </c>
    </row>
    <row r="68" spans="1:21">
      <c r="A68" s="19" t="s">
        <v>289</v>
      </c>
      <c r="B68" s="19" t="s">
        <v>854</v>
      </c>
      <c r="C68" s="19" t="s">
        <v>327</v>
      </c>
      <c r="D68" s="19" t="s">
        <v>194</v>
      </c>
      <c r="E68" s="19" t="s">
        <v>2230</v>
      </c>
      <c r="F68" s="21">
        <v>0</v>
      </c>
      <c r="G68" s="19"/>
      <c r="H68" s="19" t="s">
        <v>2296</v>
      </c>
      <c r="I68" s="21"/>
      <c r="J68" s="19" t="s">
        <v>2296</v>
      </c>
      <c r="K68" s="19"/>
      <c r="L68" s="19"/>
      <c r="M68" s="19" t="str">
        <f t="shared" ref="M68:M99" si="6">IF(OR(F68&lt;&gt;1,I68="",G68="",L68="",K68=""),"",L68*(I68/G68)^K68)</f>
        <v/>
      </c>
      <c r="N68" s="21"/>
      <c r="O68" s="19" t="str">
        <f t="shared" ref="O68:O99" si="7">IF(OR(F68&lt;&gt;1,M68="",N68=""),"",M68*N68)</f>
        <v/>
      </c>
      <c r="P68" s="21"/>
      <c r="Q68" s="21"/>
      <c r="R68" s="21"/>
      <c r="S68" s="21"/>
      <c r="T68" s="19" t="str">
        <f t="shared" ref="T68:T99" si="8">IF(OR(F68&lt;&gt;1,Q68="",S68=""),"",Q68*S68)</f>
        <v/>
      </c>
      <c r="U68" s="19" t="s">
        <v>2354</v>
      </c>
    </row>
    <row r="69" spans="1:21">
      <c r="A69" s="19" t="s">
        <v>289</v>
      </c>
      <c r="B69" s="19" t="s">
        <v>854</v>
      </c>
      <c r="C69" s="19" t="s">
        <v>339</v>
      </c>
      <c r="D69" s="19" t="s">
        <v>194</v>
      </c>
      <c r="E69" s="19" t="s">
        <v>2230</v>
      </c>
      <c r="F69" s="21">
        <v>0</v>
      </c>
      <c r="G69" s="19"/>
      <c r="H69" s="19" t="s">
        <v>2355</v>
      </c>
      <c r="I69" s="21"/>
      <c r="J69" s="19" t="s">
        <v>2355</v>
      </c>
      <c r="K69" s="19"/>
      <c r="L69" s="19"/>
      <c r="M69" s="19" t="str">
        <f t="shared" si="6"/>
        <v/>
      </c>
      <c r="N69" s="21"/>
      <c r="O69" s="19" t="str">
        <f t="shared" si="7"/>
        <v/>
      </c>
      <c r="P69" s="21"/>
      <c r="Q69" s="21"/>
      <c r="R69" s="21"/>
      <c r="S69" s="21"/>
      <c r="T69" s="19" t="str">
        <f t="shared" si="8"/>
        <v/>
      </c>
      <c r="U69" s="19" t="s">
        <v>2354</v>
      </c>
    </row>
    <row r="70" spans="1:21">
      <c r="A70" s="19" t="s">
        <v>351</v>
      </c>
      <c r="B70" s="19" t="s">
        <v>2356</v>
      </c>
      <c r="C70" s="19" t="s">
        <v>2357</v>
      </c>
      <c r="D70" s="19" t="s">
        <v>194</v>
      </c>
      <c r="E70" s="19" t="s">
        <v>2230</v>
      </c>
      <c r="F70" s="21">
        <v>0</v>
      </c>
      <c r="G70" s="19"/>
      <c r="H70" s="19" t="s">
        <v>2358</v>
      </c>
      <c r="I70" s="21"/>
      <c r="J70" s="19" t="s">
        <v>2358</v>
      </c>
      <c r="K70" s="19"/>
      <c r="L70" s="19"/>
      <c r="M70" s="19" t="str">
        <f t="shared" si="6"/>
        <v/>
      </c>
      <c r="N70" s="21"/>
      <c r="O70" s="19" t="str">
        <f t="shared" si="7"/>
        <v/>
      </c>
      <c r="P70" s="21"/>
      <c r="Q70" s="21"/>
      <c r="R70" s="21"/>
      <c r="S70" s="21"/>
      <c r="T70" s="19" t="str">
        <f t="shared" si="8"/>
        <v/>
      </c>
      <c r="U70" s="19" t="s">
        <v>2359</v>
      </c>
    </row>
    <row r="71" spans="1:21">
      <c r="A71" s="19" t="s">
        <v>351</v>
      </c>
      <c r="B71" s="19" t="s">
        <v>2360</v>
      </c>
      <c r="C71" s="19" t="s">
        <v>2361</v>
      </c>
      <c r="D71" s="19" t="s">
        <v>194</v>
      </c>
      <c r="E71" s="19" t="s">
        <v>2230</v>
      </c>
      <c r="F71" s="21">
        <v>0</v>
      </c>
      <c r="G71" s="19"/>
      <c r="H71" s="19" t="s">
        <v>2362</v>
      </c>
      <c r="I71" s="21"/>
      <c r="J71" s="19" t="s">
        <v>2362</v>
      </c>
      <c r="K71" s="19"/>
      <c r="L71" s="19"/>
      <c r="M71" s="19" t="str">
        <f t="shared" si="6"/>
        <v/>
      </c>
      <c r="N71" s="21"/>
      <c r="O71" s="19" t="str">
        <f t="shared" si="7"/>
        <v/>
      </c>
      <c r="P71" s="21"/>
      <c r="Q71" s="21"/>
      <c r="R71" s="21"/>
      <c r="S71" s="21"/>
      <c r="T71" s="19" t="str">
        <f t="shared" si="8"/>
        <v/>
      </c>
      <c r="U71" s="19" t="s">
        <v>2363</v>
      </c>
    </row>
    <row r="72" spans="1:21">
      <c r="A72" s="19" t="s">
        <v>351</v>
      </c>
      <c r="B72" s="19" t="s">
        <v>2364</v>
      </c>
      <c r="C72" s="19" t="s">
        <v>2365</v>
      </c>
      <c r="D72" s="19" t="s">
        <v>194</v>
      </c>
      <c r="E72" s="19" t="s">
        <v>2230</v>
      </c>
      <c r="F72" s="21">
        <v>0</v>
      </c>
      <c r="G72" s="19"/>
      <c r="H72" s="19" t="s">
        <v>2366</v>
      </c>
      <c r="I72" s="21"/>
      <c r="J72" s="19" t="s">
        <v>2366</v>
      </c>
      <c r="K72" s="19"/>
      <c r="L72" s="19"/>
      <c r="M72" s="19" t="str">
        <f t="shared" si="6"/>
        <v/>
      </c>
      <c r="N72" s="21"/>
      <c r="O72" s="19" t="str">
        <f t="shared" si="7"/>
        <v/>
      </c>
      <c r="P72" s="21"/>
      <c r="Q72" s="21"/>
      <c r="R72" s="21"/>
      <c r="S72" s="21"/>
      <c r="T72" s="19" t="str">
        <f t="shared" si="8"/>
        <v/>
      </c>
      <c r="U72" s="19" t="s">
        <v>2367</v>
      </c>
    </row>
    <row r="73" spans="1:21">
      <c r="A73" s="19" t="s">
        <v>401</v>
      </c>
      <c r="B73" s="19" t="s">
        <v>1214</v>
      </c>
      <c r="C73" s="19" t="s">
        <v>2368</v>
      </c>
      <c r="D73" s="19" t="s">
        <v>194</v>
      </c>
      <c r="E73" s="19" t="s">
        <v>2230</v>
      </c>
      <c r="F73" s="21">
        <v>0</v>
      </c>
      <c r="G73" s="19"/>
      <c r="H73" s="19" t="s">
        <v>2369</v>
      </c>
      <c r="I73" s="21"/>
      <c r="J73" s="19" t="s">
        <v>2369</v>
      </c>
      <c r="K73" s="19"/>
      <c r="L73" s="19"/>
      <c r="M73" s="19" t="str">
        <f t="shared" si="6"/>
        <v/>
      </c>
      <c r="N73" s="21"/>
      <c r="O73" s="19" t="str">
        <f t="shared" si="7"/>
        <v/>
      </c>
      <c r="P73" s="21"/>
      <c r="Q73" s="21"/>
      <c r="R73" s="21"/>
      <c r="S73" s="21"/>
      <c r="T73" s="19" t="str">
        <f t="shared" si="8"/>
        <v/>
      </c>
      <c r="U73" s="19" t="s">
        <v>2370</v>
      </c>
    </row>
    <row r="74" spans="1:21">
      <c r="A74" s="19" t="s">
        <v>401</v>
      </c>
      <c r="B74" s="19" t="s">
        <v>2371</v>
      </c>
      <c r="C74" s="19" t="s">
        <v>2372</v>
      </c>
      <c r="D74" s="19" t="s">
        <v>194</v>
      </c>
      <c r="E74" s="19" t="s">
        <v>2230</v>
      </c>
      <c r="F74" s="21">
        <v>0</v>
      </c>
      <c r="G74" s="19"/>
      <c r="H74" s="19" t="s">
        <v>2373</v>
      </c>
      <c r="I74" s="21"/>
      <c r="J74" s="19" t="s">
        <v>2373</v>
      </c>
      <c r="K74" s="19"/>
      <c r="L74" s="19"/>
      <c r="M74" s="19" t="str">
        <f t="shared" si="6"/>
        <v/>
      </c>
      <c r="N74" s="21"/>
      <c r="O74" s="19" t="str">
        <f t="shared" si="7"/>
        <v/>
      </c>
      <c r="P74" s="21"/>
      <c r="Q74" s="21"/>
      <c r="R74" s="21"/>
      <c r="S74" s="21"/>
      <c r="T74" s="19" t="str">
        <f t="shared" si="8"/>
        <v/>
      </c>
      <c r="U74" s="19" t="s">
        <v>2374</v>
      </c>
    </row>
    <row r="75" spans="1:21">
      <c r="A75" s="19" t="s">
        <v>401</v>
      </c>
      <c r="B75" s="19" t="s">
        <v>2375</v>
      </c>
      <c r="C75" s="19" t="s">
        <v>2376</v>
      </c>
      <c r="D75" s="19" t="s">
        <v>194</v>
      </c>
      <c r="E75" s="19" t="s">
        <v>2230</v>
      </c>
      <c r="F75" s="21">
        <v>0</v>
      </c>
      <c r="G75" s="19"/>
      <c r="H75" s="19" t="s">
        <v>2377</v>
      </c>
      <c r="I75" s="21"/>
      <c r="J75" s="19" t="s">
        <v>2377</v>
      </c>
      <c r="K75" s="19"/>
      <c r="L75" s="19"/>
      <c r="M75" s="19" t="str">
        <f t="shared" si="6"/>
        <v/>
      </c>
      <c r="N75" s="21"/>
      <c r="O75" s="19" t="str">
        <f t="shared" si="7"/>
        <v/>
      </c>
      <c r="P75" s="21"/>
      <c r="Q75" s="21"/>
      <c r="R75" s="21"/>
      <c r="S75" s="21"/>
      <c r="T75" s="19" t="str">
        <f t="shared" si="8"/>
        <v/>
      </c>
      <c r="U75" s="19" t="s">
        <v>2378</v>
      </c>
    </row>
    <row r="76" spans="1:21">
      <c r="A76" s="19" t="s">
        <v>401</v>
      </c>
      <c r="B76" s="19" t="s">
        <v>2228</v>
      </c>
      <c r="C76" s="19" t="s">
        <v>2379</v>
      </c>
      <c r="D76" s="19" t="s">
        <v>194</v>
      </c>
      <c r="E76" s="19" t="s">
        <v>2230</v>
      </c>
      <c r="F76" s="21">
        <v>0</v>
      </c>
      <c r="G76" s="19"/>
      <c r="H76" s="19" t="s">
        <v>2380</v>
      </c>
      <c r="I76" s="21"/>
      <c r="J76" s="19" t="s">
        <v>2380</v>
      </c>
      <c r="K76" s="19"/>
      <c r="L76" s="19"/>
      <c r="M76" s="19" t="str">
        <f t="shared" si="6"/>
        <v/>
      </c>
      <c r="N76" s="21"/>
      <c r="O76" s="19" t="str">
        <f t="shared" si="7"/>
        <v/>
      </c>
      <c r="P76" s="21"/>
      <c r="Q76" s="21"/>
      <c r="R76" s="21"/>
      <c r="S76" s="21"/>
      <c r="T76" s="19" t="str">
        <f t="shared" si="8"/>
        <v/>
      </c>
      <c r="U76" s="19" t="s">
        <v>2381</v>
      </c>
    </row>
    <row r="77" spans="1:21">
      <c r="A77" s="19" t="s">
        <v>2382</v>
      </c>
      <c r="B77" s="19" t="s">
        <v>2383</v>
      </c>
      <c r="C77" s="19" t="s">
        <v>2384</v>
      </c>
      <c r="D77" s="19" t="s">
        <v>194</v>
      </c>
      <c r="E77" s="19" t="s">
        <v>2230</v>
      </c>
      <c r="F77" s="21">
        <v>0</v>
      </c>
      <c r="G77" s="19"/>
      <c r="H77" s="19" t="s">
        <v>2385</v>
      </c>
      <c r="I77" s="21"/>
      <c r="J77" s="19" t="s">
        <v>2385</v>
      </c>
      <c r="K77" s="19"/>
      <c r="L77" s="19"/>
      <c r="M77" s="19" t="str">
        <f t="shared" si="6"/>
        <v/>
      </c>
      <c r="N77" s="21"/>
      <c r="O77" s="19" t="str">
        <f t="shared" si="7"/>
        <v/>
      </c>
      <c r="P77" s="21"/>
      <c r="Q77" s="21"/>
      <c r="R77" s="21"/>
      <c r="S77" s="21"/>
      <c r="T77" s="19" t="str">
        <f t="shared" si="8"/>
        <v/>
      </c>
      <c r="U77" s="19" t="s">
        <v>2386</v>
      </c>
    </row>
    <row r="78" spans="1:21">
      <c r="A78" s="19" t="s">
        <v>436</v>
      </c>
      <c r="B78" s="19" t="s">
        <v>1246</v>
      </c>
      <c r="C78" s="19" t="s">
        <v>2387</v>
      </c>
      <c r="D78" s="19" t="s">
        <v>194</v>
      </c>
      <c r="E78" s="19" t="s">
        <v>2230</v>
      </c>
      <c r="F78" s="21">
        <v>0</v>
      </c>
      <c r="G78" s="19"/>
      <c r="H78" s="19" t="s">
        <v>2388</v>
      </c>
      <c r="I78" s="21"/>
      <c r="J78" s="19" t="s">
        <v>2388</v>
      </c>
      <c r="K78" s="19"/>
      <c r="L78" s="19"/>
      <c r="M78" s="19" t="str">
        <f t="shared" si="6"/>
        <v/>
      </c>
      <c r="N78" s="21"/>
      <c r="O78" s="19" t="str">
        <f t="shared" si="7"/>
        <v/>
      </c>
      <c r="P78" s="21"/>
      <c r="Q78" s="21"/>
      <c r="R78" s="21"/>
      <c r="S78" s="21"/>
      <c r="T78" s="19" t="str">
        <f t="shared" si="8"/>
        <v/>
      </c>
      <c r="U78" s="19" t="s">
        <v>2389</v>
      </c>
    </row>
    <row r="79" spans="1:21">
      <c r="A79" s="19" t="s">
        <v>436</v>
      </c>
      <c r="B79" s="19" t="s">
        <v>1251</v>
      </c>
      <c r="C79" s="19" t="s">
        <v>2390</v>
      </c>
      <c r="D79" s="19" t="s">
        <v>194</v>
      </c>
      <c r="E79" s="19" t="s">
        <v>2230</v>
      </c>
      <c r="F79" s="21">
        <v>0</v>
      </c>
      <c r="G79" s="19"/>
      <c r="H79" s="19" t="s">
        <v>2391</v>
      </c>
      <c r="I79" s="21"/>
      <c r="J79" s="19" t="s">
        <v>2391</v>
      </c>
      <c r="K79" s="19"/>
      <c r="L79" s="19"/>
      <c r="M79" s="19" t="str">
        <f t="shared" si="6"/>
        <v/>
      </c>
      <c r="N79" s="21"/>
      <c r="O79" s="19" t="str">
        <f t="shared" si="7"/>
        <v/>
      </c>
      <c r="P79" s="21"/>
      <c r="Q79" s="21"/>
      <c r="R79" s="21"/>
      <c r="S79" s="21"/>
      <c r="T79" s="19" t="str">
        <f t="shared" si="8"/>
        <v/>
      </c>
      <c r="U79" s="19" t="s">
        <v>2392</v>
      </c>
    </row>
    <row r="80" spans="1:21">
      <c r="A80" s="19" t="s">
        <v>436</v>
      </c>
      <c r="B80" s="19" t="s">
        <v>2393</v>
      </c>
      <c r="C80" s="19" t="s">
        <v>2394</v>
      </c>
      <c r="D80" s="19" t="s">
        <v>194</v>
      </c>
      <c r="E80" s="19" t="s">
        <v>2230</v>
      </c>
      <c r="F80" s="21">
        <v>0</v>
      </c>
      <c r="G80" s="19"/>
      <c r="H80" s="19" t="s">
        <v>467</v>
      </c>
      <c r="I80" s="21"/>
      <c r="J80" s="19" t="s">
        <v>467</v>
      </c>
      <c r="K80" s="19"/>
      <c r="L80" s="19"/>
      <c r="M80" s="19" t="str">
        <f t="shared" si="6"/>
        <v/>
      </c>
      <c r="N80" s="21"/>
      <c r="O80" s="19" t="str">
        <f t="shared" si="7"/>
        <v/>
      </c>
      <c r="P80" s="21"/>
      <c r="Q80" s="21"/>
      <c r="R80" s="21"/>
      <c r="S80" s="21"/>
      <c r="T80" s="19" t="str">
        <f t="shared" si="8"/>
        <v/>
      </c>
      <c r="U80" s="19" t="s">
        <v>2395</v>
      </c>
    </row>
    <row r="81" spans="1:21">
      <c r="A81" s="19" t="s">
        <v>436</v>
      </c>
      <c r="B81" s="19" t="s">
        <v>2396</v>
      </c>
      <c r="C81" s="19" t="s">
        <v>2397</v>
      </c>
      <c r="D81" s="19" t="s">
        <v>194</v>
      </c>
      <c r="E81" s="19" t="s">
        <v>2230</v>
      </c>
      <c r="F81" s="21">
        <v>0</v>
      </c>
      <c r="G81" s="19"/>
      <c r="H81" s="19" t="s">
        <v>2398</v>
      </c>
      <c r="I81" s="21"/>
      <c r="J81" s="19" t="s">
        <v>2398</v>
      </c>
      <c r="K81" s="19"/>
      <c r="L81" s="19"/>
      <c r="M81" s="19" t="str">
        <f t="shared" si="6"/>
        <v/>
      </c>
      <c r="N81" s="21"/>
      <c r="O81" s="19" t="str">
        <f t="shared" si="7"/>
        <v/>
      </c>
      <c r="P81" s="21"/>
      <c r="Q81" s="21"/>
      <c r="R81" s="21"/>
      <c r="S81" s="21"/>
      <c r="T81" s="19" t="str">
        <f t="shared" si="8"/>
        <v/>
      </c>
      <c r="U81" s="19" t="s">
        <v>2399</v>
      </c>
    </row>
    <row r="82" spans="1:21">
      <c r="A82" s="19" t="s">
        <v>436</v>
      </c>
      <c r="B82" s="19" t="s">
        <v>2400</v>
      </c>
      <c r="C82" s="19" t="s">
        <v>2401</v>
      </c>
      <c r="D82" s="19" t="s">
        <v>194</v>
      </c>
      <c r="E82" s="19" t="s">
        <v>2230</v>
      </c>
      <c r="F82" s="21">
        <v>0</v>
      </c>
      <c r="G82" s="19"/>
      <c r="H82" s="19" t="s">
        <v>2402</v>
      </c>
      <c r="I82" s="21"/>
      <c r="J82" s="19" t="s">
        <v>2402</v>
      </c>
      <c r="K82" s="19"/>
      <c r="L82" s="19"/>
      <c r="M82" s="19" t="str">
        <f t="shared" si="6"/>
        <v/>
      </c>
      <c r="N82" s="21"/>
      <c r="O82" s="19" t="str">
        <f t="shared" si="7"/>
        <v/>
      </c>
      <c r="P82" s="21"/>
      <c r="Q82" s="21"/>
      <c r="R82" s="21"/>
      <c r="S82" s="21"/>
      <c r="T82" s="19" t="str">
        <f t="shared" si="8"/>
        <v/>
      </c>
      <c r="U82" s="19" t="s">
        <v>2403</v>
      </c>
    </row>
    <row r="83" spans="1:21">
      <c r="A83" s="19" t="s">
        <v>436</v>
      </c>
      <c r="B83" s="19" t="s">
        <v>2404</v>
      </c>
      <c r="C83" s="19" t="s">
        <v>2405</v>
      </c>
      <c r="D83" s="19" t="s">
        <v>194</v>
      </c>
      <c r="E83" s="19" t="s">
        <v>2230</v>
      </c>
      <c r="F83" s="21">
        <v>0</v>
      </c>
      <c r="G83" s="19"/>
      <c r="H83" s="19" t="s">
        <v>2406</v>
      </c>
      <c r="I83" s="21"/>
      <c r="J83" s="19" t="s">
        <v>2406</v>
      </c>
      <c r="K83" s="19"/>
      <c r="L83" s="19"/>
      <c r="M83" s="19" t="str">
        <f t="shared" si="6"/>
        <v/>
      </c>
      <c r="N83" s="21"/>
      <c r="O83" s="19" t="str">
        <f t="shared" si="7"/>
        <v/>
      </c>
      <c r="P83" s="21"/>
      <c r="Q83" s="21"/>
      <c r="R83" s="21"/>
      <c r="S83" s="21"/>
      <c r="T83" s="19" t="str">
        <f t="shared" si="8"/>
        <v/>
      </c>
      <c r="U83" s="19" t="s">
        <v>2407</v>
      </c>
    </row>
    <row r="84" spans="1:21">
      <c r="A84" s="19" t="s">
        <v>2408</v>
      </c>
      <c r="B84" s="19" t="s">
        <v>2409</v>
      </c>
      <c r="C84" s="19" t="s">
        <v>2410</v>
      </c>
      <c r="D84" s="19" t="s">
        <v>194</v>
      </c>
      <c r="E84" s="19" t="s">
        <v>2230</v>
      </c>
      <c r="F84" s="21">
        <v>0</v>
      </c>
      <c r="G84" s="19"/>
      <c r="H84" s="19" t="s">
        <v>2411</v>
      </c>
      <c r="I84" s="21"/>
      <c r="J84" s="19" t="s">
        <v>2411</v>
      </c>
      <c r="K84" s="19"/>
      <c r="L84" s="19"/>
      <c r="M84" s="19" t="str">
        <f t="shared" si="6"/>
        <v/>
      </c>
      <c r="N84" s="21"/>
      <c r="O84" s="19" t="str">
        <f t="shared" si="7"/>
        <v/>
      </c>
      <c r="P84" s="21"/>
      <c r="Q84" s="21"/>
      <c r="R84" s="21"/>
      <c r="S84" s="21"/>
      <c r="T84" s="19" t="str">
        <f t="shared" si="8"/>
        <v/>
      </c>
      <c r="U84" s="19" t="s">
        <v>2412</v>
      </c>
    </row>
    <row r="85" spans="1:21">
      <c r="A85" s="19" t="s">
        <v>2408</v>
      </c>
      <c r="B85" s="19" t="s">
        <v>2413</v>
      </c>
      <c r="C85" s="19" t="s">
        <v>2414</v>
      </c>
      <c r="D85" s="19" t="s">
        <v>194</v>
      </c>
      <c r="E85" s="19" t="s">
        <v>2230</v>
      </c>
      <c r="F85" s="21">
        <v>0</v>
      </c>
      <c r="G85" s="19"/>
      <c r="H85" s="19" t="s">
        <v>2415</v>
      </c>
      <c r="I85" s="21"/>
      <c r="J85" s="19" t="s">
        <v>2415</v>
      </c>
      <c r="K85" s="19"/>
      <c r="L85" s="19"/>
      <c r="M85" s="19" t="str">
        <f t="shared" si="6"/>
        <v/>
      </c>
      <c r="N85" s="21"/>
      <c r="O85" s="19" t="str">
        <f t="shared" si="7"/>
        <v/>
      </c>
      <c r="P85" s="21"/>
      <c r="Q85" s="21"/>
      <c r="R85" s="21"/>
      <c r="S85" s="21"/>
      <c r="T85" s="19" t="str">
        <f t="shared" si="8"/>
        <v/>
      </c>
      <c r="U85" s="19" t="s">
        <v>2416</v>
      </c>
    </row>
    <row r="86" spans="1:21">
      <c r="A86" s="19" t="s">
        <v>2408</v>
      </c>
      <c r="B86" s="19" t="s">
        <v>2417</v>
      </c>
      <c r="C86" s="19" t="s">
        <v>2418</v>
      </c>
      <c r="D86" s="19" t="s">
        <v>194</v>
      </c>
      <c r="E86" s="19" t="s">
        <v>2230</v>
      </c>
      <c r="F86" s="21">
        <v>0</v>
      </c>
      <c r="G86" s="19"/>
      <c r="H86" s="19" t="s">
        <v>2419</v>
      </c>
      <c r="I86" s="21"/>
      <c r="J86" s="19" t="s">
        <v>2419</v>
      </c>
      <c r="K86" s="19"/>
      <c r="L86" s="19"/>
      <c r="M86" s="19" t="str">
        <f t="shared" si="6"/>
        <v/>
      </c>
      <c r="N86" s="21"/>
      <c r="O86" s="19" t="str">
        <f t="shared" si="7"/>
        <v/>
      </c>
      <c r="P86" s="21"/>
      <c r="Q86" s="21"/>
      <c r="R86" s="21"/>
      <c r="S86" s="21"/>
      <c r="T86" s="19" t="str">
        <f t="shared" si="8"/>
        <v/>
      </c>
      <c r="U86" s="19" t="s">
        <v>2420</v>
      </c>
    </row>
    <row r="87" spans="1:21">
      <c r="A87" s="19" t="s">
        <v>2408</v>
      </c>
      <c r="B87" s="19" t="s">
        <v>2421</v>
      </c>
      <c r="C87" s="19" t="s">
        <v>2422</v>
      </c>
      <c r="D87" s="19" t="s">
        <v>194</v>
      </c>
      <c r="E87" s="19" t="s">
        <v>2230</v>
      </c>
      <c r="F87" s="21">
        <v>0</v>
      </c>
      <c r="G87" s="19"/>
      <c r="H87" s="19" t="s">
        <v>2423</v>
      </c>
      <c r="I87" s="21"/>
      <c r="J87" s="19" t="s">
        <v>2423</v>
      </c>
      <c r="K87" s="19"/>
      <c r="L87" s="19"/>
      <c r="M87" s="19" t="str">
        <f t="shared" si="6"/>
        <v/>
      </c>
      <c r="N87" s="21"/>
      <c r="O87" s="19" t="str">
        <f t="shared" si="7"/>
        <v/>
      </c>
      <c r="P87" s="21"/>
      <c r="Q87" s="21"/>
      <c r="R87" s="21"/>
      <c r="S87" s="21"/>
      <c r="T87" s="19" t="str">
        <f t="shared" si="8"/>
        <v/>
      </c>
      <c r="U87" s="19" t="s">
        <v>2424</v>
      </c>
    </row>
    <row r="88" spans="1:21">
      <c r="A88" s="19" t="s">
        <v>2408</v>
      </c>
      <c r="B88" s="19" t="s">
        <v>2425</v>
      </c>
      <c r="C88" s="19" t="s">
        <v>2426</v>
      </c>
      <c r="D88" s="19" t="s">
        <v>194</v>
      </c>
      <c r="E88" s="19" t="s">
        <v>2230</v>
      </c>
      <c r="F88" s="21">
        <v>0</v>
      </c>
      <c r="G88" s="19"/>
      <c r="H88" s="19" t="s">
        <v>2427</v>
      </c>
      <c r="I88" s="21"/>
      <c r="J88" s="19" t="s">
        <v>2427</v>
      </c>
      <c r="K88" s="19"/>
      <c r="L88" s="19"/>
      <c r="M88" s="19" t="str">
        <f t="shared" si="6"/>
        <v/>
      </c>
      <c r="N88" s="21"/>
      <c r="O88" s="19" t="str">
        <f t="shared" si="7"/>
        <v/>
      </c>
      <c r="P88" s="21"/>
      <c r="Q88" s="21"/>
      <c r="R88" s="21"/>
      <c r="S88" s="21"/>
      <c r="T88" s="19" t="str">
        <f t="shared" si="8"/>
        <v/>
      </c>
      <c r="U88" s="19" t="s">
        <v>2428</v>
      </c>
    </row>
    <row r="89" spans="1:21">
      <c r="A89" s="19" t="s">
        <v>2408</v>
      </c>
      <c r="B89" s="19" t="s">
        <v>2429</v>
      </c>
      <c r="C89" s="19" t="s">
        <v>2430</v>
      </c>
      <c r="D89" s="19" t="s">
        <v>194</v>
      </c>
      <c r="E89" s="19" t="s">
        <v>2230</v>
      </c>
      <c r="F89" s="21">
        <v>0</v>
      </c>
      <c r="G89" s="19"/>
      <c r="H89" s="19" t="s">
        <v>2431</v>
      </c>
      <c r="I89" s="21"/>
      <c r="J89" s="19" t="s">
        <v>2431</v>
      </c>
      <c r="K89" s="19"/>
      <c r="L89" s="19"/>
      <c r="M89" s="19" t="str">
        <f t="shared" si="6"/>
        <v/>
      </c>
      <c r="N89" s="21"/>
      <c r="O89" s="19" t="str">
        <f t="shared" si="7"/>
        <v/>
      </c>
      <c r="P89" s="21"/>
      <c r="Q89" s="21"/>
      <c r="R89" s="21"/>
      <c r="S89" s="21"/>
      <c r="T89" s="19" t="str">
        <f t="shared" si="8"/>
        <v/>
      </c>
      <c r="U89" s="19" t="s">
        <v>2432</v>
      </c>
    </row>
    <row r="90" spans="1:21">
      <c r="A90" s="19" t="s">
        <v>2408</v>
      </c>
      <c r="B90" s="19" t="s">
        <v>556</v>
      </c>
      <c r="C90" s="19" t="s">
        <v>2433</v>
      </c>
      <c r="D90" s="19" t="s">
        <v>194</v>
      </c>
      <c r="E90" s="19" t="s">
        <v>2230</v>
      </c>
      <c r="F90" s="21">
        <v>0</v>
      </c>
      <c r="G90" s="19"/>
      <c r="H90" s="19" t="s">
        <v>2434</v>
      </c>
      <c r="I90" s="21"/>
      <c r="J90" s="19" t="s">
        <v>2434</v>
      </c>
      <c r="K90" s="19"/>
      <c r="L90" s="19"/>
      <c r="M90" s="19" t="str">
        <f t="shared" si="6"/>
        <v/>
      </c>
      <c r="N90" s="21"/>
      <c r="O90" s="19" t="str">
        <f t="shared" si="7"/>
        <v/>
      </c>
      <c r="P90" s="21"/>
      <c r="Q90" s="21"/>
      <c r="R90" s="21"/>
      <c r="S90" s="21"/>
      <c r="T90" s="19" t="str">
        <f t="shared" si="8"/>
        <v/>
      </c>
      <c r="U90" s="19" t="s">
        <v>2435</v>
      </c>
    </row>
    <row r="91" spans="1:21">
      <c r="A91" s="19" t="s">
        <v>2408</v>
      </c>
      <c r="B91" s="19" t="s">
        <v>567</v>
      </c>
      <c r="C91" s="19" t="s">
        <v>2436</v>
      </c>
      <c r="D91" s="19" t="s">
        <v>194</v>
      </c>
      <c r="E91" s="19" t="s">
        <v>2230</v>
      </c>
      <c r="F91" s="21">
        <v>0</v>
      </c>
      <c r="G91" s="19"/>
      <c r="H91" s="19" t="s">
        <v>2437</v>
      </c>
      <c r="I91" s="21"/>
      <c r="J91" s="19" t="s">
        <v>2437</v>
      </c>
      <c r="K91" s="19"/>
      <c r="L91" s="19"/>
      <c r="M91" s="19" t="str">
        <f t="shared" si="6"/>
        <v/>
      </c>
      <c r="N91" s="21"/>
      <c r="O91" s="19" t="str">
        <f t="shared" si="7"/>
        <v/>
      </c>
      <c r="P91" s="21"/>
      <c r="Q91" s="21"/>
      <c r="R91" s="21"/>
      <c r="S91" s="21"/>
      <c r="T91" s="19" t="str">
        <f t="shared" si="8"/>
        <v/>
      </c>
      <c r="U91" s="19" t="s">
        <v>2438</v>
      </c>
    </row>
    <row r="92" spans="1:21">
      <c r="A92" s="19" t="s">
        <v>2408</v>
      </c>
      <c r="B92" s="19" t="s">
        <v>2439</v>
      </c>
      <c r="C92" s="19" t="s">
        <v>2440</v>
      </c>
      <c r="D92" s="19" t="s">
        <v>194</v>
      </c>
      <c r="E92" s="19" t="s">
        <v>2230</v>
      </c>
      <c r="F92" s="21">
        <v>0</v>
      </c>
      <c r="G92" s="19"/>
      <c r="H92" s="19" t="s">
        <v>2441</v>
      </c>
      <c r="I92" s="21"/>
      <c r="J92" s="19" t="s">
        <v>2441</v>
      </c>
      <c r="K92" s="19"/>
      <c r="L92" s="19"/>
      <c r="M92" s="19" t="str">
        <f t="shared" si="6"/>
        <v/>
      </c>
      <c r="N92" s="21"/>
      <c r="O92" s="19" t="str">
        <f t="shared" si="7"/>
        <v/>
      </c>
      <c r="P92" s="21"/>
      <c r="Q92" s="21"/>
      <c r="R92" s="21"/>
      <c r="S92" s="21"/>
      <c r="T92" s="19" t="str">
        <f t="shared" si="8"/>
        <v/>
      </c>
      <c r="U92" s="19" t="s">
        <v>2442</v>
      </c>
    </row>
    <row r="93" spans="1:21">
      <c r="A93" s="19" t="s">
        <v>2408</v>
      </c>
      <c r="B93" s="19" t="s">
        <v>2443</v>
      </c>
      <c r="C93" s="19" t="s">
        <v>2444</v>
      </c>
      <c r="D93" s="19" t="s">
        <v>194</v>
      </c>
      <c r="E93" s="19" t="s">
        <v>2230</v>
      </c>
      <c r="F93" s="21">
        <v>0</v>
      </c>
      <c r="G93" s="19"/>
      <c r="H93" s="19" t="s">
        <v>2445</v>
      </c>
      <c r="I93" s="21"/>
      <c r="J93" s="19" t="s">
        <v>2445</v>
      </c>
      <c r="K93" s="19"/>
      <c r="L93" s="19"/>
      <c r="M93" s="19" t="str">
        <f t="shared" si="6"/>
        <v/>
      </c>
      <c r="N93" s="21"/>
      <c r="O93" s="19" t="str">
        <f t="shared" si="7"/>
        <v/>
      </c>
      <c r="P93" s="21"/>
      <c r="Q93" s="21"/>
      <c r="R93" s="21"/>
      <c r="S93" s="21"/>
      <c r="T93" s="19" t="str">
        <f t="shared" si="8"/>
        <v/>
      </c>
      <c r="U93" s="19" t="s">
        <v>2446</v>
      </c>
    </row>
    <row r="94" spans="1:21">
      <c r="A94" s="19" t="s">
        <v>2447</v>
      </c>
      <c r="B94" s="19" t="s">
        <v>553</v>
      </c>
      <c r="C94" s="19" t="s">
        <v>2448</v>
      </c>
      <c r="D94" s="19" t="s">
        <v>705</v>
      </c>
      <c r="E94" s="19" t="s">
        <v>2230</v>
      </c>
      <c r="F94" s="21">
        <v>0</v>
      </c>
      <c r="G94" s="19"/>
      <c r="H94" s="19"/>
      <c r="I94" s="21"/>
      <c r="J94" s="19"/>
      <c r="K94" s="19"/>
      <c r="L94" s="19"/>
      <c r="M94" s="19" t="str">
        <f t="shared" si="6"/>
        <v/>
      </c>
      <c r="N94" s="21"/>
      <c r="O94" s="19" t="str">
        <f t="shared" si="7"/>
        <v/>
      </c>
      <c r="P94" s="21"/>
      <c r="Q94" s="21"/>
      <c r="R94" s="21"/>
      <c r="S94" s="21"/>
      <c r="T94" s="19" t="str">
        <f t="shared" si="8"/>
        <v/>
      </c>
      <c r="U94" s="19" t="s">
        <v>2449</v>
      </c>
    </row>
    <row r="95" spans="1:21">
      <c r="A95" s="19" t="s">
        <v>2447</v>
      </c>
      <c r="B95" s="19" t="s">
        <v>553</v>
      </c>
      <c r="C95" s="19" t="s">
        <v>2450</v>
      </c>
      <c r="D95" s="19" t="s">
        <v>705</v>
      </c>
      <c r="E95" s="19" t="s">
        <v>2230</v>
      </c>
      <c r="F95" s="21">
        <v>0</v>
      </c>
      <c r="G95" s="19"/>
      <c r="H95" s="19"/>
      <c r="I95" s="21"/>
      <c r="J95" s="19"/>
      <c r="K95" s="19"/>
      <c r="L95" s="19"/>
      <c r="M95" s="19" t="str">
        <f t="shared" si="6"/>
        <v/>
      </c>
      <c r="N95" s="21"/>
      <c r="O95" s="19" t="str">
        <f t="shared" si="7"/>
        <v/>
      </c>
      <c r="P95" s="21"/>
      <c r="Q95" s="21"/>
      <c r="R95" s="21"/>
      <c r="S95" s="21"/>
      <c r="T95" s="19" t="str">
        <f t="shared" si="8"/>
        <v/>
      </c>
      <c r="U95" s="19" t="s">
        <v>2449</v>
      </c>
    </row>
    <row r="96" spans="1:21">
      <c r="A96" s="19" t="s">
        <v>2447</v>
      </c>
      <c r="B96" s="19" t="s">
        <v>553</v>
      </c>
      <c r="C96" s="19" t="s">
        <v>2451</v>
      </c>
      <c r="D96" s="19" t="s">
        <v>705</v>
      </c>
      <c r="E96" s="19" t="s">
        <v>2230</v>
      </c>
      <c r="F96" s="21">
        <v>0</v>
      </c>
      <c r="G96" s="19"/>
      <c r="H96" s="19"/>
      <c r="I96" s="21"/>
      <c r="J96" s="19"/>
      <c r="K96" s="19"/>
      <c r="L96" s="19"/>
      <c r="M96" s="19" t="str">
        <f t="shared" si="6"/>
        <v/>
      </c>
      <c r="N96" s="21"/>
      <c r="O96" s="19" t="str">
        <f t="shared" si="7"/>
        <v/>
      </c>
      <c r="P96" s="21"/>
      <c r="Q96" s="21"/>
      <c r="R96" s="21"/>
      <c r="S96" s="21"/>
      <c r="T96" s="19" t="str">
        <f t="shared" si="8"/>
        <v/>
      </c>
      <c r="U96" s="19" t="s">
        <v>2449</v>
      </c>
    </row>
    <row r="97" spans="1:21">
      <c r="A97" s="19" t="s">
        <v>2447</v>
      </c>
      <c r="B97" s="19" t="s">
        <v>553</v>
      </c>
      <c r="C97" s="19" t="s">
        <v>2452</v>
      </c>
      <c r="D97" s="19" t="s">
        <v>705</v>
      </c>
      <c r="E97" s="19" t="s">
        <v>2230</v>
      </c>
      <c r="F97" s="21">
        <v>0</v>
      </c>
      <c r="G97" s="19"/>
      <c r="H97" s="19"/>
      <c r="I97" s="21"/>
      <c r="J97" s="19"/>
      <c r="K97" s="19"/>
      <c r="L97" s="19"/>
      <c r="M97" s="19" t="str">
        <f t="shared" si="6"/>
        <v/>
      </c>
      <c r="N97" s="21"/>
      <c r="O97" s="19" t="str">
        <f t="shared" si="7"/>
        <v/>
      </c>
      <c r="P97" s="21"/>
      <c r="Q97" s="21"/>
      <c r="R97" s="21"/>
      <c r="S97" s="21"/>
      <c r="T97" s="19" t="str">
        <f t="shared" si="8"/>
        <v/>
      </c>
      <c r="U97" s="19" t="s">
        <v>2449</v>
      </c>
    </row>
    <row r="98" spans="1:21">
      <c r="A98" s="19" t="s">
        <v>2447</v>
      </c>
      <c r="B98" s="19" t="s">
        <v>553</v>
      </c>
      <c r="C98" s="19" t="s">
        <v>2453</v>
      </c>
      <c r="D98" s="19" t="s">
        <v>705</v>
      </c>
      <c r="E98" s="19" t="s">
        <v>2230</v>
      </c>
      <c r="F98" s="21">
        <v>0</v>
      </c>
      <c r="G98" s="19"/>
      <c r="H98" s="19"/>
      <c r="I98" s="21"/>
      <c r="J98" s="19"/>
      <c r="K98" s="19"/>
      <c r="L98" s="19"/>
      <c r="M98" s="19" t="str">
        <f t="shared" si="6"/>
        <v/>
      </c>
      <c r="N98" s="21"/>
      <c r="O98" s="19" t="str">
        <f t="shared" si="7"/>
        <v/>
      </c>
      <c r="P98" s="21"/>
      <c r="Q98" s="21"/>
      <c r="R98" s="21"/>
      <c r="S98" s="21"/>
      <c r="T98" s="19" t="str">
        <f t="shared" si="8"/>
        <v/>
      </c>
      <c r="U98" s="19" t="s">
        <v>2449</v>
      </c>
    </row>
    <row r="99" spans="1:21">
      <c r="A99" s="19" t="s">
        <v>2447</v>
      </c>
      <c r="B99" s="19" t="s">
        <v>553</v>
      </c>
      <c r="C99" s="19" t="s">
        <v>751</v>
      </c>
      <c r="D99" s="19" t="s">
        <v>705</v>
      </c>
      <c r="E99" s="19" t="s">
        <v>2230</v>
      </c>
      <c r="F99" s="21">
        <v>0</v>
      </c>
      <c r="G99" s="19"/>
      <c r="H99" s="19"/>
      <c r="I99" s="21"/>
      <c r="J99" s="19"/>
      <c r="K99" s="19"/>
      <c r="L99" s="19"/>
      <c r="M99" s="19" t="str">
        <f t="shared" si="6"/>
        <v/>
      </c>
      <c r="N99" s="21"/>
      <c r="O99" s="19" t="str">
        <f t="shared" si="7"/>
        <v/>
      </c>
      <c r="P99" s="21"/>
      <c r="Q99" s="21"/>
      <c r="R99" s="21"/>
      <c r="S99" s="21"/>
      <c r="T99" s="19" t="str">
        <f t="shared" si="8"/>
        <v/>
      </c>
      <c r="U99" s="19" t="s">
        <v>2449</v>
      </c>
    </row>
    <row r="100" spans="1:21">
      <c r="A100" s="19" t="s">
        <v>2447</v>
      </c>
      <c r="B100" s="19" t="s">
        <v>553</v>
      </c>
      <c r="C100" s="19" t="s">
        <v>2454</v>
      </c>
      <c r="D100" s="19" t="s">
        <v>705</v>
      </c>
      <c r="E100" s="19" t="s">
        <v>2230</v>
      </c>
      <c r="F100" s="21">
        <v>0</v>
      </c>
      <c r="G100" s="19"/>
      <c r="H100" s="19"/>
      <c r="I100" s="21"/>
      <c r="J100" s="19"/>
      <c r="K100" s="19"/>
      <c r="L100" s="19"/>
      <c r="M100" s="19" t="str">
        <f t="shared" ref="M100:M131" si="9">IF(OR(F100&lt;&gt;1,I100="",G100="",L100="",K100=""),"",L100*(I100/G100)^K100)</f>
        <v/>
      </c>
      <c r="N100" s="21"/>
      <c r="O100" s="19" t="str">
        <f t="shared" ref="O100:O131" si="10">IF(OR(F100&lt;&gt;1,M100="",N100=""),"",M100*N100)</f>
        <v/>
      </c>
      <c r="P100" s="21"/>
      <c r="Q100" s="21"/>
      <c r="R100" s="21"/>
      <c r="S100" s="21"/>
      <c r="T100" s="19" t="str">
        <f t="shared" ref="T100:T131" si="11">IF(OR(F100&lt;&gt;1,Q100="",S100=""),"",Q100*S100)</f>
        <v/>
      </c>
      <c r="U100" s="19" t="s">
        <v>2449</v>
      </c>
    </row>
    <row r="101" spans="1:21">
      <c r="A101" s="19" t="s">
        <v>2447</v>
      </c>
      <c r="B101" s="19" t="s">
        <v>553</v>
      </c>
      <c r="C101" s="19" t="s">
        <v>2455</v>
      </c>
      <c r="D101" s="19" t="s">
        <v>705</v>
      </c>
      <c r="E101" s="19" t="s">
        <v>2230</v>
      </c>
      <c r="F101" s="21">
        <v>0</v>
      </c>
      <c r="G101" s="19"/>
      <c r="H101" s="19"/>
      <c r="I101" s="21"/>
      <c r="J101" s="19"/>
      <c r="K101" s="19"/>
      <c r="L101" s="19"/>
      <c r="M101" s="19" t="str">
        <f t="shared" si="9"/>
        <v/>
      </c>
      <c r="N101" s="21"/>
      <c r="O101" s="19" t="str">
        <f t="shared" si="10"/>
        <v/>
      </c>
      <c r="P101" s="21"/>
      <c r="Q101" s="21"/>
      <c r="R101" s="21"/>
      <c r="S101" s="21"/>
      <c r="T101" s="19" t="str">
        <f t="shared" si="11"/>
        <v/>
      </c>
      <c r="U101" s="19" t="s">
        <v>2449</v>
      </c>
    </row>
    <row r="102" spans="1:21">
      <c r="A102" s="19" t="s">
        <v>2447</v>
      </c>
      <c r="B102" s="19" t="s">
        <v>553</v>
      </c>
      <c r="C102" s="19" t="s">
        <v>2456</v>
      </c>
      <c r="D102" s="19" t="s">
        <v>705</v>
      </c>
      <c r="E102" s="19" t="s">
        <v>2230</v>
      </c>
      <c r="F102" s="21">
        <v>0</v>
      </c>
      <c r="G102" s="19"/>
      <c r="H102" s="19"/>
      <c r="I102" s="21"/>
      <c r="J102" s="19"/>
      <c r="K102" s="19"/>
      <c r="L102" s="19"/>
      <c r="M102" s="19" t="str">
        <f t="shared" si="9"/>
        <v/>
      </c>
      <c r="N102" s="21"/>
      <c r="O102" s="19" t="str">
        <f t="shared" si="10"/>
        <v/>
      </c>
      <c r="P102" s="21"/>
      <c r="Q102" s="21"/>
      <c r="R102" s="21"/>
      <c r="S102" s="21"/>
      <c r="T102" s="19" t="str">
        <f t="shared" si="11"/>
        <v/>
      </c>
      <c r="U102" s="19" t="s">
        <v>2449</v>
      </c>
    </row>
    <row r="103" spans="1:21">
      <c r="A103" s="19" t="s">
        <v>2447</v>
      </c>
      <c r="B103" s="19" t="s">
        <v>553</v>
      </c>
      <c r="C103" s="19" t="s">
        <v>2457</v>
      </c>
      <c r="D103" s="19" t="s">
        <v>705</v>
      </c>
      <c r="E103" s="19" t="s">
        <v>2230</v>
      </c>
      <c r="F103" s="21">
        <v>0</v>
      </c>
      <c r="G103" s="19"/>
      <c r="H103" s="19"/>
      <c r="I103" s="21"/>
      <c r="J103" s="19"/>
      <c r="K103" s="19"/>
      <c r="L103" s="19"/>
      <c r="M103" s="19" t="str">
        <f t="shared" si="9"/>
        <v/>
      </c>
      <c r="N103" s="21"/>
      <c r="O103" s="19" t="str">
        <f t="shared" si="10"/>
        <v/>
      </c>
      <c r="P103" s="21"/>
      <c r="Q103" s="21"/>
      <c r="R103" s="21"/>
      <c r="S103" s="21"/>
      <c r="T103" s="19" t="str">
        <f t="shared" si="11"/>
        <v/>
      </c>
      <c r="U103" s="19" t="s">
        <v>2449</v>
      </c>
    </row>
    <row r="104" spans="1:21">
      <c r="A104" s="19" t="s">
        <v>2447</v>
      </c>
      <c r="B104" s="19" t="s">
        <v>553</v>
      </c>
      <c r="C104" s="19" t="s">
        <v>2458</v>
      </c>
      <c r="D104" s="19" t="s">
        <v>705</v>
      </c>
      <c r="E104" s="19" t="s">
        <v>2230</v>
      </c>
      <c r="F104" s="21">
        <v>0</v>
      </c>
      <c r="G104" s="19"/>
      <c r="H104" s="19"/>
      <c r="I104" s="21"/>
      <c r="J104" s="19"/>
      <c r="K104" s="19"/>
      <c r="L104" s="19"/>
      <c r="M104" s="19" t="str">
        <f t="shared" si="9"/>
        <v/>
      </c>
      <c r="N104" s="21"/>
      <c r="O104" s="19" t="str">
        <f t="shared" si="10"/>
        <v/>
      </c>
      <c r="P104" s="21"/>
      <c r="Q104" s="21"/>
      <c r="R104" s="21"/>
      <c r="S104" s="21"/>
      <c r="T104" s="19" t="str">
        <f t="shared" si="11"/>
        <v/>
      </c>
      <c r="U104" s="19" t="s">
        <v>2449</v>
      </c>
    </row>
    <row r="105" spans="1:21">
      <c r="A105" s="19" t="s">
        <v>2447</v>
      </c>
      <c r="B105" s="19" t="s">
        <v>553</v>
      </c>
      <c r="C105" s="19" t="s">
        <v>2459</v>
      </c>
      <c r="D105" s="19" t="s">
        <v>705</v>
      </c>
      <c r="E105" s="19" t="s">
        <v>2230</v>
      </c>
      <c r="F105" s="21">
        <v>0</v>
      </c>
      <c r="G105" s="19"/>
      <c r="H105" s="19"/>
      <c r="I105" s="21"/>
      <c r="J105" s="19"/>
      <c r="K105" s="19"/>
      <c r="L105" s="19"/>
      <c r="M105" s="19" t="str">
        <f t="shared" si="9"/>
        <v/>
      </c>
      <c r="N105" s="21"/>
      <c r="O105" s="19" t="str">
        <f t="shared" si="10"/>
        <v/>
      </c>
      <c r="P105" s="21"/>
      <c r="Q105" s="21"/>
      <c r="R105" s="21"/>
      <c r="S105" s="21"/>
      <c r="T105" s="19" t="str">
        <f t="shared" si="11"/>
        <v/>
      </c>
      <c r="U105" s="19" t="s">
        <v>2449</v>
      </c>
    </row>
    <row r="106" spans="1:21">
      <c r="A106" s="19" t="s">
        <v>2447</v>
      </c>
      <c r="B106" s="19" t="s">
        <v>553</v>
      </c>
      <c r="C106" s="19" t="s">
        <v>2460</v>
      </c>
      <c r="D106" s="19" t="s">
        <v>705</v>
      </c>
      <c r="E106" s="19" t="s">
        <v>2230</v>
      </c>
      <c r="F106" s="21">
        <v>0</v>
      </c>
      <c r="G106" s="19"/>
      <c r="H106" s="19"/>
      <c r="I106" s="21"/>
      <c r="J106" s="19"/>
      <c r="K106" s="19"/>
      <c r="L106" s="19"/>
      <c r="M106" s="19" t="str">
        <f t="shared" si="9"/>
        <v/>
      </c>
      <c r="N106" s="21"/>
      <c r="O106" s="19" t="str">
        <f t="shared" si="10"/>
        <v/>
      </c>
      <c r="P106" s="21"/>
      <c r="Q106" s="21"/>
      <c r="R106" s="21"/>
      <c r="S106" s="21"/>
      <c r="T106" s="19" t="str">
        <f t="shared" si="11"/>
        <v/>
      </c>
      <c r="U106" s="19" t="s">
        <v>2449</v>
      </c>
    </row>
    <row r="107" spans="1:21">
      <c r="A107" s="19" t="s">
        <v>2447</v>
      </c>
      <c r="B107" s="19" t="s">
        <v>553</v>
      </c>
      <c r="C107" s="19" t="s">
        <v>2461</v>
      </c>
      <c r="D107" s="19" t="s">
        <v>705</v>
      </c>
      <c r="E107" s="19" t="s">
        <v>2230</v>
      </c>
      <c r="F107" s="21">
        <v>0</v>
      </c>
      <c r="G107" s="19"/>
      <c r="H107" s="19"/>
      <c r="I107" s="21"/>
      <c r="J107" s="19"/>
      <c r="K107" s="19"/>
      <c r="L107" s="19"/>
      <c r="M107" s="19" t="str">
        <f t="shared" si="9"/>
        <v/>
      </c>
      <c r="N107" s="21"/>
      <c r="O107" s="19" t="str">
        <f t="shared" si="10"/>
        <v/>
      </c>
      <c r="P107" s="21"/>
      <c r="Q107" s="21"/>
      <c r="R107" s="21"/>
      <c r="S107" s="21"/>
      <c r="T107" s="19" t="str">
        <f t="shared" si="11"/>
        <v/>
      </c>
      <c r="U107" s="19" t="s">
        <v>2449</v>
      </c>
    </row>
    <row r="108" spans="1:21">
      <c r="A108" s="19" t="s">
        <v>486</v>
      </c>
      <c r="B108" s="19" t="s">
        <v>2462</v>
      </c>
      <c r="C108" s="19" t="s">
        <v>2463</v>
      </c>
      <c r="D108" s="19" t="s">
        <v>605</v>
      </c>
      <c r="E108" s="19" t="s">
        <v>2230</v>
      </c>
      <c r="F108" s="21">
        <v>0</v>
      </c>
      <c r="G108" s="19">
        <v>500</v>
      </c>
      <c r="H108" s="19" t="s">
        <v>77</v>
      </c>
      <c r="I108" s="21"/>
      <c r="J108" s="19" t="s">
        <v>77</v>
      </c>
      <c r="K108" s="19"/>
      <c r="L108" s="19">
        <v>0.1991</v>
      </c>
      <c r="M108" s="19" t="str">
        <f t="shared" si="9"/>
        <v/>
      </c>
      <c r="N108" s="21"/>
      <c r="O108" s="19" t="str">
        <f t="shared" si="10"/>
        <v/>
      </c>
      <c r="P108" s="21"/>
      <c r="Q108" s="21"/>
      <c r="R108" s="21"/>
      <c r="S108" s="21" t="s">
        <v>2464</v>
      </c>
      <c r="T108" s="19" t="str">
        <f t="shared" si="11"/>
        <v/>
      </c>
      <c r="U108" s="19" t="s">
        <v>2465</v>
      </c>
    </row>
    <row r="109" spans="1:21">
      <c r="A109" s="19" t="s">
        <v>486</v>
      </c>
      <c r="B109" s="19" t="s">
        <v>2462</v>
      </c>
      <c r="C109" s="19" t="s">
        <v>2466</v>
      </c>
      <c r="D109" s="19" t="s">
        <v>605</v>
      </c>
      <c r="E109" s="19" t="s">
        <v>2230</v>
      </c>
      <c r="F109" s="21">
        <v>0</v>
      </c>
      <c r="G109" s="19">
        <v>2000</v>
      </c>
      <c r="H109" s="19" t="s">
        <v>77</v>
      </c>
      <c r="I109" s="21"/>
      <c r="J109" s="19" t="s">
        <v>77</v>
      </c>
      <c r="K109" s="19"/>
      <c r="L109" s="19">
        <v>0.1754</v>
      </c>
      <c r="M109" s="19" t="str">
        <f t="shared" si="9"/>
        <v/>
      </c>
      <c r="N109" s="21"/>
      <c r="O109" s="19" t="str">
        <f t="shared" si="10"/>
        <v/>
      </c>
      <c r="P109" s="21"/>
      <c r="Q109" s="21"/>
      <c r="R109" s="21"/>
      <c r="S109" s="21" t="s">
        <v>2464</v>
      </c>
      <c r="T109" s="19" t="str">
        <f t="shared" si="11"/>
        <v/>
      </c>
      <c r="U109" s="19" t="s">
        <v>2467</v>
      </c>
    </row>
    <row r="110" spans="1:21">
      <c r="A110" s="19" t="s">
        <v>486</v>
      </c>
      <c r="B110" s="19" t="s">
        <v>2468</v>
      </c>
      <c r="C110" s="19" t="s">
        <v>2469</v>
      </c>
      <c r="D110" s="19" t="s">
        <v>605</v>
      </c>
      <c r="E110" s="19" t="s">
        <v>2230</v>
      </c>
      <c r="F110" s="21">
        <v>0</v>
      </c>
      <c r="G110" s="19">
        <v>10000</v>
      </c>
      <c r="H110" s="19" t="s">
        <v>2470</v>
      </c>
      <c r="I110" s="21"/>
      <c r="J110" s="19" t="s">
        <v>2470</v>
      </c>
      <c r="K110" s="19"/>
      <c r="L110" s="19">
        <v>6.7400000000000002E-2</v>
      </c>
      <c r="M110" s="19" t="str">
        <f t="shared" si="9"/>
        <v/>
      </c>
      <c r="N110" s="21"/>
      <c r="O110" s="19" t="str">
        <f t="shared" si="10"/>
        <v/>
      </c>
      <c r="P110" s="21"/>
      <c r="Q110" s="21"/>
      <c r="R110" s="21" t="s">
        <v>2471</v>
      </c>
      <c r="S110" s="21" t="s">
        <v>2471</v>
      </c>
      <c r="T110" s="19" t="str">
        <f t="shared" si="11"/>
        <v/>
      </c>
      <c r="U110" s="19" t="s">
        <v>2472</v>
      </c>
    </row>
    <row r="111" spans="1:21">
      <c r="A111" s="19" t="s">
        <v>486</v>
      </c>
      <c r="B111" s="19" t="s">
        <v>2473</v>
      </c>
      <c r="C111" s="19" t="s">
        <v>2474</v>
      </c>
      <c r="D111" s="19" t="s">
        <v>605</v>
      </c>
      <c r="E111" s="19" t="s">
        <v>2230</v>
      </c>
      <c r="F111" s="21">
        <v>0</v>
      </c>
      <c r="G111" s="19"/>
      <c r="H111" s="19"/>
      <c r="I111" s="21"/>
      <c r="J111" s="19"/>
      <c r="K111" s="19"/>
      <c r="L111" s="19">
        <v>1.18</v>
      </c>
      <c r="M111" s="19" t="str">
        <f t="shared" si="9"/>
        <v/>
      </c>
      <c r="N111" s="21"/>
      <c r="O111" s="19" t="str">
        <f t="shared" si="10"/>
        <v/>
      </c>
      <c r="P111" s="21"/>
      <c r="Q111" s="21"/>
      <c r="R111" s="21" t="s">
        <v>2475</v>
      </c>
      <c r="S111" s="21" t="s">
        <v>2475</v>
      </c>
      <c r="T111" s="19" t="str">
        <f t="shared" si="11"/>
        <v/>
      </c>
      <c r="U111" s="19" t="s">
        <v>2476</v>
      </c>
    </row>
    <row r="112" spans="1:21">
      <c r="A112" s="19" t="s">
        <v>486</v>
      </c>
      <c r="B112" s="19" t="s">
        <v>2425</v>
      </c>
      <c r="C112" s="19" t="s">
        <v>2477</v>
      </c>
      <c r="D112" s="19" t="s">
        <v>605</v>
      </c>
      <c r="E112" s="19" t="s">
        <v>2230</v>
      </c>
      <c r="F112" s="21">
        <v>0</v>
      </c>
      <c r="G112" s="19"/>
      <c r="H112" s="19" t="s">
        <v>609</v>
      </c>
      <c r="I112" s="21"/>
      <c r="J112" s="19" t="s">
        <v>609</v>
      </c>
      <c r="K112" s="19"/>
      <c r="L112" s="19">
        <v>76.28</v>
      </c>
      <c r="M112" s="19" t="str">
        <f t="shared" si="9"/>
        <v/>
      </c>
      <c r="N112" s="21"/>
      <c r="O112" s="19" t="str">
        <f t="shared" si="10"/>
        <v/>
      </c>
      <c r="P112" s="21"/>
      <c r="Q112" s="21"/>
      <c r="R112" s="21"/>
      <c r="S112" s="21" t="s">
        <v>2478</v>
      </c>
      <c r="T112" s="19" t="str">
        <f t="shared" si="11"/>
        <v/>
      </c>
      <c r="U112" s="19" t="s">
        <v>2479</v>
      </c>
    </row>
    <row r="113" spans="1:21">
      <c r="A113" s="19" t="s">
        <v>556</v>
      </c>
      <c r="B113" s="19" t="s">
        <v>2480</v>
      </c>
      <c r="C113" s="19" t="s">
        <v>2481</v>
      </c>
      <c r="D113" s="19" t="s">
        <v>556</v>
      </c>
      <c r="E113" s="19" t="s">
        <v>2230</v>
      </c>
      <c r="F113" s="21">
        <v>0</v>
      </c>
      <c r="G113" s="19">
        <v>1</v>
      </c>
      <c r="H113" s="19" t="s">
        <v>2482</v>
      </c>
      <c r="I113" s="21"/>
      <c r="J113" s="19" t="s">
        <v>2482</v>
      </c>
      <c r="K113" s="19"/>
      <c r="L113" s="19">
        <v>47.9</v>
      </c>
      <c r="M113" s="19" t="str">
        <f t="shared" si="9"/>
        <v/>
      </c>
      <c r="N113" s="21"/>
      <c r="O113" s="19" t="str">
        <f t="shared" si="10"/>
        <v/>
      </c>
      <c r="P113" s="21"/>
      <c r="Q113" s="21"/>
      <c r="R113" s="21" t="s">
        <v>2482</v>
      </c>
      <c r="S113" s="21" t="s">
        <v>2482</v>
      </c>
      <c r="T113" s="19" t="str">
        <f t="shared" si="11"/>
        <v/>
      </c>
      <c r="U113" s="19" t="s">
        <v>2483</v>
      </c>
    </row>
    <row r="114" spans="1:21">
      <c r="A114" s="19" t="s">
        <v>2413</v>
      </c>
      <c r="B114" s="19" t="s">
        <v>513</v>
      </c>
      <c r="C114" s="19" t="s">
        <v>2484</v>
      </c>
      <c r="D114" s="19" t="s">
        <v>530</v>
      </c>
      <c r="E114" s="19" t="s">
        <v>2230</v>
      </c>
      <c r="F114" s="21">
        <v>0</v>
      </c>
      <c r="G114" s="19">
        <v>1</v>
      </c>
      <c r="H114" s="19" t="s">
        <v>2485</v>
      </c>
      <c r="I114" s="21"/>
      <c r="J114" s="19" t="s">
        <v>2485</v>
      </c>
      <c r="K114" s="19"/>
      <c r="L114" s="19">
        <v>150</v>
      </c>
      <c r="M114" s="19" t="str">
        <f t="shared" si="9"/>
        <v/>
      </c>
      <c r="N114" s="21"/>
      <c r="O114" s="19" t="str">
        <f t="shared" si="10"/>
        <v/>
      </c>
      <c r="P114" s="21"/>
      <c r="Q114" s="21"/>
      <c r="R114" s="21"/>
      <c r="S114" s="21" t="s">
        <v>2485</v>
      </c>
      <c r="T114" s="19" t="str">
        <f t="shared" si="11"/>
        <v/>
      </c>
      <c r="U114" s="19" t="s">
        <v>2486</v>
      </c>
    </row>
    <row r="115" spans="1:21">
      <c r="A115" s="19" t="s">
        <v>2408</v>
      </c>
      <c r="B115" s="19" t="s">
        <v>516</v>
      </c>
      <c r="C115" s="19" t="s">
        <v>2487</v>
      </c>
      <c r="D115" s="19" t="s">
        <v>516</v>
      </c>
      <c r="E115" s="19" t="s">
        <v>2230</v>
      </c>
      <c r="F115" s="21">
        <v>0</v>
      </c>
      <c r="G115" s="19">
        <v>1</v>
      </c>
      <c r="H115" s="19" t="s">
        <v>2488</v>
      </c>
      <c r="I115" s="21"/>
      <c r="J115" s="19" t="s">
        <v>2488</v>
      </c>
      <c r="K115" s="19">
        <v>0.6</v>
      </c>
      <c r="L115" s="19"/>
      <c r="M115" s="19" t="str">
        <f t="shared" si="9"/>
        <v/>
      </c>
      <c r="N115" s="21">
        <v>1</v>
      </c>
      <c r="O115" s="19" t="str">
        <f t="shared" si="10"/>
        <v/>
      </c>
      <c r="P115" s="21"/>
      <c r="Q115" s="21"/>
      <c r="R115" s="21"/>
      <c r="S115" s="21"/>
      <c r="T115" s="19" t="str">
        <f t="shared" si="11"/>
        <v/>
      </c>
      <c r="U115" s="19" t="s">
        <v>2489</v>
      </c>
    </row>
    <row r="116" spans="1:21">
      <c r="A116" s="19" t="s">
        <v>2408</v>
      </c>
      <c r="B116" s="19" t="s">
        <v>567</v>
      </c>
      <c r="C116" s="19" t="s">
        <v>2490</v>
      </c>
      <c r="D116" s="19" t="s">
        <v>567</v>
      </c>
      <c r="E116" s="19" t="s">
        <v>2230</v>
      </c>
      <c r="F116" s="21">
        <v>0</v>
      </c>
      <c r="G116" s="19"/>
      <c r="H116" s="19"/>
      <c r="I116" s="21"/>
      <c r="J116" s="19"/>
      <c r="K116" s="19"/>
      <c r="L116" s="19">
        <v>0.04</v>
      </c>
      <c r="M116" s="19" t="str">
        <f t="shared" si="9"/>
        <v/>
      </c>
      <c r="N116" s="21"/>
      <c r="O116" s="19" t="str">
        <f t="shared" si="10"/>
        <v/>
      </c>
      <c r="P116" s="21"/>
      <c r="Q116" s="21"/>
      <c r="R116" s="21"/>
      <c r="S116" s="21"/>
      <c r="T116" s="19" t="str">
        <f t="shared" si="11"/>
        <v/>
      </c>
      <c r="U116" s="19" t="s">
        <v>2491</v>
      </c>
    </row>
    <row r="117" spans="1:21">
      <c r="A117" s="19" t="s">
        <v>582</v>
      </c>
      <c r="B117" s="19" t="s">
        <v>2492</v>
      </c>
      <c r="C117" s="19" t="s">
        <v>2493</v>
      </c>
      <c r="D117" s="19" t="s">
        <v>585</v>
      </c>
      <c r="E117" s="19" t="s">
        <v>2230</v>
      </c>
      <c r="F117" s="21">
        <v>0</v>
      </c>
      <c r="G117" s="19">
        <v>9841</v>
      </c>
      <c r="H117" s="19" t="s">
        <v>2494</v>
      </c>
      <c r="I117" s="21"/>
      <c r="J117" s="19" t="s">
        <v>2494</v>
      </c>
      <c r="K117" s="19"/>
      <c r="L117" s="19">
        <v>10.77</v>
      </c>
      <c r="M117" s="19" t="str">
        <f t="shared" si="9"/>
        <v/>
      </c>
      <c r="N117" s="21"/>
      <c r="O117" s="19" t="str">
        <f t="shared" si="10"/>
        <v/>
      </c>
      <c r="P117" s="21"/>
      <c r="Q117" s="21"/>
      <c r="R117" s="21" t="s">
        <v>2495</v>
      </c>
      <c r="S117" s="21">
        <v>10.77</v>
      </c>
      <c r="T117" s="19" t="str">
        <f t="shared" si="11"/>
        <v/>
      </c>
      <c r="U117" s="19" t="s">
        <v>2496</v>
      </c>
    </row>
    <row r="118" spans="1:21">
      <c r="A118" s="19" t="s">
        <v>582</v>
      </c>
      <c r="B118" s="19" t="s">
        <v>1169</v>
      </c>
      <c r="C118" s="19" t="s">
        <v>596</v>
      </c>
      <c r="D118" s="19" t="s">
        <v>585</v>
      </c>
      <c r="E118" s="19" t="s">
        <v>2230</v>
      </c>
      <c r="F118" s="21">
        <v>0</v>
      </c>
      <c r="G118" s="19"/>
      <c r="H118" s="19"/>
      <c r="I118" s="21"/>
      <c r="J118" s="19"/>
      <c r="K118" s="19"/>
      <c r="L118" s="19">
        <v>5.2925000000000004</v>
      </c>
      <c r="M118" s="19" t="str">
        <f t="shared" si="9"/>
        <v/>
      </c>
      <c r="N118" s="21"/>
      <c r="O118" s="19" t="str">
        <f t="shared" si="10"/>
        <v/>
      </c>
      <c r="P118" s="21"/>
      <c r="Q118" s="21"/>
      <c r="R118" s="21" t="s">
        <v>2497</v>
      </c>
      <c r="S118" s="21">
        <v>5.2925000000000004</v>
      </c>
      <c r="T118" s="19" t="str">
        <f t="shared" si="11"/>
        <v/>
      </c>
      <c r="U118" s="19" t="s">
        <v>2498</v>
      </c>
    </row>
    <row r="119" spans="1:21">
      <c r="A119" s="19" t="s">
        <v>2499</v>
      </c>
      <c r="B119" s="19" t="s">
        <v>513</v>
      </c>
      <c r="C119" s="19" t="s">
        <v>2500</v>
      </c>
      <c r="D119" s="19" t="s">
        <v>530</v>
      </c>
      <c r="E119" s="19" t="s">
        <v>2230</v>
      </c>
      <c r="F119" s="21">
        <v>0</v>
      </c>
      <c r="G119" s="19">
        <v>1</v>
      </c>
      <c r="H119" s="19" t="s">
        <v>2501</v>
      </c>
      <c r="I119" s="21"/>
      <c r="J119" s="19" t="s">
        <v>2501</v>
      </c>
      <c r="K119" s="19"/>
      <c r="L119" s="19">
        <v>150</v>
      </c>
      <c r="M119" s="19" t="str">
        <f t="shared" si="9"/>
        <v/>
      </c>
      <c r="N119" s="21"/>
      <c r="O119" s="19" t="str">
        <f t="shared" si="10"/>
        <v/>
      </c>
      <c r="P119" s="21"/>
      <c r="Q119" s="21"/>
      <c r="R119" s="21"/>
      <c r="S119" s="21" t="s">
        <v>2485</v>
      </c>
      <c r="T119" s="19" t="str">
        <f t="shared" si="11"/>
        <v/>
      </c>
      <c r="U119" s="19" t="s">
        <v>2502</v>
      </c>
    </row>
    <row r="120" spans="1:21">
      <c r="A120" s="20" t="s">
        <v>2503</v>
      </c>
      <c r="B120" s="20" t="s">
        <v>2504</v>
      </c>
      <c r="C120" s="20" t="s">
        <v>2505</v>
      </c>
      <c r="D120" s="20" t="s">
        <v>194</v>
      </c>
      <c r="E120" s="20" t="s">
        <v>2230</v>
      </c>
      <c r="F120" s="22">
        <v>0</v>
      </c>
      <c r="G120" s="20">
        <v>500</v>
      </c>
      <c r="H120" s="20" t="s">
        <v>2296</v>
      </c>
      <c r="I120" s="22"/>
      <c r="J120" s="20" t="s">
        <v>2296</v>
      </c>
      <c r="K120" s="20">
        <v>0.7</v>
      </c>
      <c r="L120" s="20">
        <v>600000</v>
      </c>
      <c r="M120" s="20" t="str">
        <f t="shared" si="9"/>
        <v/>
      </c>
      <c r="N120" s="22"/>
      <c r="O120" s="20" t="str">
        <f t="shared" si="10"/>
        <v/>
      </c>
      <c r="P120" s="22"/>
      <c r="Q120" s="22"/>
      <c r="R120" s="22"/>
      <c r="S120" s="22" t="s">
        <v>2506</v>
      </c>
      <c r="T120" s="20" t="str">
        <f t="shared" si="11"/>
        <v/>
      </c>
      <c r="U120" s="20" t="s">
        <v>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Assumptions</vt:lpstr>
      <vt:lpstr>Scenarios</vt:lpstr>
      <vt:lpstr>Cost Inventory</vt:lpstr>
      <vt:lpstr>Gap Register</vt:lpstr>
      <vt:lpstr>References</vt:lpstr>
      <vt:lpstr>Original Scenarios</vt:lpstr>
      <vt:lpstr>Scenario Cost 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Mikhailovski | Spaak CS</cp:lastModifiedBy>
  <dcterms:created xsi:type="dcterms:W3CDTF">2026-09-29T12:01:22Z</dcterms:created>
  <dcterms:modified xsi:type="dcterms:W3CDTF">2026-09-29T12:27:01Z</dcterms:modified>
</cp:coreProperties>
</file>